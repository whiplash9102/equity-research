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hamthanh/Desktop/"/>
    </mc:Choice>
  </mc:AlternateContent>
  <xr:revisionPtr revIDLastSave="0" documentId="8_{F1C0FB7C-9C3F-6D4D-A49A-FF85B7190611}" xr6:coauthVersionLast="47" xr6:coauthVersionMax="47" xr10:uidLastSave="{00000000-0000-0000-0000-000000000000}"/>
  <bookViews>
    <workbookView xWindow="0" yWindow="500" windowWidth="34660" windowHeight="21900" activeTab="8" xr2:uid="{00000000-000D-0000-FFFF-FFFF00000000}"/>
  </bookViews>
  <sheets>
    <sheet name="1. Share_Price_Analysis" sheetId="1" r:id="rId1"/>
    <sheet name="2. Financial_Analyst" sheetId="2" r:id="rId2"/>
    <sheet name="3. Credit_Analysis" sheetId="3" r:id="rId3"/>
    <sheet name="4. ESG_Score" sheetId="4" r:id="rId4"/>
    <sheet name="5. Macro-Economics " sheetId="5" r:id="rId5"/>
    <sheet name="6. Mutliple_Valuation" sheetId="6" r:id="rId6"/>
    <sheet name="7. DDM_Valuation" sheetId="7" r:id="rId7"/>
    <sheet name="8. DCF Analysis" sheetId="8" r:id="rId8"/>
    <sheet name="9. Standardlized_Income" sheetId="9" r:id="rId9"/>
    <sheet name="DCF_Forecast Revenue" sheetId="11" r:id="rId10"/>
    <sheet name="DCF-WACC " sheetId="12" r:id="rId11"/>
    <sheet name="Sheet10" sheetId="10" state="hidden" r:id="rId12"/>
  </sheets>
  <externalReferences>
    <externalReference r:id="rId13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" l="1"/>
  <c r="C3" i="12"/>
  <c r="O357" i="10"/>
  <c r="O358" i="10" s="1"/>
  <c r="N357" i="10"/>
  <c r="N358" i="10" s="1"/>
  <c r="M357" i="10"/>
  <c r="M358" i="10" s="1"/>
  <c r="L357" i="10"/>
  <c r="L358" i="10" s="1"/>
  <c r="K357" i="10"/>
  <c r="K358" i="10" s="1"/>
  <c r="H230" i="10"/>
  <c r="R48" i="9"/>
  <c r="P48" i="9"/>
  <c r="N48" i="9"/>
  <c r="L48" i="9"/>
  <c r="J48" i="9"/>
  <c r="F3" i="9"/>
  <c r="W96" i="8"/>
  <c r="X96" i="8" s="1"/>
  <c r="Y96" i="8" s="1"/>
  <c r="Z96" i="8" s="1"/>
  <c r="AA96" i="8" s="1"/>
  <c r="W95" i="8"/>
  <c r="X95" i="8" s="1"/>
  <c r="Y95" i="8" s="1"/>
  <c r="Z95" i="8" s="1"/>
  <c r="AA95" i="8" s="1"/>
  <c r="W94" i="8"/>
  <c r="W84" i="8"/>
  <c r="X84" i="8" s="1"/>
  <c r="Y84" i="8" s="1"/>
  <c r="Z84" i="8" s="1"/>
  <c r="AA84" i="8" s="1"/>
  <c r="W83" i="8"/>
  <c r="X83" i="8" s="1"/>
  <c r="Y83" i="8" s="1"/>
  <c r="Z83" i="8" s="1"/>
  <c r="AA83" i="8" s="1"/>
  <c r="W82" i="8"/>
  <c r="W72" i="8"/>
  <c r="X72" i="8" s="1"/>
  <c r="Y72" i="8" s="1"/>
  <c r="Z72" i="8" s="1"/>
  <c r="AA72" i="8" s="1"/>
  <c r="W71" i="8"/>
  <c r="X71" i="8" s="1"/>
  <c r="Y71" i="8" s="1"/>
  <c r="Z71" i="8" s="1"/>
  <c r="AA71" i="8" s="1"/>
  <c r="W70" i="8"/>
  <c r="B24" i="8"/>
  <c r="C24" i="8" s="1"/>
  <c r="D24" i="8" s="1"/>
  <c r="E24" i="8" s="1"/>
  <c r="F24" i="8" s="1"/>
  <c r="B23" i="8"/>
  <c r="C23" i="8" s="1"/>
  <c r="D23" i="8" s="1"/>
  <c r="E23" i="8" s="1"/>
  <c r="F23" i="8" s="1"/>
  <c r="B22" i="8"/>
  <c r="B15" i="8"/>
  <c r="F11" i="8"/>
  <c r="F8" i="8"/>
  <c r="F7" i="8"/>
  <c r="F6" i="8"/>
  <c r="F5" i="8"/>
  <c r="H75" i="7"/>
  <c r="G75" i="7"/>
  <c r="F75" i="7"/>
  <c r="E75" i="7"/>
  <c r="D75" i="7"/>
  <c r="I73" i="7"/>
  <c r="H73" i="7"/>
  <c r="G73" i="7"/>
  <c r="F73" i="7"/>
  <c r="E73" i="7"/>
  <c r="D73" i="7"/>
  <c r="C62" i="7"/>
  <c r="C99" i="7" s="1"/>
  <c r="F51" i="7"/>
  <c r="G33" i="7"/>
  <c r="F33" i="7"/>
  <c r="E33" i="7"/>
  <c r="D33" i="7"/>
  <c r="C33" i="7"/>
  <c r="G28" i="7"/>
  <c r="F28" i="7"/>
  <c r="E28" i="7"/>
  <c r="D28" i="7"/>
  <c r="C28" i="7"/>
  <c r="H28" i="7" s="1"/>
  <c r="G27" i="7"/>
  <c r="G29" i="7" s="1"/>
  <c r="F27" i="7"/>
  <c r="F29" i="7" s="1"/>
  <c r="E27" i="7"/>
  <c r="E29" i="7" s="1"/>
  <c r="D27" i="7"/>
  <c r="D29" i="7" s="1"/>
  <c r="C27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6" i="7"/>
  <c r="F16" i="7"/>
  <c r="E16" i="7"/>
  <c r="D16" i="7"/>
  <c r="C16" i="7"/>
  <c r="E79" i="6"/>
  <c r="C79" i="6"/>
  <c r="D62" i="6"/>
  <c r="J60" i="6"/>
  <c r="C52" i="6"/>
  <c r="C49" i="6"/>
  <c r="F41" i="6"/>
  <c r="E41" i="6"/>
  <c r="G41" i="6" s="1"/>
  <c r="F40" i="6"/>
  <c r="E40" i="6"/>
  <c r="F39" i="6"/>
  <c r="E39" i="6"/>
  <c r="G39" i="6" s="1"/>
  <c r="F38" i="6"/>
  <c r="E38" i="6"/>
  <c r="G38" i="6" s="1"/>
  <c r="F37" i="6"/>
  <c r="G37" i="6" s="1"/>
  <c r="K32" i="6"/>
  <c r="J32" i="6"/>
  <c r="I32" i="6"/>
  <c r="C62" i="6" s="1"/>
  <c r="E62" i="6" s="1"/>
  <c r="H32" i="6"/>
  <c r="C60" i="6" s="1"/>
  <c r="K31" i="6"/>
  <c r="C63" i="6" s="1"/>
  <c r="J31" i="6"/>
  <c r="I31" i="6"/>
  <c r="H31" i="6"/>
  <c r="K30" i="6"/>
  <c r="J30" i="6"/>
  <c r="I30" i="6"/>
  <c r="H30" i="6"/>
  <c r="K29" i="6"/>
  <c r="J29" i="6"/>
  <c r="I29" i="6"/>
  <c r="H29" i="6"/>
  <c r="E27" i="6"/>
  <c r="E26" i="6"/>
  <c r="E25" i="6"/>
  <c r="E24" i="6"/>
  <c r="E23" i="6"/>
  <c r="E22" i="6"/>
  <c r="J130" i="5"/>
  <c r="I130" i="5"/>
  <c r="H130" i="5"/>
  <c r="G130" i="5"/>
  <c r="F130" i="5"/>
  <c r="E130" i="5"/>
  <c r="D130" i="5"/>
  <c r="C130" i="5"/>
  <c r="B130" i="5"/>
  <c r="J129" i="5"/>
  <c r="I129" i="5"/>
  <c r="H129" i="5"/>
  <c r="G129" i="5"/>
  <c r="F129" i="5"/>
  <c r="E129" i="5"/>
  <c r="D129" i="5"/>
  <c r="C129" i="5"/>
  <c r="B129" i="5"/>
  <c r="J128" i="5"/>
  <c r="I128" i="5"/>
  <c r="H128" i="5"/>
  <c r="G128" i="5"/>
  <c r="F128" i="5"/>
  <c r="E128" i="5"/>
  <c r="D128" i="5"/>
  <c r="C128" i="5"/>
  <c r="B128" i="5"/>
  <c r="J127" i="5"/>
  <c r="I127" i="5"/>
  <c r="H127" i="5"/>
  <c r="G127" i="5"/>
  <c r="F127" i="5"/>
  <c r="E127" i="5"/>
  <c r="D127" i="5"/>
  <c r="C127" i="5"/>
  <c r="B127" i="5"/>
  <c r="J126" i="5"/>
  <c r="I126" i="5"/>
  <c r="H126" i="5"/>
  <c r="G126" i="5"/>
  <c r="F126" i="5"/>
  <c r="E126" i="5"/>
  <c r="D126" i="5"/>
  <c r="C126" i="5"/>
  <c r="B126" i="5"/>
  <c r="J125" i="5"/>
  <c r="I125" i="5"/>
  <c r="H125" i="5"/>
  <c r="G125" i="5"/>
  <c r="F125" i="5"/>
  <c r="E125" i="5"/>
  <c r="D125" i="5"/>
  <c r="C125" i="5"/>
  <c r="B125" i="5"/>
  <c r="J124" i="5"/>
  <c r="I124" i="5"/>
  <c r="H124" i="5"/>
  <c r="G124" i="5"/>
  <c r="F124" i="5"/>
  <c r="E124" i="5"/>
  <c r="D124" i="5"/>
  <c r="C124" i="5"/>
  <c r="B124" i="5"/>
  <c r="J123" i="5"/>
  <c r="I123" i="5"/>
  <c r="H123" i="5"/>
  <c r="G123" i="5"/>
  <c r="F123" i="5"/>
  <c r="E123" i="5"/>
  <c r="D123" i="5"/>
  <c r="C123" i="5"/>
  <c r="B123" i="5"/>
  <c r="J122" i="5"/>
  <c r="I122" i="5"/>
  <c r="H122" i="5"/>
  <c r="G122" i="5"/>
  <c r="F122" i="5"/>
  <c r="E122" i="5"/>
  <c r="D122" i="5"/>
  <c r="C122" i="5"/>
  <c r="B122" i="5"/>
  <c r="J121" i="5"/>
  <c r="I121" i="5"/>
  <c r="H121" i="5"/>
  <c r="G121" i="5"/>
  <c r="F121" i="5"/>
  <c r="E121" i="5"/>
  <c r="D121" i="5"/>
  <c r="C121" i="5"/>
  <c r="B121" i="5"/>
  <c r="J120" i="5"/>
  <c r="I120" i="5"/>
  <c r="H120" i="5"/>
  <c r="G120" i="5"/>
  <c r="F120" i="5"/>
  <c r="E120" i="5"/>
  <c r="D120" i="5"/>
  <c r="C120" i="5"/>
  <c r="B120" i="5"/>
  <c r="J119" i="5"/>
  <c r="I119" i="5"/>
  <c r="H119" i="5"/>
  <c r="G119" i="5"/>
  <c r="F119" i="5"/>
  <c r="E119" i="5"/>
  <c r="D119" i="5"/>
  <c r="C119" i="5"/>
  <c r="B119" i="5"/>
  <c r="J118" i="5"/>
  <c r="I118" i="5"/>
  <c r="H118" i="5"/>
  <c r="G118" i="5"/>
  <c r="F118" i="5"/>
  <c r="E118" i="5"/>
  <c r="D118" i="5"/>
  <c r="C118" i="5"/>
  <c r="B118" i="5"/>
  <c r="J117" i="5"/>
  <c r="I117" i="5"/>
  <c r="H117" i="5"/>
  <c r="G117" i="5"/>
  <c r="F117" i="5"/>
  <c r="E117" i="5"/>
  <c r="D117" i="5"/>
  <c r="C117" i="5"/>
  <c r="B117" i="5"/>
  <c r="J116" i="5"/>
  <c r="I116" i="5"/>
  <c r="H116" i="5"/>
  <c r="G116" i="5"/>
  <c r="F116" i="5"/>
  <c r="E116" i="5"/>
  <c r="D116" i="5"/>
  <c r="C116" i="5"/>
  <c r="B116" i="5"/>
  <c r="J115" i="5"/>
  <c r="I115" i="5"/>
  <c r="H115" i="5"/>
  <c r="G115" i="5"/>
  <c r="F115" i="5"/>
  <c r="E115" i="5"/>
  <c r="D115" i="5"/>
  <c r="C115" i="5"/>
  <c r="B115" i="5"/>
  <c r="J114" i="5"/>
  <c r="I114" i="5"/>
  <c r="H114" i="5"/>
  <c r="G114" i="5"/>
  <c r="F114" i="5"/>
  <c r="E114" i="5"/>
  <c r="D114" i="5"/>
  <c r="C114" i="5"/>
  <c r="B114" i="5"/>
  <c r="J113" i="5"/>
  <c r="I113" i="5"/>
  <c r="H113" i="5"/>
  <c r="G113" i="5"/>
  <c r="F113" i="5"/>
  <c r="E113" i="5"/>
  <c r="D113" i="5"/>
  <c r="C113" i="5"/>
  <c r="B113" i="5"/>
  <c r="J112" i="5"/>
  <c r="I112" i="5"/>
  <c r="H112" i="5"/>
  <c r="G112" i="5"/>
  <c r="F112" i="5"/>
  <c r="E112" i="5"/>
  <c r="D112" i="5"/>
  <c r="C112" i="5"/>
  <c r="B112" i="5"/>
  <c r="J111" i="5"/>
  <c r="I111" i="5"/>
  <c r="H111" i="5"/>
  <c r="G111" i="5"/>
  <c r="F111" i="5"/>
  <c r="E111" i="5"/>
  <c r="D111" i="5"/>
  <c r="C111" i="5"/>
  <c r="B111" i="5"/>
  <c r="D83" i="5"/>
  <c r="E83" i="5" s="1"/>
  <c r="C83" i="5"/>
  <c r="D82" i="5"/>
  <c r="E82" i="5" s="1"/>
  <c r="C82" i="5"/>
  <c r="D81" i="5"/>
  <c r="E81" i="5" s="1"/>
  <c r="C81" i="5"/>
  <c r="D80" i="5"/>
  <c r="E80" i="5" s="1"/>
  <c r="C80" i="5"/>
  <c r="D79" i="5"/>
  <c r="E79" i="5" s="1"/>
  <c r="C79" i="5"/>
  <c r="D78" i="5"/>
  <c r="E78" i="5" s="1"/>
  <c r="C78" i="5"/>
  <c r="P73" i="5"/>
  <c r="O73" i="5"/>
  <c r="M73" i="5"/>
  <c r="L73" i="5"/>
  <c r="P72" i="5"/>
  <c r="O72" i="5"/>
  <c r="M72" i="5"/>
  <c r="L72" i="5"/>
  <c r="P71" i="5"/>
  <c r="O71" i="5"/>
  <c r="M71" i="5"/>
  <c r="L71" i="5"/>
  <c r="P70" i="5"/>
  <c r="O70" i="5"/>
  <c r="M70" i="5"/>
  <c r="L70" i="5"/>
  <c r="P69" i="5"/>
  <c r="O69" i="5"/>
  <c r="M69" i="5"/>
  <c r="L69" i="5"/>
  <c r="P68" i="5"/>
  <c r="O68" i="5"/>
  <c r="M68" i="5"/>
  <c r="L68" i="5"/>
  <c r="P67" i="5"/>
  <c r="O67" i="5"/>
  <c r="M67" i="5"/>
  <c r="L67" i="5"/>
  <c r="P66" i="5"/>
  <c r="O66" i="5"/>
  <c r="M66" i="5"/>
  <c r="L66" i="5"/>
  <c r="P65" i="5"/>
  <c r="O65" i="5"/>
  <c r="M65" i="5"/>
  <c r="L65" i="5"/>
  <c r="P64" i="5"/>
  <c r="O64" i="5"/>
  <c r="M64" i="5"/>
  <c r="L64" i="5"/>
  <c r="P63" i="5"/>
  <c r="O63" i="5"/>
  <c r="M63" i="5"/>
  <c r="L63" i="5"/>
  <c r="P62" i="5"/>
  <c r="O62" i="5"/>
  <c r="M62" i="5"/>
  <c r="L62" i="5"/>
  <c r="P61" i="5"/>
  <c r="O61" i="5"/>
  <c r="M61" i="5"/>
  <c r="L61" i="5"/>
  <c r="P60" i="5"/>
  <c r="O60" i="5"/>
  <c r="M60" i="5"/>
  <c r="L60" i="5"/>
  <c r="P59" i="5"/>
  <c r="O59" i="5"/>
  <c r="M59" i="5"/>
  <c r="L59" i="5"/>
  <c r="P58" i="5"/>
  <c r="O58" i="5"/>
  <c r="M58" i="5"/>
  <c r="L58" i="5"/>
  <c r="P57" i="5"/>
  <c r="O57" i="5"/>
  <c r="M57" i="5"/>
  <c r="L57" i="5"/>
  <c r="P56" i="5"/>
  <c r="O56" i="5"/>
  <c r="M56" i="5"/>
  <c r="L56" i="5"/>
  <c r="P55" i="5"/>
  <c r="O55" i="5"/>
  <c r="M55" i="5"/>
  <c r="L55" i="5"/>
  <c r="P54" i="5"/>
  <c r="O54" i="5"/>
  <c r="M54" i="5"/>
  <c r="L54" i="5"/>
  <c r="H50" i="5"/>
  <c r="G50" i="5"/>
  <c r="F50" i="5"/>
  <c r="E50" i="5"/>
  <c r="D50" i="5"/>
  <c r="C50" i="5"/>
  <c r="H49" i="5"/>
  <c r="G49" i="5"/>
  <c r="F49" i="5"/>
  <c r="E49" i="5"/>
  <c r="D49" i="5"/>
  <c r="C49" i="5"/>
  <c r="H48" i="5"/>
  <c r="G48" i="5"/>
  <c r="F48" i="5"/>
  <c r="E48" i="5"/>
  <c r="D48" i="5"/>
  <c r="C48" i="5"/>
  <c r="H47" i="5"/>
  <c r="G47" i="5"/>
  <c r="F47" i="5"/>
  <c r="E47" i="5"/>
  <c r="D47" i="5"/>
  <c r="C47" i="5"/>
  <c r="H46" i="5"/>
  <c r="G46" i="5"/>
  <c r="F46" i="5"/>
  <c r="E46" i="5"/>
  <c r="D46" i="5"/>
  <c r="C46" i="5"/>
  <c r="H45" i="5"/>
  <c r="G45" i="5"/>
  <c r="F45" i="5"/>
  <c r="E45" i="5"/>
  <c r="D45" i="5"/>
  <c r="C45" i="5"/>
  <c r="C8" i="5"/>
  <c r="C7" i="5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H31" i="4"/>
  <c r="G31" i="4"/>
  <c r="H30" i="4"/>
  <c r="G30" i="4"/>
  <c r="H29" i="4"/>
  <c r="G29" i="4"/>
  <c r="H28" i="4"/>
  <c r="G28" i="4"/>
  <c r="H27" i="4"/>
  <c r="G27" i="4"/>
  <c r="H26" i="4"/>
  <c r="G26" i="4"/>
  <c r="G79" i="3"/>
  <c r="F79" i="3"/>
  <c r="E79" i="3"/>
  <c r="E59" i="3"/>
  <c r="G54" i="3"/>
  <c r="G16" i="3"/>
  <c r="F16" i="3"/>
  <c r="E16" i="3"/>
  <c r="D16" i="3"/>
  <c r="C16" i="3"/>
  <c r="L83" i="2"/>
  <c r="K83" i="2"/>
  <c r="J83" i="2"/>
  <c r="I83" i="2"/>
  <c r="H83" i="2"/>
  <c r="L82" i="2"/>
  <c r="K82" i="2"/>
  <c r="J82" i="2"/>
  <c r="I82" i="2"/>
  <c r="H82" i="2"/>
  <c r="L81" i="2"/>
  <c r="K81" i="2"/>
  <c r="J81" i="2"/>
  <c r="I81" i="2"/>
  <c r="H81" i="2"/>
  <c r="L80" i="2"/>
  <c r="K80" i="2"/>
  <c r="J80" i="2"/>
  <c r="I80" i="2"/>
  <c r="H80" i="2"/>
  <c r="L79" i="2"/>
  <c r="K79" i="2"/>
  <c r="J79" i="2"/>
  <c r="I79" i="2"/>
  <c r="H79" i="2"/>
  <c r="L77" i="2"/>
  <c r="K77" i="2"/>
  <c r="J77" i="2"/>
  <c r="I77" i="2"/>
  <c r="H77" i="2"/>
  <c r="L76" i="2"/>
  <c r="K76" i="2"/>
  <c r="J76" i="2"/>
  <c r="I76" i="2"/>
  <c r="H76" i="2"/>
  <c r="L75" i="2"/>
  <c r="K75" i="2"/>
  <c r="J75" i="2"/>
  <c r="I75" i="2"/>
  <c r="H75" i="2"/>
  <c r="L74" i="2"/>
  <c r="K74" i="2"/>
  <c r="J74" i="2"/>
  <c r="I74" i="2"/>
  <c r="H74" i="2"/>
  <c r="L72" i="2"/>
  <c r="K72" i="2"/>
  <c r="J72" i="2"/>
  <c r="I72" i="2"/>
  <c r="H72" i="2"/>
  <c r="L71" i="2"/>
  <c r="K71" i="2"/>
  <c r="J71" i="2"/>
  <c r="I71" i="2"/>
  <c r="H71" i="2"/>
  <c r="L70" i="2"/>
  <c r="K70" i="2"/>
  <c r="J70" i="2"/>
  <c r="I70" i="2"/>
  <c r="H70" i="2"/>
  <c r="L69" i="2"/>
  <c r="K69" i="2"/>
  <c r="J69" i="2"/>
  <c r="I69" i="2"/>
  <c r="H69" i="2"/>
  <c r="L68" i="2"/>
  <c r="K68" i="2"/>
  <c r="J68" i="2"/>
  <c r="I68" i="2"/>
  <c r="H68" i="2"/>
  <c r="L67" i="2"/>
  <c r="K67" i="2"/>
  <c r="J67" i="2"/>
  <c r="I67" i="2"/>
  <c r="H67" i="2"/>
  <c r="L65" i="2"/>
  <c r="K65" i="2"/>
  <c r="J65" i="2"/>
  <c r="I65" i="2"/>
  <c r="H65" i="2"/>
  <c r="L64" i="2"/>
  <c r="K64" i="2"/>
  <c r="J64" i="2"/>
  <c r="I64" i="2"/>
  <c r="H64" i="2"/>
  <c r="L63" i="2"/>
  <c r="K63" i="2"/>
  <c r="J63" i="2"/>
  <c r="I63" i="2"/>
  <c r="H63" i="2"/>
  <c r="L62" i="2"/>
  <c r="K62" i="2"/>
  <c r="J62" i="2"/>
  <c r="I62" i="2"/>
  <c r="H62" i="2"/>
  <c r="L61" i="2"/>
  <c r="K61" i="2"/>
  <c r="J61" i="2"/>
  <c r="I61" i="2"/>
  <c r="H61" i="2"/>
  <c r="L56" i="2"/>
  <c r="K56" i="2"/>
  <c r="J56" i="2"/>
  <c r="I56" i="2"/>
  <c r="H56" i="2"/>
  <c r="L55" i="2"/>
  <c r="K55" i="2"/>
  <c r="J55" i="2"/>
  <c r="I55" i="2"/>
  <c r="H55" i="2"/>
  <c r="L54" i="2"/>
  <c r="K54" i="2"/>
  <c r="J54" i="2"/>
  <c r="I54" i="2"/>
  <c r="H54" i="2"/>
  <c r="L53" i="2"/>
  <c r="K53" i="2"/>
  <c r="J53" i="2"/>
  <c r="I53" i="2"/>
  <c r="H53" i="2"/>
  <c r="L52" i="2"/>
  <c r="K52" i="2"/>
  <c r="J52" i="2"/>
  <c r="I52" i="2"/>
  <c r="H52" i="2"/>
  <c r="L51" i="2"/>
  <c r="K51" i="2"/>
  <c r="J51" i="2"/>
  <c r="I51" i="2"/>
  <c r="H51" i="2"/>
  <c r="L49" i="2"/>
  <c r="K49" i="2"/>
  <c r="J49" i="2"/>
  <c r="I49" i="2"/>
  <c r="H49" i="2"/>
  <c r="L48" i="2"/>
  <c r="K48" i="2"/>
  <c r="J48" i="2"/>
  <c r="I48" i="2"/>
  <c r="H48" i="2"/>
  <c r="L47" i="2"/>
  <c r="K47" i="2"/>
  <c r="J47" i="2"/>
  <c r="I47" i="2"/>
  <c r="H47" i="2"/>
  <c r="L46" i="2"/>
  <c r="K46" i="2"/>
  <c r="J46" i="2"/>
  <c r="I46" i="2"/>
  <c r="H46" i="2"/>
  <c r="L45" i="2"/>
  <c r="K45" i="2"/>
  <c r="J45" i="2"/>
  <c r="I45" i="2"/>
  <c r="H45" i="2"/>
  <c r="L43" i="2"/>
  <c r="K43" i="2"/>
  <c r="J43" i="2"/>
  <c r="I43" i="2"/>
  <c r="H43" i="2"/>
  <c r="L42" i="2"/>
  <c r="K42" i="2"/>
  <c r="J42" i="2"/>
  <c r="I42" i="2"/>
  <c r="H42" i="2"/>
  <c r="L41" i="2"/>
  <c r="K41" i="2"/>
  <c r="J41" i="2"/>
  <c r="I41" i="2"/>
  <c r="H41" i="2"/>
  <c r="L40" i="2"/>
  <c r="K40" i="2"/>
  <c r="J40" i="2"/>
  <c r="I40" i="2"/>
  <c r="H40" i="2"/>
  <c r="L39" i="2"/>
  <c r="K39" i="2"/>
  <c r="J39" i="2"/>
  <c r="I39" i="2"/>
  <c r="H39" i="2"/>
  <c r="L38" i="2"/>
  <c r="K38" i="2"/>
  <c r="J38" i="2"/>
  <c r="I38" i="2"/>
  <c r="H38" i="2"/>
  <c r="L37" i="2"/>
  <c r="K37" i="2"/>
  <c r="J37" i="2"/>
  <c r="I37" i="2"/>
  <c r="H37" i="2"/>
  <c r="G36" i="2"/>
  <c r="F36" i="2"/>
  <c r="E36" i="2"/>
  <c r="D36" i="2"/>
  <c r="C36" i="2"/>
  <c r="G30" i="2"/>
  <c r="F30" i="2"/>
  <c r="E30" i="2"/>
  <c r="D30" i="2"/>
  <c r="C30" i="2"/>
  <c r="G29" i="2"/>
  <c r="F29" i="2"/>
  <c r="E29" i="2"/>
  <c r="D29" i="2"/>
  <c r="C29" i="2"/>
  <c r="G25" i="2"/>
  <c r="G19" i="3" s="1"/>
  <c r="F25" i="2"/>
  <c r="F19" i="3" s="1"/>
  <c r="E25" i="2"/>
  <c r="E19" i="3" s="1"/>
  <c r="D25" i="2"/>
  <c r="D19" i="3" s="1"/>
  <c r="C25" i="2"/>
  <c r="C19" i="3" s="1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C49" i="2" s="1"/>
  <c r="G18" i="2"/>
  <c r="F18" i="2"/>
  <c r="E18" i="2"/>
  <c r="D18" i="2"/>
  <c r="C18" i="2"/>
  <c r="G17" i="2"/>
  <c r="F17" i="2"/>
  <c r="E17" i="2"/>
  <c r="D17" i="2"/>
  <c r="C17" i="2"/>
  <c r="C47" i="2" s="1"/>
  <c r="G16" i="2"/>
  <c r="F16" i="2"/>
  <c r="E16" i="2"/>
  <c r="D16" i="2"/>
  <c r="C16" i="2"/>
  <c r="AA15" i="2"/>
  <c r="Z15" i="2"/>
  <c r="Y15" i="2"/>
  <c r="X15" i="2"/>
  <c r="W15" i="2"/>
  <c r="V15" i="2"/>
  <c r="G15" i="2"/>
  <c r="G14" i="3" s="1"/>
  <c r="F15" i="2"/>
  <c r="F14" i="3" s="1"/>
  <c r="E15" i="2"/>
  <c r="E14" i="3" s="1"/>
  <c r="D15" i="2"/>
  <c r="D14" i="3" s="1"/>
  <c r="C15" i="2"/>
  <c r="C14" i="3" s="1"/>
  <c r="AA14" i="2"/>
  <c r="Z14" i="2"/>
  <c r="Y14" i="2"/>
  <c r="X14" i="2"/>
  <c r="W14" i="2"/>
  <c r="V14" i="2"/>
  <c r="AA13" i="2"/>
  <c r="Z13" i="2"/>
  <c r="Y13" i="2"/>
  <c r="X13" i="2"/>
  <c r="W13" i="2"/>
  <c r="V13" i="2"/>
  <c r="G12" i="2"/>
  <c r="F12" i="2"/>
  <c r="E12" i="2"/>
  <c r="D12" i="2"/>
  <c r="C12" i="2"/>
  <c r="AA10" i="2"/>
  <c r="Z10" i="2"/>
  <c r="Y10" i="2"/>
  <c r="X10" i="2"/>
  <c r="W10" i="2"/>
  <c r="V10" i="2"/>
  <c r="AA9" i="2"/>
  <c r="Z9" i="2"/>
  <c r="Y9" i="2"/>
  <c r="X9" i="2"/>
  <c r="W9" i="2"/>
  <c r="V9" i="2"/>
  <c r="G9" i="2"/>
  <c r="F9" i="2"/>
  <c r="E9" i="2"/>
  <c r="D9" i="2"/>
  <c r="C9" i="2"/>
  <c r="AA8" i="2"/>
  <c r="Z8" i="2"/>
  <c r="Y8" i="2"/>
  <c r="X8" i="2"/>
  <c r="W8" i="2"/>
  <c r="V8" i="2"/>
  <c r="G8" i="2"/>
  <c r="F8" i="2"/>
  <c r="E8" i="2"/>
  <c r="D8" i="2"/>
  <c r="C8" i="2"/>
  <c r="G6" i="2"/>
  <c r="F6" i="2"/>
  <c r="E6" i="2"/>
  <c r="D6" i="2"/>
  <c r="C6" i="2"/>
  <c r="AA5" i="2"/>
  <c r="Z5" i="2"/>
  <c r="Y5" i="2"/>
  <c r="X5" i="2"/>
  <c r="W5" i="2"/>
  <c r="V5" i="2"/>
  <c r="G5" i="2"/>
  <c r="C55" i="6" s="1"/>
  <c r="F5" i="2"/>
  <c r="E5" i="2"/>
  <c r="D5" i="2"/>
  <c r="C5" i="2"/>
  <c r="N815" i="1"/>
  <c r="M815" i="1"/>
  <c r="L815" i="1"/>
  <c r="H815" i="1"/>
  <c r="G815" i="1"/>
  <c r="F815" i="1"/>
  <c r="N814" i="1"/>
  <c r="M814" i="1"/>
  <c r="L814" i="1"/>
  <c r="H814" i="1"/>
  <c r="G814" i="1"/>
  <c r="F814" i="1"/>
  <c r="N813" i="1"/>
  <c r="M813" i="1"/>
  <c r="L813" i="1"/>
  <c r="H813" i="1"/>
  <c r="G813" i="1"/>
  <c r="F813" i="1"/>
  <c r="N812" i="1"/>
  <c r="M812" i="1"/>
  <c r="L812" i="1"/>
  <c r="H812" i="1"/>
  <c r="G812" i="1"/>
  <c r="F812" i="1"/>
  <c r="N811" i="1"/>
  <c r="M811" i="1"/>
  <c r="L811" i="1"/>
  <c r="H811" i="1"/>
  <c r="G811" i="1"/>
  <c r="F811" i="1"/>
  <c r="N810" i="1"/>
  <c r="M810" i="1"/>
  <c r="L810" i="1"/>
  <c r="H810" i="1"/>
  <c r="G810" i="1"/>
  <c r="F810" i="1"/>
  <c r="N809" i="1"/>
  <c r="M809" i="1"/>
  <c r="L809" i="1"/>
  <c r="H809" i="1"/>
  <c r="G809" i="1"/>
  <c r="F809" i="1"/>
  <c r="N808" i="1"/>
  <c r="M808" i="1"/>
  <c r="L808" i="1"/>
  <c r="H808" i="1"/>
  <c r="G808" i="1"/>
  <c r="F808" i="1"/>
  <c r="N807" i="1"/>
  <c r="M807" i="1"/>
  <c r="L807" i="1"/>
  <c r="H807" i="1"/>
  <c r="G807" i="1"/>
  <c r="F807" i="1"/>
  <c r="N806" i="1"/>
  <c r="M806" i="1"/>
  <c r="L806" i="1"/>
  <c r="H806" i="1"/>
  <c r="G806" i="1"/>
  <c r="F806" i="1"/>
  <c r="N805" i="1"/>
  <c r="M805" i="1"/>
  <c r="L805" i="1"/>
  <c r="H805" i="1"/>
  <c r="G805" i="1"/>
  <c r="F805" i="1"/>
  <c r="N804" i="1"/>
  <c r="M804" i="1"/>
  <c r="L804" i="1"/>
  <c r="H804" i="1"/>
  <c r="G804" i="1"/>
  <c r="F804" i="1"/>
  <c r="N803" i="1"/>
  <c r="M803" i="1"/>
  <c r="L803" i="1"/>
  <c r="H803" i="1"/>
  <c r="G803" i="1"/>
  <c r="F803" i="1"/>
  <c r="N802" i="1"/>
  <c r="M802" i="1"/>
  <c r="L802" i="1"/>
  <c r="H802" i="1"/>
  <c r="G802" i="1"/>
  <c r="F802" i="1"/>
  <c r="N801" i="1"/>
  <c r="M801" i="1"/>
  <c r="L801" i="1"/>
  <c r="H801" i="1"/>
  <c r="G801" i="1"/>
  <c r="F801" i="1"/>
  <c r="N800" i="1"/>
  <c r="M800" i="1"/>
  <c r="L800" i="1"/>
  <c r="H800" i="1"/>
  <c r="G800" i="1"/>
  <c r="F800" i="1"/>
  <c r="N799" i="1"/>
  <c r="M799" i="1"/>
  <c r="L799" i="1"/>
  <c r="H799" i="1"/>
  <c r="G799" i="1"/>
  <c r="F799" i="1"/>
  <c r="N798" i="1"/>
  <c r="M798" i="1"/>
  <c r="L798" i="1"/>
  <c r="H798" i="1"/>
  <c r="G798" i="1"/>
  <c r="F798" i="1"/>
  <c r="N797" i="1"/>
  <c r="M797" i="1"/>
  <c r="L797" i="1"/>
  <c r="H797" i="1"/>
  <c r="G797" i="1"/>
  <c r="F797" i="1"/>
  <c r="N796" i="1"/>
  <c r="M796" i="1"/>
  <c r="L796" i="1"/>
  <c r="H796" i="1"/>
  <c r="G796" i="1"/>
  <c r="F796" i="1"/>
  <c r="N795" i="1"/>
  <c r="M795" i="1"/>
  <c r="L795" i="1"/>
  <c r="H795" i="1"/>
  <c r="G795" i="1"/>
  <c r="F795" i="1"/>
  <c r="N794" i="1"/>
  <c r="M794" i="1"/>
  <c r="L794" i="1"/>
  <c r="H794" i="1"/>
  <c r="G794" i="1"/>
  <c r="F794" i="1"/>
  <c r="N793" i="1"/>
  <c r="M793" i="1"/>
  <c r="L793" i="1"/>
  <c r="H793" i="1"/>
  <c r="G793" i="1"/>
  <c r="F793" i="1"/>
  <c r="N792" i="1"/>
  <c r="M792" i="1"/>
  <c r="L792" i="1"/>
  <c r="H792" i="1"/>
  <c r="G792" i="1"/>
  <c r="F792" i="1"/>
  <c r="N791" i="1"/>
  <c r="M791" i="1"/>
  <c r="L791" i="1"/>
  <c r="H791" i="1"/>
  <c r="G791" i="1"/>
  <c r="F791" i="1"/>
  <c r="N790" i="1"/>
  <c r="M790" i="1"/>
  <c r="L790" i="1"/>
  <c r="H790" i="1"/>
  <c r="G790" i="1"/>
  <c r="F790" i="1"/>
  <c r="N789" i="1"/>
  <c r="M789" i="1"/>
  <c r="L789" i="1"/>
  <c r="H789" i="1"/>
  <c r="G789" i="1"/>
  <c r="F789" i="1"/>
  <c r="N788" i="1"/>
  <c r="M788" i="1"/>
  <c r="L788" i="1"/>
  <c r="H788" i="1"/>
  <c r="G788" i="1"/>
  <c r="F788" i="1"/>
  <c r="N787" i="1"/>
  <c r="M787" i="1"/>
  <c r="L787" i="1"/>
  <c r="H787" i="1"/>
  <c r="G787" i="1"/>
  <c r="F787" i="1"/>
  <c r="N786" i="1"/>
  <c r="M786" i="1"/>
  <c r="L786" i="1"/>
  <c r="H786" i="1"/>
  <c r="G786" i="1"/>
  <c r="F786" i="1"/>
  <c r="N785" i="1"/>
  <c r="M785" i="1"/>
  <c r="L785" i="1"/>
  <c r="H785" i="1"/>
  <c r="G785" i="1"/>
  <c r="F785" i="1"/>
  <c r="N784" i="1"/>
  <c r="M784" i="1"/>
  <c r="L784" i="1"/>
  <c r="H784" i="1"/>
  <c r="G784" i="1"/>
  <c r="F784" i="1"/>
  <c r="N783" i="1"/>
  <c r="M783" i="1"/>
  <c r="L783" i="1"/>
  <c r="H783" i="1"/>
  <c r="G783" i="1"/>
  <c r="F783" i="1"/>
  <c r="N782" i="1"/>
  <c r="M782" i="1"/>
  <c r="L782" i="1"/>
  <c r="H782" i="1"/>
  <c r="G782" i="1"/>
  <c r="F782" i="1"/>
  <c r="N781" i="1"/>
  <c r="M781" i="1"/>
  <c r="L781" i="1"/>
  <c r="H781" i="1"/>
  <c r="G781" i="1"/>
  <c r="F781" i="1"/>
  <c r="N780" i="1"/>
  <c r="M780" i="1"/>
  <c r="L780" i="1"/>
  <c r="H780" i="1"/>
  <c r="G780" i="1"/>
  <c r="F780" i="1"/>
  <c r="N779" i="1"/>
  <c r="M779" i="1"/>
  <c r="L779" i="1"/>
  <c r="H779" i="1"/>
  <c r="G779" i="1"/>
  <c r="F779" i="1"/>
  <c r="N778" i="1"/>
  <c r="M778" i="1"/>
  <c r="L778" i="1"/>
  <c r="H778" i="1"/>
  <c r="G778" i="1"/>
  <c r="F778" i="1"/>
  <c r="N777" i="1"/>
  <c r="M777" i="1"/>
  <c r="L777" i="1"/>
  <c r="H777" i="1"/>
  <c r="G777" i="1"/>
  <c r="F777" i="1"/>
  <c r="N776" i="1"/>
  <c r="M776" i="1"/>
  <c r="L776" i="1"/>
  <c r="H776" i="1"/>
  <c r="G776" i="1"/>
  <c r="F776" i="1"/>
  <c r="N775" i="1"/>
  <c r="M775" i="1"/>
  <c r="L775" i="1"/>
  <c r="H775" i="1"/>
  <c r="G775" i="1"/>
  <c r="F775" i="1"/>
  <c r="N774" i="1"/>
  <c r="M774" i="1"/>
  <c r="L774" i="1"/>
  <c r="H774" i="1"/>
  <c r="G774" i="1"/>
  <c r="F774" i="1"/>
  <c r="N773" i="1"/>
  <c r="M773" i="1"/>
  <c r="L773" i="1"/>
  <c r="H773" i="1"/>
  <c r="G773" i="1"/>
  <c r="F773" i="1"/>
  <c r="N772" i="1"/>
  <c r="M772" i="1"/>
  <c r="L772" i="1"/>
  <c r="H772" i="1"/>
  <c r="G772" i="1"/>
  <c r="F772" i="1"/>
  <c r="N771" i="1"/>
  <c r="M771" i="1"/>
  <c r="L771" i="1"/>
  <c r="H771" i="1"/>
  <c r="G771" i="1"/>
  <c r="F771" i="1"/>
  <c r="N770" i="1"/>
  <c r="M770" i="1"/>
  <c r="L770" i="1"/>
  <c r="H770" i="1"/>
  <c r="G770" i="1"/>
  <c r="F770" i="1"/>
  <c r="N769" i="1"/>
  <c r="M769" i="1"/>
  <c r="L769" i="1"/>
  <c r="H769" i="1"/>
  <c r="G769" i="1"/>
  <c r="F769" i="1"/>
  <c r="N768" i="1"/>
  <c r="M768" i="1"/>
  <c r="L768" i="1"/>
  <c r="H768" i="1"/>
  <c r="G768" i="1"/>
  <c r="F768" i="1"/>
  <c r="N767" i="1"/>
  <c r="M767" i="1"/>
  <c r="L767" i="1"/>
  <c r="H767" i="1"/>
  <c r="G767" i="1"/>
  <c r="F767" i="1"/>
  <c r="N766" i="1"/>
  <c r="M766" i="1"/>
  <c r="L766" i="1"/>
  <c r="H766" i="1"/>
  <c r="G766" i="1"/>
  <c r="F766" i="1"/>
  <c r="N765" i="1"/>
  <c r="M765" i="1"/>
  <c r="L765" i="1"/>
  <c r="H765" i="1"/>
  <c r="G765" i="1"/>
  <c r="F765" i="1"/>
  <c r="N764" i="1"/>
  <c r="M764" i="1"/>
  <c r="L764" i="1"/>
  <c r="H764" i="1"/>
  <c r="G764" i="1"/>
  <c r="F764" i="1"/>
  <c r="N763" i="1"/>
  <c r="M763" i="1"/>
  <c r="L763" i="1"/>
  <c r="H763" i="1"/>
  <c r="G763" i="1"/>
  <c r="F763" i="1"/>
  <c r="N762" i="1"/>
  <c r="M762" i="1"/>
  <c r="L762" i="1"/>
  <c r="H762" i="1"/>
  <c r="G762" i="1"/>
  <c r="F762" i="1"/>
  <c r="N761" i="1"/>
  <c r="M761" i="1"/>
  <c r="L761" i="1"/>
  <c r="H761" i="1"/>
  <c r="G761" i="1"/>
  <c r="F761" i="1"/>
  <c r="N760" i="1"/>
  <c r="M760" i="1"/>
  <c r="L760" i="1"/>
  <c r="H760" i="1"/>
  <c r="G760" i="1"/>
  <c r="F760" i="1"/>
  <c r="N759" i="1"/>
  <c r="M759" i="1"/>
  <c r="L759" i="1"/>
  <c r="H759" i="1"/>
  <c r="G759" i="1"/>
  <c r="F759" i="1"/>
  <c r="N758" i="1"/>
  <c r="M758" i="1"/>
  <c r="L758" i="1"/>
  <c r="H758" i="1"/>
  <c r="G758" i="1"/>
  <c r="F758" i="1"/>
  <c r="N757" i="1"/>
  <c r="M757" i="1"/>
  <c r="L757" i="1"/>
  <c r="H757" i="1"/>
  <c r="G757" i="1"/>
  <c r="F757" i="1"/>
  <c r="N756" i="1"/>
  <c r="M756" i="1"/>
  <c r="L756" i="1"/>
  <c r="H756" i="1"/>
  <c r="G756" i="1"/>
  <c r="F756" i="1"/>
  <c r="N755" i="1"/>
  <c r="M755" i="1"/>
  <c r="L755" i="1"/>
  <c r="H755" i="1"/>
  <c r="G755" i="1"/>
  <c r="F755" i="1"/>
  <c r="N754" i="1"/>
  <c r="M754" i="1"/>
  <c r="L754" i="1"/>
  <c r="H754" i="1"/>
  <c r="G754" i="1"/>
  <c r="F754" i="1"/>
  <c r="N753" i="1"/>
  <c r="M753" i="1"/>
  <c r="L753" i="1"/>
  <c r="H753" i="1"/>
  <c r="G753" i="1"/>
  <c r="F753" i="1"/>
  <c r="N752" i="1"/>
  <c r="M752" i="1"/>
  <c r="L752" i="1"/>
  <c r="H752" i="1"/>
  <c r="G752" i="1"/>
  <c r="F752" i="1"/>
  <c r="N751" i="1"/>
  <c r="M751" i="1"/>
  <c r="L751" i="1"/>
  <c r="H751" i="1"/>
  <c r="G751" i="1"/>
  <c r="F751" i="1"/>
  <c r="N750" i="1"/>
  <c r="M750" i="1"/>
  <c r="L750" i="1"/>
  <c r="H750" i="1"/>
  <c r="G750" i="1"/>
  <c r="F750" i="1"/>
  <c r="N749" i="1"/>
  <c r="M749" i="1"/>
  <c r="L749" i="1"/>
  <c r="H749" i="1"/>
  <c r="G749" i="1"/>
  <c r="F749" i="1"/>
  <c r="N748" i="1"/>
  <c r="M748" i="1"/>
  <c r="L748" i="1"/>
  <c r="H748" i="1"/>
  <c r="G748" i="1"/>
  <c r="F748" i="1"/>
  <c r="N747" i="1"/>
  <c r="M747" i="1"/>
  <c r="L747" i="1"/>
  <c r="H747" i="1"/>
  <c r="G747" i="1"/>
  <c r="F747" i="1"/>
  <c r="N746" i="1"/>
  <c r="M746" i="1"/>
  <c r="L746" i="1"/>
  <c r="H746" i="1"/>
  <c r="G746" i="1"/>
  <c r="F746" i="1"/>
  <c r="N745" i="1"/>
  <c r="M745" i="1"/>
  <c r="L745" i="1"/>
  <c r="H745" i="1"/>
  <c r="G745" i="1"/>
  <c r="F745" i="1"/>
  <c r="N744" i="1"/>
  <c r="M744" i="1"/>
  <c r="L744" i="1"/>
  <c r="H744" i="1"/>
  <c r="G744" i="1"/>
  <c r="F744" i="1"/>
  <c r="N743" i="1"/>
  <c r="M743" i="1"/>
  <c r="L743" i="1"/>
  <c r="H743" i="1"/>
  <c r="G743" i="1"/>
  <c r="F743" i="1"/>
  <c r="N742" i="1"/>
  <c r="M742" i="1"/>
  <c r="L742" i="1"/>
  <c r="H742" i="1"/>
  <c r="G742" i="1"/>
  <c r="F742" i="1"/>
  <c r="N741" i="1"/>
  <c r="M741" i="1"/>
  <c r="L741" i="1"/>
  <c r="H741" i="1"/>
  <c r="G741" i="1"/>
  <c r="F741" i="1"/>
  <c r="N740" i="1"/>
  <c r="M740" i="1"/>
  <c r="L740" i="1"/>
  <c r="H740" i="1"/>
  <c r="G740" i="1"/>
  <c r="F740" i="1"/>
  <c r="N739" i="1"/>
  <c r="M739" i="1"/>
  <c r="L739" i="1"/>
  <c r="H739" i="1"/>
  <c r="G739" i="1"/>
  <c r="F739" i="1"/>
  <c r="N738" i="1"/>
  <c r="M738" i="1"/>
  <c r="L738" i="1"/>
  <c r="H738" i="1"/>
  <c r="G738" i="1"/>
  <c r="F738" i="1"/>
  <c r="N737" i="1"/>
  <c r="M737" i="1"/>
  <c r="L737" i="1"/>
  <c r="H737" i="1"/>
  <c r="G737" i="1"/>
  <c r="F737" i="1"/>
  <c r="N736" i="1"/>
  <c r="M736" i="1"/>
  <c r="L736" i="1"/>
  <c r="H736" i="1"/>
  <c r="G736" i="1"/>
  <c r="F736" i="1"/>
  <c r="N735" i="1"/>
  <c r="M735" i="1"/>
  <c r="L735" i="1"/>
  <c r="H735" i="1"/>
  <c r="G735" i="1"/>
  <c r="F735" i="1"/>
  <c r="N734" i="1"/>
  <c r="M734" i="1"/>
  <c r="L734" i="1"/>
  <c r="H734" i="1"/>
  <c r="G734" i="1"/>
  <c r="F734" i="1"/>
  <c r="N733" i="1"/>
  <c r="M733" i="1"/>
  <c r="L733" i="1"/>
  <c r="H733" i="1"/>
  <c r="G733" i="1"/>
  <c r="F733" i="1"/>
  <c r="N732" i="1"/>
  <c r="M732" i="1"/>
  <c r="L732" i="1"/>
  <c r="H732" i="1"/>
  <c r="G732" i="1"/>
  <c r="F732" i="1"/>
  <c r="N731" i="1"/>
  <c r="M731" i="1"/>
  <c r="L731" i="1"/>
  <c r="H731" i="1"/>
  <c r="G731" i="1"/>
  <c r="F731" i="1"/>
  <c r="N730" i="1"/>
  <c r="M730" i="1"/>
  <c r="L730" i="1"/>
  <c r="H730" i="1"/>
  <c r="G730" i="1"/>
  <c r="F730" i="1"/>
  <c r="N729" i="1"/>
  <c r="M729" i="1"/>
  <c r="L729" i="1"/>
  <c r="H729" i="1"/>
  <c r="G729" i="1"/>
  <c r="F729" i="1"/>
  <c r="N728" i="1"/>
  <c r="M728" i="1"/>
  <c r="L728" i="1"/>
  <c r="H728" i="1"/>
  <c r="G728" i="1"/>
  <c r="F728" i="1"/>
  <c r="N727" i="1"/>
  <c r="M727" i="1"/>
  <c r="L727" i="1"/>
  <c r="H727" i="1"/>
  <c r="G727" i="1"/>
  <c r="F727" i="1"/>
  <c r="N726" i="1"/>
  <c r="M726" i="1"/>
  <c r="L726" i="1"/>
  <c r="H726" i="1"/>
  <c r="G726" i="1"/>
  <c r="F726" i="1"/>
  <c r="N725" i="1"/>
  <c r="M725" i="1"/>
  <c r="L725" i="1"/>
  <c r="H725" i="1"/>
  <c r="G725" i="1"/>
  <c r="F725" i="1"/>
  <c r="N724" i="1"/>
  <c r="M724" i="1"/>
  <c r="L724" i="1"/>
  <c r="H724" i="1"/>
  <c r="G724" i="1"/>
  <c r="F724" i="1"/>
  <c r="N723" i="1"/>
  <c r="M723" i="1"/>
  <c r="L723" i="1"/>
  <c r="H723" i="1"/>
  <c r="G723" i="1"/>
  <c r="F723" i="1"/>
  <c r="N722" i="1"/>
  <c r="M722" i="1"/>
  <c r="L722" i="1"/>
  <c r="H722" i="1"/>
  <c r="G722" i="1"/>
  <c r="F722" i="1"/>
  <c r="N721" i="1"/>
  <c r="M721" i="1"/>
  <c r="L721" i="1"/>
  <c r="H721" i="1"/>
  <c r="G721" i="1"/>
  <c r="F721" i="1"/>
  <c r="N720" i="1"/>
  <c r="M720" i="1"/>
  <c r="L720" i="1"/>
  <c r="H720" i="1"/>
  <c r="G720" i="1"/>
  <c r="F720" i="1"/>
  <c r="N719" i="1"/>
  <c r="M719" i="1"/>
  <c r="L719" i="1"/>
  <c r="H719" i="1"/>
  <c r="G719" i="1"/>
  <c r="F719" i="1"/>
  <c r="N718" i="1"/>
  <c r="M718" i="1"/>
  <c r="L718" i="1"/>
  <c r="H718" i="1"/>
  <c r="G718" i="1"/>
  <c r="F718" i="1"/>
  <c r="N717" i="1"/>
  <c r="M717" i="1"/>
  <c r="L717" i="1"/>
  <c r="H717" i="1"/>
  <c r="G717" i="1"/>
  <c r="F717" i="1"/>
  <c r="N716" i="1"/>
  <c r="M716" i="1"/>
  <c r="L716" i="1"/>
  <c r="H716" i="1"/>
  <c r="G716" i="1"/>
  <c r="F716" i="1"/>
  <c r="N715" i="1"/>
  <c r="M715" i="1"/>
  <c r="L715" i="1"/>
  <c r="H715" i="1"/>
  <c r="G715" i="1"/>
  <c r="F715" i="1"/>
  <c r="N714" i="1"/>
  <c r="M714" i="1"/>
  <c r="L714" i="1"/>
  <c r="H714" i="1"/>
  <c r="G714" i="1"/>
  <c r="F714" i="1"/>
  <c r="N713" i="1"/>
  <c r="M713" i="1"/>
  <c r="L713" i="1"/>
  <c r="H713" i="1"/>
  <c r="G713" i="1"/>
  <c r="F713" i="1"/>
  <c r="N712" i="1"/>
  <c r="M712" i="1"/>
  <c r="L712" i="1"/>
  <c r="H712" i="1"/>
  <c r="G712" i="1"/>
  <c r="F712" i="1"/>
  <c r="N711" i="1"/>
  <c r="M711" i="1"/>
  <c r="L711" i="1"/>
  <c r="H711" i="1"/>
  <c r="G711" i="1"/>
  <c r="F711" i="1"/>
  <c r="N710" i="1"/>
  <c r="M710" i="1"/>
  <c r="L710" i="1"/>
  <c r="H710" i="1"/>
  <c r="G710" i="1"/>
  <c r="F710" i="1"/>
  <c r="N709" i="1"/>
  <c r="M709" i="1"/>
  <c r="L709" i="1"/>
  <c r="H709" i="1"/>
  <c r="G709" i="1"/>
  <c r="F709" i="1"/>
  <c r="N708" i="1"/>
  <c r="M708" i="1"/>
  <c r="L708" i="1"/>
  <c r="H708" i="1"/>
  <c r="G708" i="1"/>
  <c r="F708" i="1"/>
  <c r="N707" i="1"/>
  <c r="M707" i="1"/>
  <c r="L707" i="1"/>
  <c r="H707" i="1"/>
  <c r="G707" i="1"/>
  <c r="F707" i="1"/>
  <c r="N706" i="1"/>
  <c r="M706" i="1"/>
  <c r="L706" i="1"/>
  <c r="H706" i="1"/>
  <c r="G706" i="1"/>
  <c r="F706" i="1"/>
  <c r="N705" i="1"/>
  <c r="M705" i="1"/>
  <c r="L705" i="1"/>
  <c r="H705" i="1"/>
  <c r="G705" i="1"/>
  <c r="F705" i="1"/>
  <c r="N704" i="1"/>
  <c r="M704" i="1"/>
  <c r="L704" i="1"/>
  <c r="H704" i="1"/>
  <c r="G704" i="1"/>
  <c r="F704" i="1"/>
  <c r="N703" i="1"/>
  <c r="M703" i="1"/>
  <c r="L703" i="1"/>
  <c r="H703" i="1"/>
  <c r="G703" i="1"/>
  <c r="F703" i="1"/>
  <c r="N702" i="1"/>
  <c r="M702" i="1"/>
  <c r="L702" i="1"/>
  <c r="H702" i="1"/>
  <c r="G702" i="1"/>
  <c r="F702" i="1"/>
  <c r="N701" i="1"/>
  <c r="M701" i="1"/>
  <c r="L701" i="1"/>
  <c r="H701" i="1"/>
  <c r="G701" i="1"/>
  <c r="F701" i="1"/>
  <c r="N700" i="1"/>
  <c r="M700" i="1"/>
  <c r="L700" i="1"/>
  <c r="H700" i="1"/>
  <c r="G700" i="1"/>
  <c r="F700" i="1"/>
  <c r="N699" i="1"/>
  <c r="M699" i="1"/>
  <c r="L699" i="1"/>
  <c r="H699" i="1"/>
  <c r="G699" i="1"/>
  <c r="F699" i="1"/>
  <c r="N698" i="1"/>
  <c r="M698" i="1"/>
  <c r="L698" i="1"/>
  <c r="H698" i="1"/>
  <c r="G698" i="1"/>
  <c r="F698" i="1"/>
  <c r="N697" i="1"/>
  <c r="M697" i="1"/>
  <c r="L697" i="1"/>
  <c r="H697" i="1"/>
  <c r="G697" i="1"/>
  <c r="F697" i="1"/>
  <c r="N696" i="1"/>
  <c r="M696" i="1"/>
  <c r="L696" i="1"/>
  <c r="H696" i="1"/>
  <c r="G696" i="1"/>
  <c r="F696" i="1"/>
  <c r="N695" i="1"/>
  <c r="M695" i="1"/>
  <c r="L695" i="1"/>
  <c r="H695" i="1"/>
  <c r="G695" i="1"/>
  <c r="F695" i="1"/>
  <c r="N694" i="1"/>
  <c r="M694" i="1"/>
  <c r="L694" i="1"/>
  <c r="H694" i="1"/>
  <c r="G694" i="1"/>
  <c r="F694" i="1"/>
  <c r="N693" i="1"/>
  <c r="M693" i="1"/>
  <c r="L693" i="1"/>
  <c r="H693" i="1"/>
  <c r="G693" i="1"/>
  <c r="F693" i="1"/>
  <c r="N692" i="1"/>
  <c r="M692" i="1"/>
  <c r="L692" i="1"/>
  <c r="H692" i="1"/>
  <c r="G692" i="1"/>
  <c r="F692" i="1"/>
  <c r="N691" i="1"/>
  <c r="M691" i="1"/>
  <c r="L691" i="1"/>
  <c r="H691" i="1"/>
  <c r="G691" i="1"/>
  <c r="F691" i="1"/>
  <c r="N690" i="1"/>
  <c r="M690" i="1"/>
  <c r="L690" i="1"/>
  <c r="H690" i="1"/>
  <c r="G690" i="1"/>
  <c r="F690" i="1"/>
  <c r="N689" i="1"/>
  <c r="M689" i="1"/>
  <c r="L689" i="1"/>
  <c r="H689" i="1"/>
  <c r="G689" i="1"/>
  <c r="F689" i="1"/>
  <c r="N688" i="1"/>
  <c r="M688" i="1"/>
  <c r="L688" i="1"/>
  <c r="H688" i="1"/>
  <c r="G688" i="1"/>
  <c r="F688" i="1"/>
  <c r="N687" i="1"/>
  <c r="M687" i="1"/>
  <c r="L687" i="1"/>
  <c r="H687" i="1"/>
  <c r="G687" i="1"/>
  <c r="F687" i="1"/>
  <c r="N686" i="1"/>
  <c r="M686" i="1"/>
  <c r="L686" i="1"/>
  <c r="H686" i="1"/>
  <c r="G686" i="1"/>
  <c r="F686" i="1"/>
  <c r="N685" i="1"/>
  <c r="M685" i="1"/>
  <c r="L685" i="1"/>
  <c r="H685" i="1"/>
  <c r="G685" i="1"/>
  <c r="F685" i="1"/>
  <c r="N684" i="1"/>
  <c r="M684" i="1"/>
  <c r="L684" i="1"/>
  <c r="H684" i="1"/>
  <c r="G684" i="1"/>
  <c r="F684" i="1"/>
  <c r="N683" i="1"/>
  <c r="M683" i="1"/>
  <c r="L683" i="1"/>
  <c r="H683" i="1"/>
  <c r="G683" i="1"/>
  <c r="F683" i="1"/>
  <c r="N682" i="1"/>
  <c r="M682" i="1"/>
  <c r="L682" i="1"/>
  <c r="H682" i="1"/>
  <c r="G682" i="1"/>
  <c r="F682" i="1"/>
  <c r="N681" i="1"/>
  <c r="M681" i="1"/>
  <c r="L681" i="1"/>
  <c r="H681" i="1"/>
  <c r="G681" i="1"/>
  <c r="F681" i="1"/>
  <c r="N680" i="1"/>
  <c r="M680" i="1"/>
  <c r="L680" i="1"/>
  <c r="H680" i="1"/>
  <c r="G680" i="1"/>
  <c r="F680" i="1"/>
  <c r="N679" i="1"/>
  <c r="M679" i="1"/>
  <c r="L679" i="1"/>
  <c r="H679" i="1"/>
  <c r="G679" i="1"/>
  <c r="F679" i="1"/>
  <c r="N678" i="1"/>
  <c r="M678" i="1"/>
  <c r="L678" i="1"/>
  <c r="H678" i="1"/>
  <c r="G678" i="1"/>
  <c r="F678" i="1"/>
  <c r="N677" i="1"/>
  <c r="M677" i="1"/>
  <c r="L677" i="1"/>
  <c r="H677" i="1"/>
  <c r="G677" i="1"/>
  <c r="F677" i="1"/>
  <c r="N676" i="1"/>
  <c r="M676" i="1"/>
  <c r="L676" i="1"/>
  <c r="H676" i="1"/>
  <c r="G676" i="1"/>
  <c r="F676" i="1"/>
  <c r="N675" i="1"/>
  <c r="M675" i="1"/>
  <c r="L675" i="1"/>
  <c r="H675" i="1"/>
  <c r="G675" i="1"/>
  <c r="F675" i="1"/>
  <c r="N674" i="1"/>
  <c r="M674" i="1"/>
  <c r="L674" i="1"/>
  <c r="H674" i="1"/>
  <c r="G674" i="1"/>
  <c r="F674" i="1"/>
  <c r="N673" i="1"/>
  <c r="M673" i="1"/>
  <c r="L673" i="1"/>
  <c r="H673" i="1"/>
  <c r="G673" i="1"/>
  <c r="F673" i="1"/>
  <c r="N672" i="1"/>
  <c r="M672" i="1"/>
  <c r="L672" i="1"/>
  <c r="H672" i="1"/>
  <c r="G672" i="1"/>
  <c r="F672" i="1"/>
  <c r="N671" i="1"/>
  <c r="M671" i="1"/>
  <c r="L671" i="1"/>
  <c r="H671" i="1"/>
  <c r="G671" i="1"/>
  <c r="F671" i="1"/>
  <c r="N670" i="1"/>
  <c r="M670" i="1"/>
  <c r="L670" i="1"/>
  <c r="H670" i="1"/>
  <c r="G670" i="1"/>
  <c r="F670" i="1"/>
  <c r="N669" i="1"/>
  <c r="M669" i="1"/>
  <c r="L669" i="1"/>
  <c r="H669" i="1"/>
  <c r="G669" i="1"/>
  <c r="F669" i="1"/>
  <c r="N668" i="1"/>
  <c r="M668" i="1"/>
  <c r="L668" i="1"/>
  <c r="H668" i="1"/>
  <c r="G668" i="1"/>
  <c r="F668" i="1"/>
  <c r="N667" i="1"/>
  <c r="M667" i="1"/>
  <c r="L667" i="1"/>
  <c r="H667" i="1"/>
  <c r="G667" i="1"/>
  <c r="F667" i="1"/>
  <c r="N666" i="1"/>
  <c r="M666" i="1"/>
  <c r="L666" i="1"/>
  <c r="H666" i="1"/>
  <c r="G666" i="1"/>
  <c r="F666" i="1"/>
  <c r="N665" i="1"/>
  <c r="M665" i="1"/>
  <c r="L665" i="1"/>
  <c r="H665" i="1"/>
  <c r="G665" i="1"/>
  <c r="F665" i="1"/>
  <c r="N664" i="1"/>
  <c r="M664" i="1"/>
  <c r="L664" i="1"/>
  <c r="H664" i="1"/>
  <c r="G664" i="1"/>
  <c r="F664" i="1"/>
  <c r="N663" i="1"/>
  <c r="M663" i="1"/>
  <c r="L663" i="1"/>
  <c r="H663" i="1"/>
  <c r="G663" i="1"/>
  <c r="F663" i="1"/>
  <c r="N662" i="1"/>
  <c r="M662" i="1"/>
  <c r="L662" i="1"/>
  <c r="H662" i="1"/>
  <c r="G662" i="1"/>
  <c r="F662" i="1"/>
  <c r="N661" i="1"/>
  <c r="M661" i="1"/>
  <c r="L661" i="1"/>
  <c r="H661" i="1"/>
  <c r="G661" i="1"/>
  <c r="F661" i="1"/>
  <c r="N660" i="1"/>
  <c r="M660" i="1"/>
  <c r="L660" i="1"/>
  <c r="H660" i="1"/>
  <c r="G660" i="1"/>
  <c r="F660" i="1"/>
  <c r="N659" i="1"/>
  <c r="M659" i="1"/>
  <c r="L659" i="1"/>
  <c r="H659" i="1"/>
  <c r="G659" i="1"/>
  <c r="F659" i="1"/>
  <c r="N658" i="1"/>
  <c r="M658" i="1"/>
  <c r="L658" i="1"/>
  <c r="H658" i="1"/>
  <c r="G658" i="1"/>
  <c r="F658" i="1"/>
  <c r="N657" i="1"/>
  <c r="M657" i="1"/>
  <c r="L657" i="1"/>
  <c r="H657" i="1"/>
  <c r="G657" i="1"/>
  <c r="F657" i="1"/>
  <c r="N656" i="1"/>
  <c r="M656" i="1"/>
  <c r="L656" i="1"/>
  <c r="H656" i="1"/>
  <c r="G656" i="1"/>
  <c r="F656" i="1"/>
  <c r="N655" i="1"/>
  <c r="M655" i="1"/>
  <c r="L655" i="1"/>
  <c r="H655" i="1"/>
  <c r="G655" i="1"/>
  <c r="F655" i="1"/>
  <c r="N654" i="1"/>
  <c r="M654" i="1"/>
  <c r="L654" i="1"/>
  <c r="H654" i="1"/>
  <c r="G654" i="1"/>
  <c r="F654" i="1"/>
  <c r="N653" i="1"/>
  <c r="M653" i="1"/>
  <c r="L653" i="1"/>
  <c r="H653" i="1"/>
  <c r="G653" i="1"/>
  <c r="F653" i="1"/>
  <c r="N652" i="1"/>
  <c r="M652" i="1"/>
  <c r="L652" i="1"/>
  <c r="H652" i="1"/>
  <c r="G652" i="1"/>
  <c r="F652" i="1"/>
  <c r="N651" i="1"/>
  <c r="M651" i="1"/>
  <c r="L651" i="1"/>
  <c r="H651" i="1"/>
  <c r="G651" i="1"/>
  <c r="F651" i="1"/>
  <c r="N650" i="1"/>
  <c r="M650" i="1"/>
  <c r="L650" i="1"/>
  <c r="H650" i="1"/>
  <c r="G650" i="1"/>
  <c r="F650" i="1"/>
  <c r="N649" i="1"/>
  <c r="M649" i="1"/>
  <c r="L649" i="1"/>
  <c r="H649" i="1"/>
  <c r="G649" i="1"/>
  <c r="F649" i="1"/>
  <c r="N648" i="1"/>
  <c r="M648" i="1"/>
  <c r="L648" i="1"/>
  <c r="H648" i="1"/>
  <c r="G648" i="1"/>
  <c r="F648" i="1"/>
  <c r="N647" i="1"/>
  <c r="M647" i="1"/>
  <c r="L647" i="1"/>
  <c r="H647" i="1"/>
  <c r="G647" i="1"/>
  <c r="F647" i="1"/>
  <c r="N646" i="1"/>
  <c r="M646" i="1"/>
  <c r="L646" i="1"/>
  <c r="H646" i="1"/>
  <c r="G646" i="1"/>
  <c r="F646" i="1"/>
  <c r="N645" i="1"/>
  <c r="M645" i="1"/>
  <c r="L645" i="1"/>
  <c r="H645" i="1"/>
  <c r="G645" i="1"/>
  <c r="F645" i="1"/>
  <c r="N644" i="1"/>
  <c r="M644" i="1"/>
  <c r="L644" i="1"/>
  <c r="H644" i="1"/>
  <c r="G644" i="1"/>
  <c r="F644" i="1"/>
  <c r="N643" i="1"/>
  <c r="M643" i="1"/>
  <c r="L643" i="1"/>
  <c r="H643" i="1"/>
  <c r="G643" i="1"/>
  <c r="F643" i="1"/>
  <c r="N642" i="1"/>
  <c r="M642" i="1"/>
  <c r="L642" i="1"/>
  <c r="H642" i="1"/>
  <c r="G642" i="1"/>
  <c r="F642" i="1"/>
  <c r="N641" i="1"/>
  <c r="M641" i="1"/>
  <c r="L641" i="1"/>
  <c r="H641" i="1"/>
  <c r="G641" i="1"/>
  <c r="F641" i="1"/>
  <c r="N640" i="1"/>
  <c r="M640" i="1"/>
  <c r="L640" i="1"/>
  <c r="H640" i="1"/>
  <c r="G640" i="1"/>
  <c r="F640" i="1"/>
  <c r="N639" i="1"/>
  <c r="M639" i="1"/>
  <c r="L639" i="1"/>
  <c r="H639" i="1"/>
  <c r="G639" i="1"/>
  <c r="F639" i="1"/>
  <c r="N638" i="1"/>
  <c r="M638" i="1"/>
  <c r="L638" i="1"/>
  <c r="H638" i="1"/>
  <c r="G638" i="1"/>
  <c r="F638" i="1"/>
  <c r="N637" i="1"/>
  <c r="M637" i="1"/>
  <c r="L637" i="1"/>
  <c r="H637" i="1"/>
  <c r="G637" i="1"/>
  <c r="F637" i="1"/>
  <c r="N636" i="1"/>
  <c r="M636" i="1"/>
  <c r="L636" i="1"/>
  <c r="H636" i="1"/>
  <c r="G636" i="1"/>
  <c r="F636" i="1"/>
  <c r="N635" i="1"/>
  <c r="M635" i="1"/>
  <c r="L635" i="1"/>
  <c r="H635" i="1"/>
  <c r="G635" i="1"/>
  <c r="F635" i="1"/>
  <c r="N634" i="1"/>
  <c r="M634" i="1"/>
  <c r="L634" i="1"/>
  <c r="H634" i="1"/>
  <c r="G634" i="1"/>
  <c r="F634" i="1"/>
  <c r="N633" i="1"/>
  <c r="M633" i="1"/>
  <c r="L633" i="1"/>
  <c r="H633" i="1"/>
  <c r="G633" i="1"/>
  <c r="F633" i="1"/>
  <c r="N632" i="1"/>
  <c r="M632" i="1"/>
  <c r="L632" i="1"/>
  <c r="H632" i="1"/>
  <c r="G632" i="1"/>
  <c r="F632" i="1"/>
  <c r="N631" i="1"/>
  <c r="M631" i="1"/>
  <c r="L631" i="1"/>
  <c r="H631" i="1"/>
  <c r="G631" i="1"/>
  <c r="F631" i="1"/>
  <c r="N630" i="1"/>
  <c r="M630" i="1"/>
  <c r="L630" i="1"/>
  <c r="H630" i="1"/>
  <c r="G630" i="1"/>
  <c r="F630" i="1"/>
  <c r="N629" i="1"/>
  <c r="M629" i="1"/>
  <c r="L629" i="1"/>
  <c r="H629" i="1"/>
  <c r="G629" i="1"/>
  <c r="F629" i="1"/>
  <c r="N628" i="1"/>
  <c r="M628" i="1"/>
  <c r="L628" i="1"/>
  <c r="H628" i="1"/>
  <c r="G628" i="1"/>
  <c r="F628" i="1"/>
  <c r="N627" i="1"/>
  <c r="M627" i="1"/>
  <c r="L627" i="1"/>
  <c r="H627" i="1"/>
  <c r="G627" i="1"/>
  <c r="F627" i="1"/>
  <c r="N626" i="1"/>
  <c r="M626" i="1"/>
  <c r="L626" i="1"/>
  <c r="H626" i="1"/>
  <c r="G626" i="1"/>
  <c r="F626" i="1"/>
  <c r="N625" i="1"/>
  <c r="M625" i="1"/>
  <c r="L625" i="1"/>
  <c r="H625" i="1"/>
  <c r="G625" i="1"/>
  <c r="F625" i="1"/>
  <c r="N624" i="1"/>
  <c r="M624" i="1"/>
  <c r="L624" i="1"/>
  <c r="H624" i="1"/>
  <c r="G624" i="1"/>
  <c r="F624" i="1"/>
  <c r="N623" i="1"/>
  <c r="M623" i="1"/>
  <c r="L623" i="1"/>
  <c r="H623" i="1"/>
  <c r="G623" i="1"/>
  <c r="F623" i="1"/>
  <c r="N622" i="1"/>
  <c r="M622" i="1"/>
  <c r="L622" i="1"/>
  <c r="H622" i="1"/>
  <c r="G622" i="1"/>
  <c r="F622" i="1"/>
  <c r="N621" i="1"/>
  <c r="M621" i="1"/>
  <c r="L621" i="1"/>
  <c r="H621" i="1"/>
  <c r="G621" i="1"/>
  <c r="F621" i="1"/>
  <c r="N620" i="1"/>
  <c r="M620" i="1"/>
  <c r="L620" i="1"/>
  <c r="H620" i="1"/>
  <c r="G620" i="1"/>
  <c r="F620" i="1"/>
  <c r="N619" i="1"/>
  <c r="M619" i="1"/>
  <c r="L619" i="1"/>
  <c r="H619" i="1"/>
  <c r="G619" i="1"/>
  <c r="F619" i="1"/>
  <c r="N618" i="1"/>
  <c r="M618" i="1"/>
  <c r="L618" i="1"/>
  <c r="H618" i="1"/>
  <c r="G618" i="1"/>
  <c r="F618" i="1"/>
  <c r="N617" i="1"/>
  <c r="M617" i="1"/>
  <c r="L617" i="1"/>
  <c r="H617" i="1"/>
  <c r="G617" i="1"/>
  <c r="F617" i="1"/>
  <c r="N616" i="1"/>
  <c r="M616" i="1"/>
  <c r="L616" i="1"/>
  <c r="H616" i="1"/>
  <c r="G616" i="1"/>
  <c r="F616" i="1"/>
  <c r="N615" i="1"/>
  <c r="M615" i="1"/>
  <c r="L615" i="1"/>
  <c r="H615" i="1"/>
  <c r="G615" i="1"/>
  <c r="F615" i="1"/>
  <c r="N614" i="1"/>
  <c r="M614" i="1"/>
  <c r="L614" i="1"/>
  <c r="H614" i="1"/>
  <c r="G614" i="1"/>
  <c r="F614" i="1"/>
  <c r="N613" i="1"/>
  <c r="M613" i="1"/>
  <c r="L613" i="1"/>
  <c r="H613" i="1"/>
  <c r="G613" i="1"/>
  <c r="F613" i="1"/>
  <c r="N612" i="1"/>
  <c r="M612" i="1"/>
  <c r="L612" i="1"/>
  <c r="H612" i="1"/>
  <c r="G612" i="1"/>
  <c r="F612" i="1"/>
  <c r="N611" i="1"/>
  <c r="M611" i="1"/>
  <c r="L611" i="1"/>
  <c r="H611" i="1"/>
  <c r="G611" i="1"/>
  <c r="F611" i="1"/>
  <c r="N610" i="1"/>
  <c r="M610" i="1"/>
  <c r="L610" i="1"/>
  <c r="H610" i="1"/>
  <c r="G610" i="1"/>
  <c r="F610" i="1"/>
  <c r="N609" i="1"/>
  <c r="M609" i="1"/>
  <c r="L609" i="1"/>
  <c r="H609" i="1"/>
  <c r="G609" i="1"/>
  <c r="F609" i="1"/>
  <c r="N608" i="1"/>
  <c r="M608" i="1"/>
  <c r="L608" i="1"/>
  <c r="H608" i="1"/>
  <c r="G608" i="1"/>
  <c r="F608" i="1"/>
  <c r="N607" i="1"/>
  <c r="M607" i="1"/>
  <c r="L607" i="1"/>
  <c r="H607" i="1"/>
  <c r="G607" i="1"/>
  <c r="F607" i="1"/>
  <c r="N606" i="1"/>
  <c r="M606" i="1"/>
  <c r="L606" i="1"/>
  <c r="H606" i="1"/>
  <c r="G606" i="1"/>
  <c r="F606" i="1"/>
  <c r="N605" i="1"/>
  <c r="M605" i="1"/>
  <c r="L605" i="1"/>
  <c r="H605" i="1"/>
  <c r="G605" i="1"/>
  <c r="F605" i="1"/>
  <c r="N604" i="1"/>
  <c r="M604" i="1"/>
  <c r="L604" i="1"/>
  <c r="H604" i="1"/>
  <c r="G604" i="1"/>
  <c r="F604" i="1"/>
  <c r="N603" i="1"/>
  <c r="M603" i="1"/>
  <c r="L603" i="1"/>
  <c r="H603" i="1"/>
  <c r="G603" i="1"/>
  <c r="F603" i="1"/>
  <c r="N602" i="1"/>
  <c r="M602" i="1"/>
  <c r="L602" i="1"/>
  <c r="H602" i="1"/>
  <c r="G602" i="1"/>
  <c r="F602" i="1"/>
  <c r="N601" i="1"/>
  <c r="M601" i="1"/>
  <c r="L601" i="1"/>
  <c r="H601" i="1"/>
  <c r="G601" i="1"/>
  <c r="F601" i="1"/>
  <c r="N600" i="1"/>
  <c r="M600" i="1"/>
  <c r="L600" i="1"/>
  <c r="H600" i="1"/>
  <c r="G600" i="1"/>
  <c r="F600" i="1"/>
  <c r="N599" i="1"/>
  <c r="M599" i="1"/>
  <c r="L599" i="1"/>
  <c r="H599" i="1"/>
  <c r="G599" i="1"/>
  <c r="F599" i="1"/>
  <c r="N598" i="1"/>
  <c r="M598" i="1"/>
  <c r="L598" i="1"/>
  <c r="H598" i="1"/>
  <c r="G598" i="1"/>
  <c r="F598" i="1"/>
  <c r="N597" i="1"/>
  <c r="M597" i="1"/>
  <c r="L597" i="1"/>
  <c r="H597" i="1"/>
  <c r="G597" i="1"/>
  <c r="F597" i="1"/>
  <c r="N596" i="1"/>
  <c r="M596" i="1"/>
  <c r="L596" i="1"/>
  <c r="H596" i="1"/>
  <c r="G596" i="1"/>
  <c r="F596" i="1"/>
  <c r="N595" i="1"/>
  <c r="M595" i="1"/>
  <c r="L595" i="1"/>
  <c r="H595" i="1"/>
  <c r="G595" i="1"/>
  <c r="F595" i="1"/>
  <c r="N594" i="1"/>
  <c r="M594" i="1"/>
  <c r="L594" i="1"/>
  <c r="H594" i="1"/>
  <c r="G594" i="1"/>
  <c r="F594" i="1"/>
  <c r="N593" i="1"/>
  <c r="M593" i="1"/>
  <c r="L593" i="1"/>
  <c r="H593" i="1"/>
  <c r="G593" i="1"/>
  <c r="F593" i="1"/>
  <c r="N592" i="1"/>
  <c r="M592" i="1"/>
  <c r="L592" i="1"/>
  <c r="H592" i="1"/>
  <c r="G592" i="1"/>
  <c r="F592" i="1"/>
  <c r="N591" i="1"/>
  <c r="M591" i="1"/>
  <c r="L591" i="1"/>
  <c r="H591" i="1"/>
  <c r="G591" i="1"/>
  <c r="F591" i="1"/>
  <c r="N590" i="1"/>
  <c r="M590" i="1"/>
  <c r="L590" i="1"/>
  <c r="H590" i="1"/>
  <c r="G590" i="1"/>
  <c r="F590" i="1"/>
  <c r="N589" i="1"/>
  <c r="M589" i="1"/>
  <c r="L589" i="1"/>
  <c r="H589" i="1"/>
  <c r="G589" i="1"/>
  <c r="F589" i="1"/>
  <c r="N588" i="1"/>
  <c r="M588" i="1"/>
  <c r="L588" i="1"/>
  <c r="H588" i="1"/>
  <c r="G588" i="1"/>
  <c r="F588" i="1"/>
  <c r="N587" i="1"/>
  <c r="M587" i="1"/>
  <c r="L587" i="1"/>
  <c r="H587" i="1"/>
  <c r="G587" i="1"/>
  <c r="F587" i="1"/>
  <c r="N586" i="1"/>
  <c r="M586" i="1"/>
  <c r="L586" i="1"/>
  <c r="H586" i="1"/>
  <c r="G586" i="1"/>
  <c r="F586" i="1"/>
  <c r="N585" i="1"/>
  <c r="M585" i="1"/>
  <c r="L585" i="1"/>
  <c r="H585" i="1"/>
  <c r="G585" i="1"/>
  <c r="F585" i="1"/>
  <c r="N584" i="1"/>
  <c r="M584" i="1"/>
  <c r="L584" i="1"/>
  <c r="H584" i="1"/>
  <c r="G584" i="1"/>
  <c r="F584" i="1"/>
  <c r="N583" i="1"/>
  <c r="M583" i="1"/>
  <c r="L583" i="1"/>
  <c r="H583" i="1"/>
  <c r="G583" i="1"/>
  <c r="F583" i="1"/>
  <c r="N582" i="1"/>
  <c r="M582" i="1"/>
  <c r="L582" i="1"/>
  <c r="H582" i="1"/>
  <c r="G582" i="1"/>
  <c r="F582" i="1"/>
  <c r="N581" i="1"/>
  <c r="M581" i="1"/>
  <c r="L581" i="1"/>
  <c r="H581" i="1"/>
  <c r="G581" i="1"/>
  <c r="F581" i="1"/>
  <c r="N580" i="1"/>
  <c r="M580" i="1"/>
  <c r="L580" i="1"/>
  <c r="H580" i="1"/>
  <c r="G580" i="1"/>
  <c r="F580" i="1"/>
  <c r="N579" i="1"/>
  <c r="M579" i="1"/>
  <c r="L579" i="1"/>
  <c r="H579" i="1"/>
  <c r="G579" i="1"/>
  <c r="F579" i="1"/>
  <c r="N578" i="1"/>
  <c r="M578" i="1"/>
  <c r="L578" i="1"/>
  <c r="H578" i="1"/>
  <c r="G578" i="1"/>
  <c r="F578" i="1"/>
  <c r="N577" i="1"/>
  <c r="M577" i="1"/>
  <c r="L577" i="1"/>
  <c r="H577" i="1"/>
  <c r="G577" i="1"/>
  <c r="F577" i="1"/>
  <c r="N576" i="1"/>
  <c r="M576" i="1"/>
  <c r="L576" i="1"/>
  <c r="H576" i="1"/>
  <c r="G576" i="1"/>
  <c r="F576" i="1"/>
  <c r="N575" i="1"/>
  <c r="M575" i="1"/>
  <c r="L575" i="1"/>
  <c r="H575" i="1"/>
  <c r="G575" i="1"/>
  <c r="F575" i="1"/>
  <c r="N574" i="1"/>
  <c r="M574" i="1"/>
  <c r="L574" i="1"/>
  <c r="H574" i="1"/>
  <c r="G574" i="1"/>
  <c r="F574" i="1"/>
  <c r="N573" i="1"/>
  <c r="M573" i="1"/>
  <c r="L573" i="1"/>
  <c r="H573" i="1"/>
  <c r="G573" i="1"/>
  <c r="F573" i="1"/>
  <c r="N572" i="1"/>
  <c r="M572" i="1"/>
  <c r="L572" i="1"/>
  <c r="H572" i="1"/>
  <c r="G572" i="1"/>
  <c r="F572" i="1"/>
  <c r="N571" i="1"/>
  <c r="M571" i="1"/>
  <c r="L571" i="1"/>
  <c r="H571" i="1"/>
  <c r="G571" i="1"/>
  <c r="F571" i="1"/>
  <c r="N570" i="1"/>
  <c r="M570" i="1"/>
  <c r="L570" i="1"/>
  <c r="H570" i="1"/>
  <c r="G570" i="1"/>
  <c r="F570" i="1"/>
  <c r="N569" i="1"/>
  <c r="M569" i="1"/>
  <c r="L569" i="1"/>
  <c r="H569" i="1"/>
  <c r="G569" i="1"/>
  <c r="F569" i="1"/>
  <c r="N568" i="1"/>
  <c r="M568" i="1"/>
  <c r="L568" i="1"/>
  <c r="H568" i="1"/>
  <c r="G568" i="1"/>
  <c r="F568" i="1"/>
  <c r="N567" i="1"/>
  <c r="M567" i="1"/>
  <c r="L567" i="1"/>
  <c r="H567" i="1"/>
  <c r="G567" i="1"/>
  <c r="F567" i="1"/>
  <c r="N566" i="1"/>
  <c r="M566" i="1"/>
  <c r="L566" i="1"/>
  <c r="H566" i="1"/>
  <c r="G566" i="1"/>
  <c r="F566" i="1"/>
  <c r="N565" i="1"/>
  <c r="M565" i="1"/>
  <c r="L565" i="1"/>
  <c r="H565" i="1"/>
  <c r="G565" i="1"/>
  <c r="F565" i="1"/>
  <c r="N564" i="1"/>
  <c r="M564" i="1"/>
  <c r="L564" i="1"/>
  <c r="H564" i="1"/>
  <c r="G564" i="1"/>
  <c r="F564" i="1"/>
  <c r="N563" i="1"/>
  <c r="M563" i="1"/>
  <c r="L563" i="1"/>
  <c r="H563" i="1"/>
  <c r="G563" i="1"/>
  <c r="F563" i="1"/>
  <c r="N562" i="1"/>
  <c r="M562" i="1"/>
  <c r="L562" i="1"/>
  <c r="H562" i="1"/>
  <c r="G562" i="1"/>
  <c r="F562" i="1"/>
  <c r="N561" i="1"/>
  <c r="M561" i="1"/>
  <c r="L561" i="1"/>
  <c r="H561" i="1"/>
  <c r="G561" i="1"/>
  <c r="F561" i="1"/>
  <c r="N560" i="1"/>
  <c r="M560" i="1"/>
  <c r="L560" i="1"/>
  <c r="H560" i="1"/>
  <c r="G560" i="1"/>
  <c r="F560" i="1"/>
  <c r="N559" i="1"/>
  <c r="M559" i="1"/>
  <c r="L559" i="1"/>
  <c r="H559" i="1"/>
  <c r="G559" i="1"/>
  <c r="F559" i="1"/>
  <c r="N558" i="1"/>
  <c r="M558" i="1"/>
  <c r="L558" i="1"/>
  <c r="H558" i="1"/>
  <c r="G558" i="1"/>
  <c r="F558" i="1"/>
  <c r="N557" i="1"/>
  <c r="M557" i="1"/>
  <c r="L557" i="1"/>
  <c r="H557" i="1"/>
  <c r="G557" i="1"/>
  <c r="F557" i="1"/>
  <c r="N556" i="1"/>
  <c r="M556" i="1"/>
  <c r="L556" i="1"/>
  <c r="H556" i="1"/>
  <c r="G556" i="1"/>
  <c r="F556" i="1"/>
  <c r="N555" i="1"/>
  <c r="M555" i="1"/>
  <c r="L555" i="1"/>
  <c r="H555" i="1"/>
  <c r="G555" i="1"/>
  <c r="F555" i="1"/>
  <c r="N554" i="1"/>
  <c r="M554" i="1"/>
  <c r="L554" i="1"/>
  <c r="H554" i="1"/>
  <c r="G554" i="1"/>
  <c r="F554" i="1"/>
  <c r="N553" i="1"/>
  <c r="M553" i="1"/>
  <c r="L553" i="1"/>
  <c r="H553" i="1"/>
  <c r="G553" i="1"/>
  <c r="F553" i="1"/>
  <c r="N552" i="1"/>
  <c r="M552" i="1"/>
  <c r="L552" i="1"/>
  <c r="H552" i="1"/>
  <c r="G552" i="1"/>
  <c r="F552" i="1"/>
  <c r="N551" i="1"/>
  <c r="M551" i="1"/>
  <c r="L551" i="1"/>
  <c r="H551" i="1"/>
  <c r="G551" i="1"/>
  <c r="F551" i="1"/>
  <c r="N550" i="1"/>
  <c r="M550" i="1"/>
  <c r="L550" i="1"/>
  <c r="H550" i="1"/>
  <c r="G550" i="1"/>
  <c r="F550" i="1"/>
  <c r="N549" i="1"/>
  <c r="M549" i="1"/>
  <c r="L549" i="1"/>
  <c r="H549" i="1"/>
  <c r="G549" i="1"/>
  <c r="F549" i="1"/>
  <c r="N548" i="1"/>
  <c r="M548" i="1"/>
  <c r="L548" i="1"/>
  <c r="H548" i="1"/>
  <c r="G548" i="1"/>
  <c r="F548" i="1"/>
  <c r="N547" i="1"/>
  <c r="M547" i="1"/>
  <c r="L547" i="1"/>
  <c r="H547" i="1"/>
  <c r="G547" i="1"/>
  <c r="F547" i="1"/>
  <c r="N546" i="1"/>
  <c r="M546" i="1"/>
  <c r="L546" i="1"/>
  <c r="H546" i="1"/>
  <c r="G546" i="1"/>
  <c r="F546" i="1"/>
  <c r="N545" i="1"/>
  <c r="M545" i="1"/>
  <c r="L545" i="1"/>
  <c r="H545" i="1"/>
  <c r="G545" i="1"/>
  <c r="F545" i="1"/>
  <c r="N544" i="1"/>
  <c r="M544" i="1"/>
  <c r="L544" i="1"/>
  <c r="H544" i="1"/>
  <c r="G544" i="1"/>
  <c r="F544" i="1"/>
  <c r="N543" i="1"/>
  <c r="M543" i="1"/>
  <c r="L543" i="1"/>
  <c r="H543" i="1"/>
  <c r="G543" i="1"/>
  <c r="F543" i="1"/>
  <c r="N542" i="1"/>
  <c r="M542" i="1"/>
  <c r="L542" i="1"/>
  <c r="H542" i="1"/>
  <c r="G542" i="1"/>
  <c r="F542" i="1"/>
  <c r="N541" i="1"/>
  <c r="M541" i="1"/>
  <c r="L541" i="1"/>
  <c r="H541" i="1"/>
  <c r="G541" i="1"/>
  <c r="F541" i="1"/>
  <c r="N540" i="1"/>
  <c r="M540" i="1"/>
  <c r="L540" i="1"/>
  <c r="H540" i="1"/>
  <c r="G540" i="1"/>
  <c r="F540" i="1"/>
  <c r="N539" i="1"/>
  <c r="M539" i="1"/>
  <c r="L539" i="1"/>
  <c r="H539" i="1"/>
  <c r="G539" i="1"/>
  <c r="F539" i="1"/>
  <c r="N538" i="1"/>
  <c r="M538" i="1"/>
  <c r="L538" i="1"/>
  <c r="H538" i="1"/>
  <c r="G538" i="1"/>
  <c r="F538" i="1"/>
  <c r="N537" i="1"/>
  <c r="M537" i="1"/>
  <c r="L537" i="1"/>
  <c r="H537" i="1"/>
  <c r="G537" i="1"/>
  <c r="F537" i="1"/>
  <c r="N536" i="1"/>
  <c r="M536" i="1"/>
  <c r="L536" i="1"/>
  <c r="H536" i="1"/>
  <c r="G536" i="1"/>
  <c r="F536" i="1"/>
  <c r="N535" i="1"/>
  <c r="M535" i="1"/>
  <c r="L535" i="1"/>
  <c r="H535" i="1"/>
  <c r="G535" i="1"/>
  <c r="F535" i="1"/>
  <c r="N534" i="1"/>
  <c r="M534" i="1"/>
  <c r="L534" i="1"/>
  <c r="H534" i="1"/>
  <c r="G534" i="1"/>
  <c r="F534" i="1"/>
  <c r="N533" i="1"/>
  <c r="M533" i="1"/>
  <c r="L533" i="1"/>
  <c r="H533" i="1"/>
  <c r="G533" i="1"/>
  <c r="F533" i="1"/>
  <c r="N532" i="1"/>
  <c r="M532" i="1"/>
  <c r="L532" i="1"/>
  <c r="H532" i="1"/>
  <c r="G532" i="1"/>
  <c r="F532" i="1"/>
  <c r="N531" i="1"/>
  <c r="M531" i="1"/>
  <c r="L531" i="1"/>
  <c r="H531" i="1"/>
  <c r="G531" i="1"/>
  <c r="F531" i="1"/>
  <c r="N530" i="1"/>
  <c r="M530" i="1"/>
  <c r="L530" i="1"/>
  <c r="H530" i="1"/>
  <c r="G530" i="1"/>
  <c r="F530" i="1"/>
  <c r="N529" i="1"/>
  <c r="M529" i="1"/>
  <c r="L529" i="1"/>
  <c r="H529" i="1"/>
  <c r="G529" i="1"/>
  <c r="F529" i="1"/>
  <c r="N528" i="1"/>
  <c r="M528" i="1"/>
  <c r="L528" i="1"/>
  <c r="H528" i="1"/>
  <c r="G528" i="1"/>
  <c r="F528" i="1"/>
  <c r="N527" i="1"/>
  <c r="M527" i="1"/>
  <c r="L527" i="1"/>
  <c r="H527" i="1"/>
  <c r="G527" i="1"/>
  <c r="F527" i="1"/>
  <c r="N526" i="1"/>
  <c r="M526" i="1"/>
  <c r="L526" i="1"/>
  <c r="H526" i="1"/>
  <c r="G526" i="1"/>
  <c r="F526" i="1"/>
  <c r="N525" i="1"/>
  <c r="M525" i="1"/>
  <c r="L525" i="1"/>
  <c r="H525" i="1"/>
  <c r="G525" i="1"/>
  <c r="F525" i="1"/>
  <c r="N524" i="1"/>
  <c r="M524" i="1"/>
  <c r="L524" i="1"/>
  <c r="H524" i="1"/>
  <c r="G524" i="1"/>
  <c r="F524" i="1"/>
  <c r="N523" i="1"/>
  <c r="M523" i="1"/>
  <c r="L523" i="1"/>
  <c r="H523" i="1"/>
  <c r="G523" i="1"/>
  <c r="F523" i="1"/>
  <c r="N522" i="1"/>
  <c r="M522" i="1"/>
  <c r="L522" i="1"/>
  <c r="H522" i="1"/>
  <c r="G522" i="1"/>
  <c r="F522" i="1"/>
  <c r="N521" i="1"/>
  <c r="M521" i="1"/>
  <c r="L521" i="1"/>
  <c r="H521" i="1"/>
  <c r="G521" i="1"/>
  <c r="F521" i="1"/>
  <c r="N520" i="1"/>
  <c r="M520" i="1"/>
  <c r="L520" i="1"/>
  <c r="H520" i="1"/>
  <c r="G520" i="1"/>
  <c r="F520" i="1"/>
  <c r="N519" i="1"/>
  <c r="M519" i="1"/>
  <c r="L519" i="1"/>
  <c r="H519" i="1"/>
  <c r="G519" i="1"/>
  <c r="F519" i="1"/>
  <c r="N518" i="1"/>
  <c r="M518" i="1"/>
  <c r="L518" i="1"/>
  <c r="H518" i="1"/>
  <c r="G518" i="1"/>
  <c r="F518" i="1"/>
  <c r="N517" i="1"/>
  <c r="M517" i="1"/>
  <c r="L517" i="1"/>
  <c r="H517" i="1"/>
  <c r="G517" i="1"/>
  <c r="F517" i="1"/>
  <c r="N516" i="1"/>
  <c r="M516" i="1"/>
  <c r="L516" i="1"/>
  <c r="H516" i="1"/>
  <c r="G516" i="1"/>
  <c r="F516" i="1"/>
  <c r="N515" i="1"/>
  <c r="M515" i="1"/>
  <c r="L515" i="1"/>
  <c r="H515" i="1"/>
  <c r="G515" i="1"/>
  <c r="F515" i="1"/>
  <c r="N514" i="1"/>
  <c r="M514" i="1"/>
  <c r="L514" i="1"/>
  <c r="H514" i="1"/>
  <c r="G514" i="1"/>
  <c r="F514" i="1"/>
  <c r="N513" i="1"/>
  <c r="M513" i="1"/>
  <c r="L513" i="1"/>
  <c r="H513" i="1"/>
  <c r="G513" i="1"/>
  <c r="F513" i="1"/>
  <c r="N512" i="1"/>
  <c r="M512" i="1"/>
  <c r="L512" i="1"/>
  <c r="H512" i="1"/>
  <c r="G512" i="1"/>
  <c r="F512" i="1"/>
  <c r="N511" i="1"/>
  <c r="M511" i="1"/>
  <c r="L511" i="1"/>
  <c r="H511" i="1"/>
  <c r="G511" i="1"/>
  <c r="F511" i="1"/>
  <c r="N510" i="1"/>
  <c r="M510" i="1"/>
  <c r="L510" i="1"/>
  <c r="H510" i="1"/>
  <c r="G510" i="1"/>
  <c r="F510" i="1"/>
  <c r="N509" i="1"/>
  <c r="M509" i="1"/>
  <c r="L509" i="1"/>
  <c r="H509" i="1"/>
  <c r="G509" i="1"/>
  <c r="F509" i="1"/>
  <c r="N508" i="1"/>
  <c r="M508" i="1"/>
  <c r="L508" i="1"/>
  <c r="H508" i="1"/>
  <c r="G508" i="1"/>
  <c r="F508" i="1"/>
  <c r="N507" i="1"/>
  <c r="M507" i="1"/>
  <c r="L507" i="1"/>
  <c r="H507" i="1"/>
  <c r="G507" i="1"/>
  <c r="F507" i="1"/>
  <c r="N506" i="1"/>
  <c r="M506" i="1"/>
  <c r="L506" i="1"/>
  <c r="H506" i="1"/>
  <c r="G506" i="1"/>
  <c r="F506" i="1"/>
  <c r="N505" i="1"/>
  <c r="M505" i="1"/>
  <c r="L505" i="1"/>
  <c r="H505" i="1"/>
  <c r="G505" i="1"/>
  <c r="F505" i="1"/>
  <c r="N504" i="1"/>
  <c r="M504" i="1"/>
  <c r="L504" i="1"/>
  <c r="H504" i="1"/>
  <c r="G504" i="1"/>
  <c r="F504" i="1"/>
  <c r="N503" i="1"/>
  <c r="M503" i="1"/>
  <c r="L503" i="1"/>
  <c r="H503" i="1"/>
  <c r="G503" i="1"/>
  <c r="F503" i="1"/>
  <c r="N502" i="1"/>
  <c r="M502" i="1"/>
  <c r="L502" i="1"/>
  <c r="H502" i="1"/>
  <c r="G502" i="1"/>
  <c r="F502" i="1"/>
  <c r="N501" i="1"/>
  <c r="M501" i="1"/>
  <c r="L501" i="1"/>
  <c r="H501" i="1"/>
  <c r="G501" i="1"/>
  <c r="F501" i="1"/>
  <c r="N500" i="1"/>
  <c r="M500" i="1"/>
  <c r="L500" i="1"/>
  <c r="H500" i="1"/>
  <c r="G500" i="1"/>
  <c r="F500" i="1"/>
  <c r="N499" i="1"/>
  <c r="M499" i="1"/>
  <c r="L499" i="1"/>
  <c r="H499" i="1"/>
  <c r="G499" i="1"/>
  <c r="F499" i="1"/>
  <c r="N498" i="1"/>
  <c r="M498" i="1"/>
  <c r="L498" i="1"/>
  <c r="H498" i="1"/>
  <c r="G498" i="1"/>
  <c r="F498" i="1"/>
  <c r="N497" i="1"/>
  <c r="M497" i="1"/>
  <c r="L497" i="1"/>
  <c r="H497" i="1"/>
  <c r="G497" i="1"/>
  <c r="F497" i="1"/>
  <c r="N496" i="1"/>
  <c r="M496" i="1"/>
  <c r="L496" i="1"/>
  <c r="H496" i="1"/>
  <c r="G496" i="1"/>
  <c r="F496" i="1"/>
  <c r="N495" i="1"/>
  <c r="M495" i="1"/>
  <c r="L495" i="1"/>
  <c r="H495" i="1"/>
  <c r="G495" i="1"/>
  <c r="F495" i="1"/>
  <c r="N494" i="1"/>
  <c r="M494" i="1"/>
  <c r="L494" i="1"/>
  <c r="H494" i="1"/>
  <c r="G494" i="1"/>
  <c r="F494" i="1"/>
  <c r="N493" i="1"/>
  <c r="M493" i="1"/>
  <c r="L493" i="1"/>
  <c r="H493" i="1"/>
  <c r="G493" i="1"/>
  <c r="F493" i="1"/>
  <c r="N492" i="1"/>
  <c r="M492" i="1"/>
  <c r="L492" i="1"/>
  <c r="H492" i="1"/>
  <c r="G492" i="1"/>
  <c r="F492" i="1"/>
  <c r="N491" i="1"/>
  <c r="M491" i="1"/>
  <c r="L491" i="1"/>
  <c r="H491" i="1"/>
  <c r="G491" i="1"/>
  <c r="F491" i="1"/>
  <c r="N490" i="1"/>
  <c r="M490" i="1"/>
  <c r="L490" i="1"/>
  <c r="H490" i="1"/>
  <c r="G490" i="1"/>
  <c r="F490" i="1"/>
  <c r="N489" i="1"/>
  <c r="M489" i="1"/>
  <c r="L489" i="1"/>
  <c r="H489" i="1"/>
  <c r="G489" i="1"/>
  <c r="F489" i="1"/>
  <c r="N488" i="1"/>
  <c r="M488" i="1"/>
  <c r="L488" i="1"/>
  <c r="H488" i="1"/>
  <c r="G488" i="1"/>
  <c r="F488" i="1"/>
  <c r="N487" i="1"/>
  <c r="M487" i="1"/>
  <c r="L487" i="1"/>
  <c r="H487" i="1"/>
  <c r="G487" i="1"/>
  <c r="F487" i="1"/>
  <c r="N486" i="1"/>
  <c r="M486" i="1"/>
  <c r="L486" i="1"/>
  <c r="H486" i="1"/>
  <c r="G486" i="1"/>
  <c r="F486" i="1"/>
  <c r="N485" i="1"/>
  <c r="M485" i="1"/>
  <c r="L485" i="1"/>
  <c r="H485" i="1"/>
  <c r="G485" i="1"/>
  <c r="F485" i="1"/>
  <c r="N484" i="1"/>
  <c r="M484" i="1"/>
  <c r="L484" i="1"/>
  <c r="H484" i="1"/>
  <c r="G484" i="1"/>
  <c r="F484" i="1"/>
  <c r="N483" i="1"/>
  <c r="M483" i="1"/>
  <c r="L483" i="1"/>
  <c r="H483" i="1"/>
  <c r="G483" i="1"/>
  <c r="F483" i="1"/>
  <c r="N482" i="1"/>
  <c r="M482" i="1"/>
  <c r="L482" i="1"/>
  <c r="H482" i="1"/>
  <c r="G482" i="1"/>
  <c r="F482" i="1"/>
  <c r="N481" i="1"/>
  <c r="M481" i="1"/>
  <c r="L481" i="1"/>
  <c r="H481" i="1"/>
  <c r="G481" i="1"/>
  <c r="F481" i="1"/>
  <c r="N480" i="1"/>
  <c r="M480" i="1"/>
  <c r="L480" i="1"/>
  <c r="H480" i="1"/>
  <c r="G480" i="1"/>
  <c r="F480" i="1"/>
  <c r="N479" i="1"/>
  <c r="M479" i="1"/>
  <c r="L479" i="1"/>
  <c r="H479" i="1"/>
  <c r="G479" i="1"/>
  <c r="F479" i="1"/>
  <c r="N478" i="1"/>
  <c r="M478" i="1"/>
  <c r="L478" i="1"/>
  <c r="H478" i="1"/>
  <c r="G478" i="1"/>
  <c r="F478" i="1"/>
  <c r="N477" i="1"/>
  <c r="M477" i="1"/>
  <c r="L477" i="1"/>
  <c r="H477" i="1"/>
  <c r="G477" i="1"/>
  <c r="F477" i="1"/>
  <c r="N476" i="1"/>
  <c r="M476" i="1"/>
  <c r="L476" i="1"/>
  <c r="H476" i="1"/>
  <c r="G476" i="1"/>
  <c r="F476" i="1"/>
  <c r="N475" i="1"/>
  <c r="M475" i="1"/>
  <c r="L475" i="1"/>
  <c r="H475" i="1"/>
  <c r="G475" i="1"/>
  <c r="F475" i="1"/>
  <c r="N474" i="1"/>
  <c r="M474" i="1"/>
  <c r="L474" i="1"/>
  <c r="H474" i="1"/>
  <c r="G474" i="1"/>
  <c r="F474" i="1"/>
  <c r="N473" i="1"/>
  <c r="M473" i="1"/>
  <c r="L473" i="1"/>
  <c r="H473" i="1"/>
  <c r="G473" i="1"/>
  <c r="F473" i="1"/>
  <c r="N472" i="1"/>
  <c r="M472" i="1"/>
  <c r="L472" i="1"/>
  <c r="H472" i="1"/>
  <c r="G472" i="1"/>
  <c r="F472" i="1"/>
  <c r="N471" i="1"/>
  <c r="M471" i="1"/>
  <c r="L471" i="1"/>
  <c r="H471" i="1"/>
  <c r="G471" i="1"/>
  <c r="F471" i="1"/>
  <c r="N470" i="1"/>
  <c r="M470" i="1"/>
  <c r="L470" i="1"/>
  <c r="H470" i="1"/>
  <c r="G470" i="1"/>
  <c r="F470" i="1"/>
  <c r="N469" i="1"/>
  <c r="M469" i="1"/>
  <c r="L469" i="1"/>
  <c r="H469" i="1"/>
  <c r="G469" i="1"/>
  <c r="F469" i="1"/>
  <c r="N468" i="1"/>
  <c r="M468" i="1"/>
  <c r="L468" i="1"/>
  <c r="H468" i="1"/>
  <c r="G468" i="1"/>
  <c r="F468" i="1"/>
  <c r="N467" i="1"/>
  <c r="M467" i="1"/>
  <c r="L467" i="1"/>
  <c r="H467" i="1"/>
  <c r="G467" i="1"/>
  <c r="F467" i="1"/>
  <c r="N466" i="1"/>
  <c r="M466" i="1"/>
  <c r="L466" i="1"/>
  <c r="H466" i="1"/>
  <c r="G466" i="1"/>
  <c r="F466" i="1"/>
  <c r="N465" i="1"/>
  <c r="M465" i="1"/>
  <c r="L465" i="1"/>
  <c r="H465" i="1"/>
  <c r="G465" i="1"/>
  <c r="F465" i="1"/>
  <c r="N464" i="1"/>
  <c r="M464" i="1"/>
  <c r="L464" i="1"/>
  <c r="H464" i="1"/>
  <c r="G464" i="1"/>
  <c r="F464" i="1"/>
  <c r="N463" i="1"/>
  <c r="M463" i="1"/>
  <c r="L463" i="1"/>
  <c r="H463" i="1"/>
  <c r="G463" i="1"/>
  <c r="F463" i="1"/>
  <c r="N462" i="1"/>
  <c r="M462" i="1"/>
  <c r="L462" i="1"/>
  <c r="H462" i="1"/>
  <c r="G462" i="1"/>
  <c r="F462" i="1"/>
  <c r="N461" i="1"/>
  <c r="M461" i="1"/>
  <c r="L461" i="1"/>
  <c r="H461" i="1"/>
  <c r="G461" i="1"/>
  <c r="F461" i="1"/>
  <c r="N460" i="1"/>
  <c r="M460" i="1"/>
  <c r="L460" i="1"/>
  <c r="H460" i="1"/>
  <c r="G460" i="1"/>
  <c r="F460" i="1"/>
  <c r="N459" i="1"/>
  <c r="M459" i="1"/>
  <c r="L459" i="1"/>
  <c r="H459" i="1"/>
  <c r="G459" i="1"/>
  <c r="F459" i="1"/>
  <c r="N458" i="1"/>
  <c r="M458" i="1"/>
  <c r="L458" i="1"/>
  <c r="H458" i="1"/>
  <c r="G458" i="1"/>
  <c r="F458" i="1"/>
  <c r="N457" i="1"/>
  <c r="M457" i="1"/>
  <c r="L457" i="1"/>
  <c r="H457" i="1"/>
  <c r="G457" i="1"/>
  <c r="F457" i="1"/>
  <c r="N456" i="1"/>
  <c r="M456" i="1"/>
  <c r="L456" i="1"/>
  <c r="H456" i="1"/>
  <c r="G456" i="1"/>
  <c r="F456" i="1"/>
  <c r="N455" i="1"/>
  <c r="M455" i="1"/>
  <c r="L455" i="1"/>
  <c r="H455" i="1"/>
  <c r="G455" i="1"/>
  <c r="F455" i="1"/>
  <c r="N454" i="1"/>
  <c r="M454" i="1"/>
  <c r="L454" i="1"/>
  <c r="H454" i="1"/>
  <c r="G454" i="1"/>
  <c r="F454" i="1"/>
  <c r="N453" i="1"/>
  <c r="M453" i="1"/>
  <c r="L453" i="1"/>
  <c r="H453" i="1"/>
  <c r="G453" i="1"/>
  <c r="F453" i="1"/>
  <c r="N452" i="1"/>
  <c r="M452" i="1"/>
  <c r="L452" i="1"/>
  <c r="H452" i="1"/>
  <c r="G452" i="1"/>
  <c r="F452" i="1"/>
  <c r="N451" i="1"/>
  <c r="M451" i="1"/>
  <c r="L451" i="1"/>
  <c r="H451" i="1"/>
  <c r="G451" i="1"/>
  <c r="F451" i="1"/>
  <c r="N450" i="1"/>
  <c r="M450" i="1"/>
  <c r="L450" i="1"/>
  <c r="H450" i="1"/>
  <c r="G450" i="1"/>
  <c r="F450" i="1"/>
  <c r="N449" i="1"/>
  <c r="M449" i="1"/>
  <c r="L449" i="1"/>
  <c r="H449" i="1"/>
  <c r="G449" i="1"/>
  <c r="F449" i="1"/>
  <c r="N448" i="1"/>
  <c r="M448" i="1"/>
  <c r="L448" i="1"/>
  <c r="H448" i="1"/>
  <c r="G448" i="1"/>
  <c r="F448" i="1"/>
  <c r="N447" i="1"/>
  <c r="M447" i="1"/>
  <c r="L447" i="1"/>
  <c r="H447" i="1"/>
  <c r="G447" i="1"/>
  <c r="F447" i="1"/>
  <c r="N446" i="1"/>
  <c r="M446" i="1"/>
  <c r="L446" i="1"/>
  <c r="H446" i="1"/>
  <c r="G446" i="1"/>
  <c r="F446" i="1"/>
  <c r="N445" i="1"/>
  <c r="M445" i="1"/>
  <c r="L445" i="1"/>
  <c r="H445" i="1"/>
  <c r="G445" i="1"/>
  <c r="F445" i="1"/>
  <c r="N444" i="1"/>
  <c r="M444" i="1"/>
  <c r="L444" i="1"/>
  <c r="H444" i="1"/>
  <c r="G444" i="1"/>
  <c r="F444" i="1"/>
  <c r="N443" i="1"/>
  <c r="M443" i="1"/>
  <c r="L443" i="1"/>
  <c r="H443" i="1"/>
  <c r="G443" i="1"/>
  <c r="F443" i="1"/>
  <c r="N442" i="1"/>
  <c r="M442" i="1"/>
  <c r="L442" i="1"/>
  <c r="H442" i="1"/>
  <c r="G442" i="1"/>
  <c r="F442" i="1"/>
  <c r="N441" i="1"/>
  <c r="M441" i="1"/>
  <c r="L441" i="1"/>
  <c r="H441" i="1"/>
  <c r="G441" i="1"/>
  <c r="F441" i="1"/>
  <c r="N440" i="1"/>
  <c r="M440" i="1"/>
  <c r="L440" i="1"/>
  <c r="H440" i="1"/>
  <c r="G440" i="1"/>
  <c r="F440" i="1"/>
  <c r="N439" i="1"/>
  <c r="M439" i="1"/>
  <c r="L439" i="1"/>
  <c r="H439" i="1"/>
  <c r="G439" i="1"/>
  <c r="F439" i="1"/>
  <c r="N438" i="1"/>
  <c r="M438" i="1"/>
  <c r="L438" i="1"/>
  <c r="H438" i="1"/>
  <c r="G438" i="1"/>
  <c r="F438" i="1"/>
  <c r="N437" i="1"/>
  <c r="M437" i="1"/>
  <c r="L437" i="1"/>
  <c r="H437" i="1"/>
  <c r="G437" i="1"/>
  <c r="F437" i="1"/>
  <c r="N436" i="1"/>
  <c r="M436" i="1"/>
  <c r="L436" i="1"/>
  <c r="H436" i="1"/>
  <c r="G436" i="1"/>
  <c r="F436" i="1"/>
  <c r="N435" i="1"/>
  <c r="M435" i="1"/>
  <c r="L435" i="1"/>
  <c r="H435" i="1"/>
  <c r="G435" i="1"/>
  <c r="F435" i="1"/>
  <c r="N434" i="1"/>
  <c r="M434" i="1"/>
  <c r="L434" i="1"/>
  <c r="H434" i="1"/>
  <c r="G434" i="1"/>
  <c r="F434" i="1"/>
  <c r="N433" i="1"/>
  <c r="M433" i="1"/>
  <c r="L433" i="1"/>
  <c r="H433" i="1"/>
  <c r="G433" i="1"/>
  <c r="F433" i="1"/>
  <c r="N432" i="1"/>
  <c r="M432" i="1"/>
  <c r="L432" i="1"/>
  <c r="H432" i="1"/>
  <c r="G432" i="1"/>
  <c r="F432" i="1"/>
  <c r="N431" i="1"/>
  <c r="M431" i="1"/>
  <c r="L431" i="1"/>
  <c r="H431" i="1"/>
  <c r="G431" i="1"/>
  <c r="F431" i="1"/>
  <c r="N430" i="1"/>
  <c r="M430" i="1"/>
  <c r="L430" i="1"/>
  <c r="H430" i="1"/>
  <c r="G430" i="1"/>
  <c r="F430" i="1"/>
  <c r="N429" i="1"/>
  <c r="M429" i="1"/>
  <c r="L429" i="1"/>
  <c r="H429" i="1"/>
  <c r="G429" i="1"/>
  <c r="F429" i="1"/>
  <c r="N428" i="1"/>
  <c r="M428" i="1"/>
  <c r="L428" i="1"/>
  <c r="H428" i="1"/>
  <c r="G428" i="1"/>
  <c r="F428" i="1"/>
  <c r="N427" i="1"/>
  <c r="M427" i="1"/>
  <c r="L427" i="1"/>
  <c r="H427" i="1"/>
  <c r="G427" i="1"/>
  <c r="F427" i="1"/>
  <c r="N426" i="1"/>
  <c r="M426" i="1"/>
  <c r="L426" i="1"/>
  <c r="H426" i="1"/>
  <c r="G426" i="1"/>
  <c r="F426" i="1"/>
  <c r="N425" i="1"/>
  <c r="M425" i="1"/>
  <c r="L425" i="1"/>
  <c r="H425" i="1"/>
  <c r="G425" i="1"/>
  <c r="F425" i="1"/>
  <c r="N424" i="1"/>
  <c r="M424" i="1"/>
  <c r="L424" i="1"/>
  <c r="H424" i="1"/>
  <c r="G424" i="1"/>
  <c r="F424" i="1"/>
  <c r="N423" i="1"/>
  <c r="M423" i="1"/>
  <c r="L423" i="1"/>
  <c r="H423" i="1"/>
  <c r="G423" i="1"/>
  <c r="F423" i="1"/>
  <c r="N422" i="1"/>
  <c r="M422" i="1"/>
  <c r="L422" i="1"/>
  <c r="H422" i="1"/>
  <c r="G422" i="1"/>
  <c r="F422" i="1"/>
  <c r="N421" i="1"/>
  <c r="M421" i="1"/>
  <c r="L421" i="1"/>
  <c r="H421" i="1"/>
  <c r="G421" i="1"/>
  <c r="F421" i="1"/>
  <c r="N420" i="1"/>
  <c r="M420" i="1"/>
  <c r="L420" i="1"/>
  <c r="H420" i="1"/>
  <c r="G420" i="1"/>
  <c r="F420" i="1"/>
  <c r="N419" i="1"/>
  <c r="M419" i="1"/>
  <c r="L419" i="1"/>
  <c r="H419" i="1"/>
  <c r="G419" i="1"/>
  <c r="F419" i="1"/>
  <c r="N418" i="1"/>
  <c r="M418" i="1"/>
  <c r="L418" i="1"/>
  <c r="H418" i="1"/>
  <c r="G418" i="1"/>
  <c r="F418" i="1"/>
  <c r="N417" i="1"/>
  <c r="M417" i="1"/>
  <c r="L417" i="1"/>
  <c r="H417" i="1"/>
  <c r="G417" i="1"/>
  <c r="F417" i="1"/>
  <c r="N416" i="1"/>
  <c r="M416" i="1"/>
  <c r="L416" i="1"/>
  <c r="H416" i="1"/>
  <c r="G416" i="1"/>
  <c r="F416" i="1"/>
  <c r="N415" i="1"/>
  <c r="M415" i="1"/>
  <c r="L415" i="1"/>
  <c r="H415" i="1"/>
  <c r="G415" i="1"/>
  <c r="F415" i="1"/>
  <c r="N414" i="1"/>
  <c r="M414" i="1"/>
  <c r="L414" i="1"/>
  <c r="H414" i="1"/>
  <c r="G414" i="1"/>
  <c r="F414" i="1"/>
  <c r="N413" i="1"/>
  <c r="M413" i="1"/>
  <c r="L413" i="1"/>
  <c r="H413" i="1"/>
  <c r="G413" i="1"/>
  <c r="F413" i="1"/>
  <c r="N412" i="1"/>
  <c r="M412" i="1"/>
  <c r="L412" i="1"/>
  <c r="H412" i="1"/>
  <c r="G412" i="1"/>
  <c r="F412" i="1"/>
  <c r="N411" i="1"/>
  <c r="M411" i="1"/>
  <c r="L411" i="1"/>
  <c r="H411" i="1"/>
  <c r="G411" i="1"/>
  <c r="F411" i="1"/>
  <c r="N410" i="1"/>
  <c r="M410" i="1"/>
  <c r="L410" i="1"/>
  <c r="H410" i="1"/>
  <c r="G410" i="1"/>
  <c r="F410" i="1"/>
  <c r="N409" i="1"/>
  <c r="M409" i="1"/>
  <c r="L409" i="1"/>
  <c r="H409" i="1"/>
  <c r="G409" i="1"/>
  <c r="F409" i="1"/>
  <c r="N408" i="1"/>
  <c r="M408" i="1"/>
  <c r="L408" i="1"/>
  <c r="H408" i="1"/>
  <c r="G408" i="1"/>
  <c r="F408" i="1"/>
  <c r="N407" i="1"/>
  <c r="M407" i="1"/>
  <c r="L407" i="1"/>
  <c r="H407" i="1"/>
  <c r="G407" i="1"/>
  <c r="F407" i="1"/>
  <c r="N406" i="1"/>
  <c r="M406" i="1"/>
  <c r="L406" i="1"/>
  <c r="H406" i="1"/>
  <c r="G406" i="1"/>
  <c r="F406" i="1"/>
  <c r="N405" i="1"/>
  <c r="M405" i="1"/>
  <c r="L405" i="1"/>
  <c r="H405" i="1"/>
  <c r="G405" i="1"/>
  <c r="F405" i="1"/>
  <c r="N404" i="1"/>
  <c r="M404" i="1"/>
  <c r="L404" i="1"/>
  <c r="H404" i="1"/>
  <c r="G404" i="1"/>
  <c r="F404" i="1"/>
  <c r="N403" i="1"/>
  <c r="M403" i="1"/>
  <c r="L403" i="1"/>
  <c r="H403" i="1"/>
  <c r="G403" i="1"/>
  <c r="F403" i="1"/>
  <c r="N402" i="1"/>
  <c r="M402" i="1"/>
  <c r="L402" i="1"/>
  <c r="H402" i="1"/>
  <c r="G402" i="1"/>
  <c r="F402" i="1"/>
  <c r="N401" i="1"/>
  <c r="M401" i="1"/>
  <c r="L401" i="1"/>
  <c r="H401" i="1"/>
  <c r="G401" i="1"/>
  <c r="F401" i="1"/>
  <c r="N400" i="1"/>
  <c r="M400" i="1"/>
  <c r="L400" i="1"/>
  <c r="H400" i="1"/>
  <c r="G400" i="1"/>
  <c r="F400" i="1"/>
  <c r="N399" i="1"/>
  <c r="M399" i="1"/>
  <c r="L399" i="1"/>
  <c r="H399" i="1"/>
  <c r="G399" i="1"/>
  <c r="F399" i="1"/>
  <c r="N398" i="1"/>
  <c r="M398" i="1"/>
  <c r="L398" i="1"/>
  <c r="H398" i="1"/>
  <c r="G398" i="1"/>
  <c r="F398" i="1"/>
  <c r="N397" i="1"/>
  <c r="M397" i="1"/>
  <c r="L397" i="1"/>
  <c r="H397" i="1"/>
  <c r="G397" i="1"/>
  <c r="F397" i="1"/>
  <c r="N396" i="1"/>
  <c r="M396" i="1"/>
  <c r="L396" i="1"/>
  <c r="H396" i="1"/>
  <c r="G396" i="1"/>
  <c r="F396" i="1"/>
  <c r="N395" i="1"/>
  <c r="M395" i="1"/>
  <c r="L395" i="1"/>
  <c r="H395" i="1"/>
  <c r="G395" i="1"/>
  <c r="F395" i="1"/>
  <c r="N394" i="1"/>
  <c r="M394" i="1"/>
  <c r="L394" i="1"/>
  <c r="H394" i="1"/>
  <c r="G394" i="1"/>
  <c r="F394" i="1"/>
  <c r="N393" i="1"/>
  <c r="M393" i="1"/>
  <c r="L393" i="1"/>
  <c r="H393" i="1"/>
  <c r="G393" i="1"/>
  <c r="F393" i="1"/>
  <c r="N392" i="1"/>
  <c r="M392" i="1"/>
  <c r="L392" i="1"/>
  <c r="H392" i="1"/>
  <c r="G392" i="1"/>
  <c r="F392" i="1"/>
  <c r="N391" i="1"/>
  <c r="M391" i="1"/>
  <c r="L391" i="1"/>
  <c r="H391" i="1"/>
  <c r="G391" i="1"/>
  <c r="F391" i="1"/>
  <c r="N390" i="1"/>
  <c r="M390" i="1"/>
  <c r="L390" i="1"/>
  <c r="H390" i="1"/>
  <c r="G390" i="1"/>
  <c r="F390" i="1"/>
  <c r="N389" i="1"/>
  <c r="M389" i="1"/>
  <c r="L389" i="1"/>
  <c r="H389" i="1"/>
  <c r="G389" i="1"/>
  <c r="F389" i="1"/>
  <c r="N388" i="1"/>
  <c r="M388" i="1"/>
  <c r="L388" i="1"/>
  <c r="H388" i="1"/>
  <c r="G388" i="1"/>
  <c r="F388" i="1"/>
  <c r="N387" i="1"/>
  <c r="M387" i="1"/>
  <c r="L387" i="1"/>
  <c r="H387" i="1"/>
  <c r="G387" i="1"/>
  <c r="F387" i="1"/>
  <c r="N386" i="1"/>
  <c r="M386" i="1"/>
  <c r="L386" i="1"/>
  <c r="H386" i="1"/>
  <c r="G386" i="1"/>
  <c r="F386" i="1"/>
  <c r="N385" i="1"/>
  <c r="M385" i="1"/>
  <c r="L385" i="1"/>
  <c r="H385" i="1"/>
  <c r="G385" i="1"/>
  <c r="F385" i="1"/>
  <c r="N384" i="1"/>
  <c r="M384" i="1"/>
  <c r="L384" i="1"/>
  <c r="H384" i="1"/>
  <c r="G384" i="1"/>
  <c r="F384" i="1"/>
  <c r="N383" i="1"/>
  <c r="M383" i="1"/>
  <c r="L383" i="1"/>
  <c r="H383" i="1"/>
  <c r="G383" i="1"/>
  <c r="F383" i="1"/>
  <c r="N382" i="1"/>
  <c r="M382" i="1"/>
  <c r="L382" i="1"/>
  <c r="H382" i="1"/>
  <c r="G382" i="1"/>
  <c r="F382" i="1"/>
  <c r="N381" i="1"/>
  <c r="M381" i="1"/>
  <c r="L381" i="1"/>
  <c r="H381" i="1"/>
  <c r="G381" i="1"/>
  <c r="F381" i="1"/>
  <c r="N380" i="1"/>
  <c r="M380" i="1"/>
  <c r="L380" i="1"/>
  <c r="H380" i="1"/>
  <c r="G380" i="1"/>
  <c r="F380" i="1"/>
  <c r="N379" i="1"/>
  <c r="M379" i="1"/>
  <c r="L379" i="1"/>
  <c r="H379" i="1"/>
  <c r="G379" i="1"/>
  <c r="F379" i="1"/>
  <c r="N378" i="1"/>
  <c r="M378" i="1"/>
  <c r="L378" i="1"/>
  <c r="H378" i="1"/>
  <c r="G378" i="1"/>
  <c r="F378" i="1"/>
  <c r="N377" i="1"/>
  <c r="M377" i="1"/>
  <c r="L377" i="1"/>
  <c r="H377" i="1"/>
  <c r="G377" i="1"/>
  <c r="F377" i="1"/>
  <c r="N376" i="1"/>
  <c r="M376" i="1"/>
  <c r="L376" i="1"/>
  <c r="H376" i="1"/>
  <c r="G376" i="1"/>
  <c r="F376" i="1"/>
  <c r="N375" i="1"/>
  <c r="M375" i="1"/>
  <c r="L375" i="1"/>
  <c r="H375" i="1"/>
  <c r="G375" i="1"/>
  <c r="F375" i="1"/>
  <c r="N374" i="1"/>
  <c r="M374" i="1"/>
  <c r="L374" i="1"/>
  <c r="H374" i="1"/>
  <c r="G374" i="1"/>
  <c r="F374" i="1"/>
  <c r="N373" i="1"/>
  <c r="M373" i="1"/>
  <c r="L373" i="1"/>
  <c r="H373" i="1"/>
  <c r="G373" i="1"/>
  <c r="F373" i="1"/>
  <c r="N372" i="1"/>
  <c r="M372" i="1"/>
  <c r="L372" i="1"/>
  <c r="H372" i="1"/>
  <c r="G372" i="1"/>
  <c r="F372" i="1"/>
  <c r="N371" i="1"/>
  <c r="M371" i="1"/>
  <c r="L371" i="1"/>
  <c r="H371" i="1"/>
  <c r="G371" i="1"/>
  <c r="F371" i="1"/>
  <c r="N370" i="1"/>
  <c r="M370" i="1"/>
  <c r="L370" i="1"/>
  <c r="H370" i="1"/>
  <c r="G370" i="1"/>
  <c r="F370" i="1"/>
  <c r="N369" i="1"/>
  <c r="M369" i="1"/>
  <c r="L369" i="1"/>
  <c r="H369" i="1"/>
  <c r="G369" i="1"/>
  <c r="F369" i="1"/>
  <c r="N368" i="1"/>
  <c r="M368" i="1"/>
  <c r="L368" i="1"/>
  <c r="H368" i="1"/>
  <c r="G368" i="1"/>
  <c r="F368" i="1"/>
  <c r="N367" i="1"/>
  <c r="M367" i="1"/>
  <c r="L367" i="1"/>
  <c r="H367" i="1"/>
  <c r="G367" i="1"/>
  <c r="F367" i="1"/>
  <c r="N366" i="1"/>
  <c r="M366" i="1"/>
  <c r="L366" i="1"/>
  <c r="H366" i="1"/>
  <c r="G366" i="1"/>
  <c r="F366" i="1"/>
  <c r="N365" i="1"/>
  <c r="M365" i="1"/>
  <c r="L365" i="1"/>
  <c r="H365" i="1"/>
  <c r="G365" i="1"/>
  <c r="F365" i="1"/>
  <c r="N364" i="1"/>
  <c r="M364" i="1"/>
  <c r="L364" i="1"/>
  <c r="H364" i="1"/>
  <c r="G364" i="1"/>
  <c r="F364" i="1"/>
  <c r="N363" i="1"/>
  <c r="M363" i="1"/>
  <c r="L363" i="1"/>
  <c r="H363" i="1"/>
  <c r="G363" i="1"/>
  <c r="F363" i="1"/>
  <c r="N362" i="1"/>
  <c r="M362" i="1"/>
  <c r="L362" i="1"/>
  <c r="H362" i="1"/>
  <c r="G362" i="1"/>
  <c r="F362" i="1"/>
  <c r="N361" i="1"/>
  <c r="M361" i="1"/>
  <c r="L361" i="1"/>
  <c r="H361" i="1"/>
  <c r="G361" i="1"/>
  <c r="F361" i="1"/>
  <c r="N360" i="1"/>
  <c r="M360" i="1"/>
  <c r="L360" i="1"/>
  <c r="H360" i="1"/>
  <c r="G360" i="1"/>
  <c r="F360" i="1"/>
  <c r="N359" i="1"/>
  <c r="M359" i="1"/>
  <c r="L359" i="1"/>
  <c r="H359" i="1"/>
  <c r="G359" i="1"/>
  <c r="F359" i="1"/>
  <c r="N358" i="1"/>
  <c r="M358" i="1"/>
  <c r="L358" i="1"/>
  <c r="H358" i="1"/>
  <c r="G358" i="1"/>
  <c r="F358" i="1"/>
  <c r="N357" i="1"/>
  <c r="M357" i="1"/>
  <c r="L357" i="1"/>
  <c r="H357" i="1"/>
  <c r="G357" i="1"/>
  <c r="F357" i="1"/>
  <c r="N356" i="1"/>
  <c r="M356" i="1"/>
  <c r="L356" i="1"/>
  <c r="H356" i="1"/>
  <c r="G356" i="1"/>
  <c r="F356" i="1"/>
  <c r="N355" i="1"/>
  <c r="M355" i="1"/>
  <c r="L355" i="1"/>
  <c r="H355" i="1"/>
  <c r="G355" i="1"/>
  <c r="F355" i="1"/>
  <c r="N354" i="1"/>
  <c r="M354" i="1"/>
  <c r="L354" i="1"/>
  <c r="H354" i="1"/>
  <c r="G354" i="1"/>
  <c r="F354" i="1"/>
  <c r="N353" i="1"/>
  <c r="M353" i="1"/>
  <c r="L353" i="1"/>
  <c r="H353" i="1"/>
  <c r="G353" i="1"/>
  <c r="F353" i="1"/>
  <c r="N352" i="1"/>
  <c r="M352" i="1"/>
  <c r="L352" i="1"/>
  <c r="H352" i="1"/>
  <c r="G352" i="1"/>
  <c r="F352" i="1"/>
  <c r="N351" i="1"/>
  <c r="M351" i="1"/>
  <c r="L351" i="1"/>
  <c r="H351" i="1"/>
  <c r="G351" i="1"/>
  <c r="F351" i="1"/>
  <c r="N350" i="1"/>
  <c r="M350" i="1"/>
  <c r="L350" i="1"/>
  <c r="H350" i="1"/>
  <c r="G350" i="1"/>
  <c r="F350" i="1"/>
  <c r="N349" i="1"/>
  <c r="M349" i="1"/>
  <c r="L349" i="1"/>
  <c r="H349" i="1"/>
  <c r="G349" i="1"/>
  <c r="F349" i="1"/>
  <c r="N348" i="1"/>
  <c r="M348" i="1"/>
  <c r="L348" i="1"/>
  <c r="H348" i="1"/>
  <c r="G348" i="1"/>
  <c r="F348" i="1"/>
  <c r="N347" i="1"/>
  <c r="M347" i="1"/>
  <c r="L347" i="1"/>
  <c r="H347" i="1"/>
  <c r="G347" i="1"/>
  <c r="F347" i="1"/>
  <c r="N346" i="1"/>
  <c r="M346" i="1"/>
  <c r="L346" i="1"/>
  <c r="H346" i="1"/>
  <c r="G346" i="1"/>
  <c r="F346" i="1"/>
  <c r="N345" i="1"/>
  <c r="M345" i="1"/>
  <c r="L345" i="1"/>
  <c r="H345" i="1"/>
  <c r="G345" i="1"/>
  <c r="F345" i="1"/>
  <c r="N344" i="1"/>
  <c r="M344" i="1"/>
  <c r="L344" i="1"/>
  <c r="H344" i="1"/>
  <c r="G344" i="1"/>
  <c r="F344" i="1"/>
  <c r="N343" i="1"/>
  <c r="M343" i="1"/>
  <c r="L343" i="1"/>
  <c r="H343" i="1"/>
  <c r="G343" i="1"/>
  <c r="F343" i="1"/>
  <c r="N342" i="1"/>
  <c r="M342" i="1"/>
  <c r="L342" i="1"/>
  <c r="H342" i="1"/>
  <c r="G342" i="1"/>
  <c r="F342" i="1"/>
  <c r="N341" i="1"/>
  <c r="M341" i="1"/>
  <c r="L341" i="1"/>
  <c r="H341" i="1"/>
  <c r="G341" i="1"/>
  <c r="F341" i="1"/>
  <c r="N340" i="1"/>
  <c r="M340" i="1"/>
  <c r="L340" i="1"/>
  <c r="H340" i="1"/>
  <c r="G340" i="1"/>
  <c r="F340" i="1"/>
  <c r="N339" i="1"/>
  <c r="M339" i="1"/>
  <c r="L339" i="1"/>
  <c r="H339" i="1"/>
  <c r="G339" i="1"/>
  <c r="F339" i="1"/>
  <c r="N338" i="1"/>
  <c r="M338" i="1"/>
  <c r="L338" i="1"/>
  <c r="H338" i="1"/>
  <c r="G338" i="1"/>
  <c r="F338" i="1"/>
  <c r="N337" i="1"/>
  <c r="M337" i="1"/>
  <c r="L337" i="1"/>
  <c r="H337" i="1"/>
  <c r="G337" i="1"/>
  <c r="F337" i="1"/>
  <c r="N336" i="1"/>
  <c r="M336" i="1"/>
  <c r="L336" i="1"/>
  <c r="H336" i="1"/>
  <c r="G336" i="1"/>
  <c r="F336" i="1"/>
  <c r="N335" i="1"/>
  <c r="M335" i="1"/>
  <c r="L335" i="1"/>
  <c r="H335" i="1"/>
  <c r="G335" i="1"/>
  <c r="F335" i="1"/>
  <c r="N334" i="1"/>
  <c r="M334" i="1"/>
  <c r="L334" i="1"/>
  <c r="H334" i="1"/>
  <c r="G334" i="1"/>
  <c r="F334" i="1"/>
  <c r="N333" i="1"/>
  <c r="M333" i="1"/>
  <c r="L333" i="1"/>
  <c r="H333" i="1"/>
  <c r="G333" i="1"/>
  <c r="F333" i="1"/>
  <c r="N332" i="1"/>
  <c r="M332" i="1"/>
  <c r="L332" i="1"/>
  <c r="H332" i="1"/>
  <c r="G332" i="1"/>
  <c r="F332" i="1"/>
  <c r="N331" i="1"/>
  <c r="M331" i="1"/>
  <c r="L331" i="1"/>
  <c r="H331" i="1"/>
  <c r="G331" i="1"/>
  <c r="F331" i="1"/>
  <c r="N330" i="1"/>
  <c r="M330" i="1"/>
  <c r="L330" i="1"/>
  <c r="H330" i="1"/>
  <c r="G330" i="1"/>
  <c r="F330" i="1"/>
  <c r="N329" i="1"/>
  <c r="M329" i="1"/>
  <c r="L329" i="1"/>
  <c r="H329" i="1"/>
  <c r="G329" i="1"/>
  <c r="F329" i="1"/>
  <c r="N328" i="1"/>
  <c r="M328" i="1"/>
  <c r="L328" i="1"/>
  <c r="H328" i="1"/>
  <c r="G328" i="1"/>
  <c r="F328" i="1"/>
  <c r="N327" i="1"/>
  <c r="M327" i="1"/>
  <c r="L327" i="1"/>
  <c r="H327" i="1"/>
  <c r="G327" i="1"/>
  <c r="F327" i="1"/>
  <c r="N326" i="1"/>
  <c r="M326" i="1"/>
  <c r="L326" i="1"/>
  <c r="H326" i="1"/>
  <c r="G326" i="1"/>
  <c r="F326" i="1"/>
  <c r="N325" i="1"/>
  <c r="M325" i="1"/>
  <c r="L325" i="1"/>
  <c r="H325" i="1"/>
  <c r="G325" i="1"/>
  <c r="F325" i="1"/>
  <c r="N324" i="1"/>
  <c r="M324" i="1"/>
  <c r="L324" i="1"/>
  <c r="H324" i="1"/>
  <c r="G324" i="1"/>
  <c r="F324" i="1"/>
  <c r="N323" i="1"/>
  <c r="M323" i="1"/>
  <c r="L323" i="1"/>
  <c r="H323" i="1"/>
  <c r="G323" i="1"/>
  <c r="F323" i="1"/>
  <c r="N322" i="1"/>
  <c r="M322" i="1"/>
  <c r="L322" i="1"/>
  <c r="H322" i="1"/>
  <c r="G322" i="1"/>
  <c r="F322" i="1"/>
  <c r="N321" i="1"/>
  <c r="M321" i="1"/>
  <c r="L321" i="1"/>
  <c r="H321" i="1"/>
  <c r="G321" i="1"/>
  <c r="F321" i="1"/>
  <c r="N320" i="1"/>
  <c r="M320" i="1"/>
  <c r="L320" i="1"/>
  <c r="H320" i="1"/>
  <c r="G320" i="1"/>
  <c r="F320" i="1"/>
  <c r="N319" i="1"/>
  <c r="M319" i="1"/>
  <c r="L319" i="1"/>
  <c r="H319" i="1"/>
  <c r="G319" i="1"/>
  <c r="F319" i="1"/>
  <c r="N318" i="1"/>
  <c r="M318" i="1"/>
  <c r="L318" i="1"/>
  <c r="H318" i="1"/>
  <c r="G318" i="1"/>
  <c r="F318" i="1"/>
  <c r="N317" i="1"/>
  <c r="M317" i="1"/>
  <c r="L317" i="1"/>
  <c r="H317" i="1"/>
  <c r="G317" i="1"/>
  <c r="F317" i="1"/>
  <c r="N316" i="1"/>
  <c r="M316" i="1"/>
  <c r="L316" i="1"/>
  <c r="H316" i="1"/>
  <c r="G316" i="1"/>
  <c r="F316" i="1"/>
  <c r="N315" i="1"/>
  <c r="M315" i="1"/>
  <c r="L315" i="1"/>
  <c r="H315" i="1"/>
  <c r="G315" i="1"/>
  <c r="F315" i="1"/>
  <c r="N314" i="1"/>
  <c r="M314" i="1"/>
  <c r="L314" i="1"/>
  <c r="H314" i="1"/>
  <c r="G314" i="1"/>
  <c r="F314" i="1"/>
  <c r="N313" i="1"/>
  <c r="M313" i="1"/>
  <c r="L313" i="1"/>
  <c r="H313" i="1"/>
  <c r="G313" i="1"/>
  <c r="F313" i="1"/>
  <c r="N312" i="1"/>
  <c r="M312" i="1"/>
  <c r="L312" i="1"/>
  <c r="H312" i="1"/>
  <c r="G312" i="1"/>
  <c r="F312" i="1"/>
  <c r="N311" i="1"/>
  <c r="M311" i="1"/>
  <c r="L311" i="1"/>
  <c r="H311" i="1"/>
  <c r="G311" i="1"/>
  <c r="F311" i="1"/>
  <c r="N310" i="1"/>
  <c r="M310" i="1"/>
  <c r="L310" i="1"/>
  <c r="H310" i="1"/>
  <c r="G310" i="1"/>
  <c r="F310" i="1"/>
  <c r="N309" i="1"/>
  <c r="M309" i="1"/>
  <c r="L309" i="1"/>
  <c r="H309" i="1"/>
  <c r="G309" i="1"/>
  <c r="F309" i="1"/>
  <c r="N308" i="1"/>
  <c r="M308" i="1"/>
  <c r="L308" i="1"/>
  <c r="H308" i="1"/>
  <c r="G308" i="1"/>
  <c r="F308" i="1"/>
  <c r="N307" i="1"/>
  <c r="M307" i="1"/>
  <c r="L307" i="1"/>
  <c r="H307" i="1"/>
  <c r="G307" i="1"/>
  <c r="F307" i="1"/>
  <c r="N306" i="1"/>
  <c r="M306" i="1"/>
  <c r="L306" i="1"/>
  <c r="H306" i="1"/>
  <c r="G306" i="1"/>
  <c r="F306" i="1"/>
  <c r="N305" i="1"/>
  <c r="M305" i="1"/>
  <c r="L305" i="1"/>
  <c r="H305" i="1"/>
  <c r="G305" i="1"/>
  <c r="F305" i="1"/>
  <c r="N304" i="1"/>
  <c r="M304" i="1"/>
  <c r="L304" i="1"/>
  <c r="H304" i="1"/>
  <c r="G304" i="1"/>
  <c r="F304" i="1"/>
  <c r="N303" i="1"/>
  <c r="M303" i="1"/>
  <c r="L303" i="1"/>
  <c r="H303" i="1"/>
  <c r="G303" i="1"/>
  <c r="F303" i="1"/>
  <c r="N302" i="1"/>
  <c r="M302" i="1"/>
  <c r="L302" i="1"/>
  <c r="H302" i="1"/>
  <c r="G302" i="1"/>
  <c r="F302" i="1"/>
  <c r="N301" i="1"/>
  <c r="M301" i="1"/>
  <c r="L301" i="1"/>
  <c r="H301" i="1"/>
  <c r="G301" i="1"/>
  <c r="F301" i="1"/>
  <c r="N300" i="1"/>
  <c r="M300" i="1"/>
  <c r="L300" i="1"/>
  <c r="H300" i="1"/>
  <c r="G300" i="1"/>
  <c r="F300" i="1"/>
  <c r="N299" i="1"/>
  <c r="M299" i="1"/>
  <c r="L299" i="1"/>
  <c r="H299" i="1"/>
  <c r="G299" i="1"/>
  <c r="F299" i="1"/>
  <c r="N298" i="1"/>
  <c r="M298" i="1"/>
  <c r="L298" i="1"/>
  <c r="H298" i="1"/>
  <c r="G298" i="1"/>
  <c r="F298" i="1"/>
  <c r="N297" i="1"/>
  <c r="M297" i="1"/>
  <c r="L297" i="1"/>
  <c r="H297" i="1"/>
  <c r="G297" i="1"/>
  <c r="F297" i="1"/>
  <c r="N296" i="1"/>
  <c r="M296" i="1"/>
  <c r="L296" i="1"/>
  <c r="H296" i="1"/>
  <c r="G296" i="1"/>
  <c r="F296" i="1"/>
  <c r="N295" i="1"/>
  <c r="M295" i="1"/>
  <c r="L295" i="1"/>
  <c r="H295" i="1"/>
  <c r="G295" i="1"/>
  <c r="F295" i="1"/>
  <c r="N294" i="1"/>
  <c r="M294" i="1"/>
  <c r="L294" i="1"/>
  <c r="H294" i="1"/>
  <c r="G294" i="1"/>
  <c r="F294" i="1"/>
  <c r="N293" i="1"/>
  <c r="M293" i="1"/>
  <c r="L293" i="1"/>
  <c r="H293" i="1"/>
  <c r="G293" i="1"/>
  <c r="F293" i="1"/>
  <c r="N292" i="1"/>
  <c r="M292" i="1"/>
  <c r="L292" i="1"/>
  <c r="H292" i="1"/>
  <c r="G292" i="1"/>
  <c r="F292" i="1"/>
  <c r="N291" i="1"/>
  <c r="M291" i="1"/>
  <c r="L291" i="1"/>
  <c r="H291" i="1"/>
  <c r="G291" i="1"/>
  <c r="F291" i="1"/>
  <c r="N290" i="1"/>
  <c r="M290" i="1"/>
  <c r="L290" i="1"/>
  <c r="H290" i="1"/>
  <c r="G290" i="1"/>
  <c r="F290" i="1"/>
  <c r="N289" i="1"/>
  <c r="M289" i="1"/>
  <c r="L289" i="1"/>
  <c r="H289" i="1"/>
  <c r="G289" i="1"/>
  <c r="F289" i="1"/>
  <c r="N288" i="1"/>
  <c r="M288" i="1"/>
  <c r="L288" i="1"/>
  <c r="H288" i="1"/>
  <c r="G288" i="1"/>
  <c r="F288" i="1"/>
  <c r="N287" i="1"/>
  <c r="M287" i="1"/>
  <c r="L287" i="1"/>
  <c r="H287" i="1"/>
  <c r="G287" i="1"/>
  <c r="F287" i="1"/>
  <c r="N286" i="1"/>
  <c r="M286" i="1"/>
  <c r="L286" i="1"/>
  <c r="H286" i="1"/>
  <c r="G286" i="1"/>
  <c r="F286" i="1"/>
  <c r="N285" i="1"/>
  <c r="M285" i="1"/>
  <c r="L285" i="1"/>
  <c r="H285" i="1"/>
  <c r="G285" i="1"/>
  <c r="F285" i="1"/>
  <c r="N284" i="1"/>
  <c r="M284" i="1"/>
  <c r="L284" i="1"/>
  <c r="H284" i="1"/>
  <c r="G284" i="1"/>
  <c r="F284" i="1"/>
  <c r="N283" i="1"/>
  <c r="M283" i="1"/>
  <c r="L283" i="1"/>
  <c r="H283" i="1"/>
  <c r="G283" i="1"/>
  <c r="F283" i="1"/>
  <c r="N282" i="1"/>
  <c r="M282" i="1"/>
  <c r="L282" i="1"/>
  <c r="H282" i="1"/>
  <c r="G282" i="1"/>
  <c r="F282" i="1"/>
  <c r="N281" i="1"/>
  <c r="M281" i="1"/>
  <c r="L281" i="1"/>
  <c r="H281" i="1"/>
  <c r="G281" i="1"/>
  <c r="F281" i="1"/>
  <c r="N280" i="1"/>
  <c r="M280" i="1"/>
  <c r="L280" i="1"/>
  <c r="H280" i="1"/>
  <c r="G280" i="1"/>
  <c r="F280" i="1"/>
  <c r="N279" i="1"/>
  <c r="M279" i="1"/>
  <c r="L279" i="1"/>
  <c r="H279" i="1"/>
  <c r="G279" i="1"/>
  <c r="F279" i="1"/>
  <c r="N278" i="1"/>
  <c r="M278" i="1"/>
  <c r="L278" i="1"/>
  <c r="H278" i="1"/>
  <c r="G278" i="1"/>
  <c r="F278" i="1"/>
  <c r="N277" i="1"/>
  <c r="M277" i="1"/>
  <c r="L277" i="1"/>
  <c r="H277" i="1"/>
  <c r="G277" i="1"/>
  <c r="F277" i="1"/>
  <c r="N276" i="1"/>
  <c r="M276" i="1"/>
  <c r="L276" i="1"/>
  <c r="H276" i="1"/>
  <c r="G276" i="1"/>
  <c r="F276" i="1"/>
  <c r="N275" i="1"/>
  <c r="M275" i="1"/>
  <c r="L275" i="1"/>
  <c r="H275" i="1"/>
  <c r="G275" i="1"/>
  <c r="F275" i="1"/>
  <c r="N274" i="1"/>
  <c r="M274" i="1"/>
  <c r="L274" i="1"/>
  <c r="H274" i="1"/>
  <c r="G274" i="1"/>
  <c r="F274" i="1"/>
  <c r="N273" i="1"/>
  <c r="M273" i="1"/>
  <c r="L273" i="1"/>
  <c r="H273" i="1"/>
  <c r="G273" i="1"/>
  <c r="F273" i="1"/>
  <c r="N272" i="1"/>
  <c r="M272" i="1"/>
  <c r="L272" i="1"/>
  <c r="H272" i="1"/>
  <c r="G272" i="1"/>
  <c r="F272" i="1"/>
  <c r="N271" i="1"/>
  <c r="M271" i="1"/>
  <c r="L271" i="1"/>
  <c r="H271" i="1"/>
  <c r="G271" i="1"/>
  <c r="F271" i="1"/>
  <c r="N270" i="1"/>
  <c r="M270" i="1"/>
  <c r="L270" i="1"/>
  <c r="H270" i="1"/>
  <c r="G270" i="1"/>
  <c r="F270" i="1"/>
  <c r="N269" i="1"/>
  <c r="M269" i="1"/>
  <c r="L269" i="1"/>
  <c r="H269" i="1"/>
  <c r="G269" i="1"/>
  <c r="F269" i="1"/>
  <c r="N268" i="1"/>
  <c r="M268" i="1"/>
  <c r="L268" i="1"/>
  <c r="H268" i="1"/>
  <c r="G268" i="1"/>
  <c r="F268" i="1"/>
  <c r="N267" i="1"/>
  <c r="M267" i="1"/>
  <c r="L267" i="1"/>
  <c r="H267" i="1"/>
  <c r="G267" i="1"/>
  <c r="F267" i="1"/>
  <c r="N266" i="1"/>
  <c r="M266" i="1"/>
  <c r="L266" i="1"/>
  <c r="H266" i="1"/>
  <c r="G266" i="1"/>
  <c r="F266" i="1"/>
  <c r="N265" i="1"/>
  <c r="M265" i="1"/>
  <c r="L265" i="1"/>
  <c r="H265" i="1"/>
  <c r="G265" i="1"/>
  <c r="F265" i="1"/>
  <c r="N264" i="1"/>
  <c r="M264" i="1"/>
  <c r="L264" i="1"/>
  <c r="H264" i="1"/>
  <c r="G264" i="1"/>
  <c r="F264" i="1"/>
  <c r="N263" i="1"/>
  <c r="M263" i="1"/>
  <c r="L263" i="1"/>
  <c r="H263" i="1"/>
  <c r="G263" i="1"/>
  <c r="F263" i="1"/>
  <c r="N262" i="1"/>
  <c r="M262" i="1"/>
  <c r="L262" i="1"/>
  <c r="H262" i="1"/>
  <c r="G262" i="1"/>
  <c r="F262" i="1"/>
  <c r="N261" i="1"/>
  <c r="M261" i="1"/>
  <c r="L261" i="1"/>
  <c r="H261" i="1"/>
  <c r="G261" i="1"/>
  <c r="F261" i="1"/>
  <c r="N260" i="1"/>
  <c r="M260" i="1"/>
  <c r="L260" i="1"/>
  <c r="H260" i="1"/>
  <c r="G260" i="1"/>
  <c r="F260" i="1"/>
  <c r="N259" i="1"/>
  <c r="M259" i="1"/>
  <c r="L259" i="1"/>
  <c r="H259" i="1"/>
  <c r="G259" i="1"/>
  <c r="F259" i="1"/>
  <c r="N258" i="1"/>
  <c r="M258" i="1"/>
  <c r="L258" i="1"/>
  <c r="H258" i="1"/>
  <c r="G258" i="1"/>
  <c r="F258" i="1"/>
  <c r="N257" i="1"/>
  <c r="M257" i="1"/>
  <c r="L257" i="1"/>
  <c r="H257" i="1"/>
  <c r="G257" i="1"/>
  <c r="F257" i="1"/>
  <c r="N256" i="1"/>
  <c r="M256" i="1"/>
  <c r="L256" i="1"/>
  <c r="H256" i="1"/>
  <c r="G256" i="1"/>
  <c r="F256" i="1"/>
  <c r="N255" i="1"/>
  <c r="M255" i="1"/>
  <c r="L255" i="1"/>
  <c r="H255" i="1"/>
  <c r="G255" i="1"/>
  <c r="F255" i="1"/>
  <c r="N254" i="1"/>
  <c r="M254" i="1"/>
  <c r="L254" i="1"/>
  <c r="H254" i="1"/>
  <c r="G254" i="1"/>
  <c r="F254" i="1"/>
  <c r="N253" i="1"/>
  <c r="M253" i="1"/>
  <c r="L253" i="1"/>
  <c r="H253" i="1"/>
  <c r="G253" i="1"/>
  <c r="F253" i="1"/>
  <c r="N252" i="1"/>
  <c r="M252" i="1"/>
  <c r="L252" i="1"/>
  <c r="H252" i="1"/>
  <c r="G252" i="1"/>
  <c r="F252" i="1"/>
  <c r="N251" i="1"/>
  <c r="M251" i="1"/>
  <c r="L251" i="1"/>
  <c r="H251" i="1"/>
  <c r="G251" i="1"/>
  <c r="F251" i="1"/>
  <c r="N250" i="1"/>
  <c r="M250" i="1"/>
  <c r="L250" i="1"/>
  <c r="H250" i="1"/>
  <c r="G250" i="1"/>
  <c r="F250" i="1"/>
  <c r="N249" i="1"/>
  <c r="M249" i="1"/>
  <c r="L249" i="1"/>
  <c r="H249" i="1"/>
  <c r="G249" i="1"/>
  <c r="F249" i="1"/>
  <c r="N248" i="1"/>
  <c r="M248" i="1"/>
  <c r="L248" i="1"/>
  <c r="H248" i="1"/>
  <c r="G248" i="1"/>
  <c r="F248" i="1"/>
  <c r="N247" i="1"/>
  <c r="M247" i="1"/>
  <c r="L247" i="1"/>
  <c r="H247" i="1"/>
  <c r="G247" i="1"/>
  <c r="F247" i="1"/>
  <c r="N246" i="1"/>
  <c r="M246" i="1"/>
  <c r="L246" i="1"/>
  <c r="H246" i="1"/>
  <c r="G246" i="1"/>
  <c r="F246" i="1"/>
  <c r="N245" i="1"/>
  <c r="M245" i="1"/>
  <c r="L245" i="1"/>
  <c r="H245" i="1"/>
  <c r="G245" i="1"/>
  <c r="F245" i="1"/>
  <c r="N244" i="1"/>
  <c r="M244" i="1"/>
  <c r="L244" i="1"/>
  <c r="H244" i="1"/>
  <c r="G244" i="1"/>
  <c r="F244" i="1"/>
  <c r="N243" i="1"/>
  <c r="M243" i="1"/>
  <c r="L243" i="1"/>
  <c r="H243" i="1"/>
  <c r="G243" i="1"/>
  <c r="F243" i="1"/>
  <c r="N242" i="1"/>
  <c r="M242" i="1"/>
  <c r="L242" i="1"/>
  <c r="H242" i="1"/>
  <c r="G242" i="1"/>
  <c r="F242" i="1"/>
  <c r="N241" i="1"/>
  <c r="M241" i="1"/>
  <c r="L241" i="1"/>
  <c r="H241" i="1"/>
  <c r="G241" i="1"/>
  <c r="F241" i="1"/>
  <c r="N240" i="1"/>
  <c r="M240" i="1"/>
  <c r="L240" i="1"/>
  <c r="H240" i="1"/>
  <c r="G240" i="1"/>
  <c r="F240" i="1"/>
  <c r="N239" i="1"/>
  <c r="M239" i="1"/>
  <c r="L239" i="1"/>
  <c r="H239" i="1"/>
  <c r="G239" i="1"/>
  <c r="F239" i="1"/>
  <c r="N238" i="1"/>
  <c r="M238" i="1"/>
  <c r="L238" i="1"/>
  <c r="H238" i="1"/>
  <c r="G238" i="1"/>
  <c r="F238" i="1"/>
  <c r="N237" i="1"/>
  <c r="M237" i="1"/>
  <c r="L237" i="1"/>
  <c r="H237" i="1"/>
  <c r="G237" i="1"/>
  <c r="F237" i="1"/>
  <c r="N236" i="1"/>
  <c r="M236" i="1"/>
  <c r="L236" i="1"/>
  <c r="H236" i="1"/>
  <c r="G236" i="1"/>
  <c r="F236" i="1"/>
  <c r="N235" i="1"/>
  <c r="M235" i="1"/>
  <c r="L235" i="1"/>
  <c r="H235" i="1"/>
  <c r="G235" i="1"/>
  <c r="F235" i="1"/>
  <c r="N234" i="1"/>
  <c r="M234" i="1"/>
  <c r="L234" i="1"/>
  <c r="H234" i="1"/>
  <c r="G234" i="1"/>
  <c r="F234" i="1"/>
  <c r="N233" i="1"/>
  <c r="M233" i="1"/>
  <c r="L233" i="1"/>
  <c r="H233" i="1"/>
  <c r="G233" i="1"/>
  <c r="F233" i="1"/>
  <c r="N232" i="1"/>
  <c r="M232" i="1"/>
  <c r="L232" i="1"/>
  <c r="H232" i="1"/>
  <c r="G232" i="1"/>
  <c r="F232" i="1"/>
  <c r="N231" i="1"/>
  <c r="M231" i="1"/>
  <c r="L231" i="1"/>
  <c r="H231" i="1"/>
  <c r="G231" i="1"/>
  <c r="F231" i="1"/>
  <c r="N230" i="1"/>
  <c r="M230" i="1"/>
  <c r="L230" i="1"/>
  <c r="H230" i="1"/>
  <c r="G230" i="1"/>
  <c r="F230" i="1"/>
  <c r="N229" i="1"/>
  <c r="M229" i="1"/>
  <c r="L229" i="1"/>
  <c r="H229" i="1"/>
  <c r="G229" i="1"/>
  <c r="F229" i="1"/>
  <c r="N228" i="1"/>
  <c r="M228" i="1"/>
  <c r="L228" i="1"/>
  <c r="H228" i="1"/>
  <c r="G228" i="1"/>
  <c r="F228" i="1"/>
  <c r="N227" i="1"/>
  <c r="M227" i="1"/>
  <c r="L227" i="1"/>
  <c r="H227" i="1"/>
  <c r="G227" i="1"/>
  <c r="F227" i="1"/>
  <c r="N226" i="1"/>
  <c r="M226" i="1"/>
  <c r="L226" i="1"/>
  <c r="H226" i="1"/>
  <c r="G226" i="1"/>
  <c r="F226" i="1"/>
  <c r="N225" i="1"/>
  <c r="M225" i="1"/>
  <c r="L225" i="1"/>
  <c r="H225" i="1"/>
  <c r="G225" i="1"/>
  <c r="F225" i="1"/>
  <c r="N224" i="1"/>
  <c r="M224" i="1"/>
  <c r="L224" i="1"/>
  <c r="H224" i="1"/>
  <c r="G224" i="1"/>
  <c r="F224" i="1"/>
  <c r="N223" i="1"/>
  <c r="M223" i="1"/>
  <c r="L223" i="1"/>
  <c r="H223" i="1"/>
  <c r="G223" i="1"/>
  <c r="F223" i="1"/>
  <c r="N222" i="1"/>
  <c r="M222" i="1"/>
  <c r="L222" i="1"/>
  <c r="H222" i="1"/>
  <c r="G222" i="1"/>
  <c r="F222" i="1"/>
  <c r="N221" i="1"/>
  <c r="M221" i="1"/>
  <c r="L221" i="1"/>
  <c r="H221" i="1"/>
  <c r="G221" i="1"/>
  <c r="F221" i="1"/>
  <c r="N220" i="1"/>
  <c r="M220" i="1"/>
  <c r="L220" i="1"/>
  <c r="H220" i="1"/>
  <c r="G220" i="1"/>
  <c r="F220" i="1"/>
  <c r="N219" i="1"/>
  <c r="M219" i="1"/>
  <c r="L219" i="1"/>
  <c r="H219" i="1"/>
  <c r="G219" i="1"/>
  <c r="F219" i="1"/>
  <c r="N218" i="1"/>
  <c r="M218" i="1"/>
  <c r="L218" i="1"/>
  <c r="H218" i="1"/>
  <c r="G218" i="1"/>
  <c r="F218" i="1"/>
  <c r="N217" i="1"/>
  <c r="M217" i="1"/>
  <c r="L217" i="1"/>
  <c r="H217" i="1"/>
  <c r="G217" i="1"/>
  <c r="F217" i="1"/>
  <c r="N216" i="1"/>
  <c r="M216" i="1"/>
  <c r="L216" i="1"/>
  <c r="H216" i="1"/>
  <c r="G216" i="1"/>
  <c r="F216" i="1"/>
  <c r="N215" i="1"/>
  <c r="M215" i="1"/>
  <c r="L215" i="1"/>
  <c r="H215" i="1"/>
  <c r="G215" i="1"/>
  <c r="F215" i="1"/>
  <c r="N214" i="1"/>
  <c r="M214" i="1"/>
  <c r="L214" i="1"/>
  <c r="H214" i="1"/>
  <c r="G214" i="1"/>
  <c r="F214" i="1"/>
  <c r="N213" i="1"/>
  <c r="M213" i="1"/>
  <c r="L213" i="1"/>
  <c r="H213" i="1"/>
  <c r="G213" i="1"/>
  <c r="F213" i="1"/>
  <c r="N212" i="1"/>
  <c r="M212" i="1"/>
  <c r="L212" i="1"/>
  <c r="H212" i="1"/>
  <c r="G212" i="1"/>
  <c r="F212" i="1"/>
  <c r="N211" i="1"/>
  <c r="M211" i="1"/>
  <c r="L211" i="1"/>
  <c r="H211" i="1"/>
  <c r="G211" i="1"/>
  <c r="F211" i="1"/>
  <c r="N210" i="1"/>
  <c r="M210" i="1"/>
  <c r="L210" i="1"/>
  <c r="H210" i="1"/>
  <c r="G210" i="1"/>
  <c r="F210" i="1"/>
  <c r="N209" i="1"/>
  <c r="M209" i="1"/>
  <c r="L209" i="1"/>
  <c r="H209" i="1"/>
  <c r="G209" i="1"/>
  <c r="F209" i="1"/>
  <c r="N208" i="1"/>
  <c r="M208" i="1"/>
  <c r="L208" i="1"/>
  <c r="H208" i="1"/>
  <c r="G208" i="1"/>
  <c r="F208" i="1"/>
  <c r="N207" i="1"/>
  <c r="M207" i="1"/>
  <c r="L207" i="1"/>
  <c r="H207" i="1"/>
  <c r="G207" i="1"/>
  <c r="F207" i="1"/>
  <c r="N206" i="1"/>
  <c r="M206" i="1"/>
  <c r="L206" i="1"/>
  <c r="H206" i="1"/>
  <c r="G206" i="1"/>
  <c r="F206" i="1"/>
  <c r="N205" i="1"/>
  <c r="M205" i="1"/>
  <c r="L205" i="1"/>
  <c r="H205" i="1"/>
  <c r="G205" i="1"/>
  <c r="F205" i="1"/>
  <c r="N204" i="1"/>
  <c r="M204" i="1"/>
  <c r="L204" i="1"/>
  <c r="H204" i="1"/>
  <c r="G204" i="1"/>
  <c r="F204" i="1"/>
  <c r="N203" i="1"/>
  <c r="M203" i="1"/>
  <c r="L203" i="1"/>
  <c r="H203" i="1"/>
  <c r="G203" i="1"/>
  <c r="F203" i="1"/>
  <c r="N202" i="1"/>
  <c r="M202" i="1"/>
  <c r="L202" i="1"/>
  <c r="H202" i="1"/>
  <c r="G202" i="1"/>
  <c r="F202" i="1"/>
  <c r="N201" i="1"/>
  <c r="M201" i="1"/>
  <c r="L201" i="1"/>
  <c r="H201" i="1"/>
  <c r="G201" i="1"/>
  <c r="F201" i="1"/>
  <c r="N200" i="1"/>
  <c r="M200" i="1"/>
  <c r="L200" i="1"/>
  <c r="H200" i="1"/>
  <c r="G200" i="1"/>
  <c r="F200" i="1"/>
  <c r="N199" i="1"/>
  <c r="M199" i="1"/>
  <c r="L199" i="1"/>
  <c r="H199" i="1"/>
  <c r="G199" i="1"/>
  <c r="F199" i="1"/>
  <c r="N198" i="1"/>
  <c r="M198" i="1"/>
  <c r="L198" i="1"/>
  <c r="H198" i="1"/>
  <c r="G198" i="1"/>
  <c r="F198" i="1"/>
  <c r="N197" i="1"/>
  <c r="M197" i="1"/>
  <c r="L197" i="1"/>
  <c r="H197" i="1"/>
  <c r="G197" i="1"/>
  <c r="F197" i="1"/>
  <c r="N196" i="1"/>
  <c r="M196" i="1"/>
  <c r="L196" i="1"/>
  <c r="H196" i="1"/>
  <c r="G196" i="1"/>
  <c r="F196" i="1"/>
  <c r="N195" i="1"/>
  <c r="M195" i="1"/>
  <c r="L195" i="1"/>
  <c r="H195" i="1"/>
  <c r="G195" i="1"/>
  <c r="F195" i="1"/>
  <c r="N194" i="1"/>
  <c r="M194" i="1"/>
  <c r="L194" i="1"/>
  <c r="H194" i="1"/>
  <c r="G194" i="1"/>
  <c r="F194" i="1"/>
  <c r="N193" i="1"/>
  <c r="M193" i="1"/>
  <c r="L193" i="1"/>
  <c r="H193" i="1"/>
  <c r="G193" i="1"/>
  <c r="F193" i="1"/>
  <c r="N192" i="1"/>
  <c r="M192" i="1"/>
  <c r="L192" i="1"/>
  <c r="H192" i="1"/>
  <c r="G192" i="1"/>
  <c r="F192" i="1"/>
  <c r="N191" i="1"/>
  <c r="M191" i="1"/>
  <c r="L191" i="1"/>
  <c r="H191" i="1"/>
  <c r="G191" i="1"/>
  <c r="F191" i="1"/>
  <c r="N190" i="1"/>
  <c r="M190" i="1"/>
  <c r="L190" i="1"/>
  <c r="H190" i="1"/>
  <c r="G190" i="1"/>
  <c r="F190" i="1"/>
  <c r="N189" i="1"/>
  <c r="M189" i="1"/>
  <c r="L189" i="1"/>
  <c r="H189" i="1"/>
  <c r="G189" i="1"/>
  <c r="F189" i="1"/>
  <c r="N188" i="1"/>
  <c r="M188" i="1"/>
  <c r="L188" i="1"/>
  <c r="H188" i="1"/>
  <c r="G188" i="1"/>
  <c r="F188" i="1"/>
  <c r="N187" i="1"/>
  <c r="M187" i="1"/>
  <c r="L187" i="1"/>
  <c r="H187" i="1"/>
  <c r="G187" i="1"/>
  <c r="F187" i="1"/>
  <c r="N186" i="1"/>
  <c r="M186" i="1"/>
  <c r="L186" i="1"/>
  <c r="H186" i="1"/>
  <c r="G186" i="1"/>
  <c r="F186" i="1"/>
  <c r="N185" i="1"/>
  <c r="M185" i="1"/>
  <c r="L185" i="1"/>
  <c r="H185" i="1"/>
  <c r="G185" i="1"/>
  <c r="F185" i="1"/>
  <c r="N184" i="1"/>
  <c r="M184" i="1"/>
  <c r="L184" i="1"/>
  <c r="H184" i="1"/>
  <c r="G184" i="1"/>
  <c r="F184" i="1"/>
  <c r="N183" i="1"/>
  <c r="M183" i="1"/>
  <c r="L183" i="1"/>
  <c r="H183" i="1"/>
  <c r="G183" i="1"/>
  <c r="F183" i="1"/>
  <c r="N182" i="1"/>
  <c r="M182" i="1"/>
  <c r="L182" i="1"/>
  <c r="H182" i="1"/>
  <c r="G182" i="1"/>
  <c r="F182" i="1"/>
  <c r="N181" i="1"/>
  <c r="M181" i="1"/>
  <c r="L181" i="1"/>
  <c r="H181" i="1"/>
  <c r="G181" i="1"/>
  <c r="F181" i="1"/>
  <c r="N180" i="1"/>
  <c r="M180" i="1"/>
  <c r="L180" i="1"/>
  <c r="H180" i="1"/>
  <c r="G180" i="1"/>
  <c r="F180" i="1"/>
  <c r="N179" i="1"/>
  <c r="M179" i="1"/>
  <c r="L179" i="1"/>
  <c r="H179" i="1"/>
  <c r="G179" i="1"/>
  <c r="F179" i="1"/>
  <c r="N178" i="1"/>
  <c r="M178" i="1"/>
  <c r="L178" i="1"/>
  <c r="H178" i="1"/>
  <c r="G178" i="1"/>
  <c r="F178" i="1"/>
  <c r="N177" i="1"/>
  <c r="M177" i="1"/>
  <c r="L177" i="1"/>
  <c r="H177" i="1"/>
  <c r="G177" i="1"/>
  <c r="F177" i="1"/>
  <c r="N176" i="1"/>
  <c r="M176" i="1"/>
  <c r="L176" i="1"/>
  <c r="H176" i="1"/>
  <c r="G176" i="1"/>
  <c r="F176" i="1"/>
  <c r="N175" i="1"/>
  <c r="M175" i="1"/>
  <c r="L175" i="1"/>
  <c r="H175" i="1"/>
  <c r="G175" i="1"/>
  <c r="F175" i="1"/>
  <c r="N174" i="1"/>
  <c r="M174" i="1"/>
  <c r="L174" i="1"/>
  <c r="H174" i="1"/>
  <c r="G174" i="1"/>
  <c r="F174" i="1"/>
  <c r="N173" i="1"/>
  <c r="M173" i="1"/>
  <c r="L173" i="1"/>
  <c r="H173" i="1"/>
  <c r="G173" i="1"/>
  <c r="F173" i="1"/>
  <c r="N172" i="1"/>
  <c r="M172" i="1"/>
  <c r="L172" i="1"/>
  <c r="H172" i="1"/>
  <c r="G172" i="1"/>
  <c r="F172" i="1"/>
  <c r="N171" i="1"/>
  <c r="M171" i="1"/>
  <c r="L171" i="1"/>
  <c r="H171" i="1"/>
  <c r="G171" i="1"/>
  <c r="F171" i="1"/>
  <c r="N170" i="1"/>
  <c r="M170" i="1"/>
  <c r="L170" i="1"/>
  <c r="H170" i="1"/>
  <c r="G170" i="1"/>
  <c r="F170" i="1"/>
  <c r="N169" i="1"/>
  <c r="M169" i="1"/>
  <c r="L169" i="1"/>
  <c r="H169" i="1"/>
  <c r="G169" i="1"/>
  <c r="F169" i="1"/>
  <c r="N168" i="1"/>
  <c r="M168" i="1"/>
  <c r="L168" i="1"/>
  <c r="H168" i="1"/>
  <c r="G168" i="1"/>
  <c r="F168" i="1"/>
  <c r="N167" i="1"/>
  <c r="M167" i="1"/>
  <c r="L167" i="1"/>
  <c r="H167" i="1"/>
  <c r="G167" i="1"/>
  <c r="F167" i="1"/>
  <c r="N166" i="1"/>
  <c r="M166" i="1"/>
  <c r="L166" i="1"/>
  <c r="H166" i="1"/>
  <c r="G166" i="1"/>
  <c r="F166" i="1"/>
  <c r="N165" i="1"/>
  <c r="M165" i="1"/>
  <c r="L165" i="1"/>
  <c r="H165" i="1"/>
  <c r="G165" i="1"/>
  <c r="F165" i="1"/>
  <c r="N164" i="1"/>
  <c r="M164" i="1"/>
  <c r="L164" i="1"/>
  <c r="H164" i="1"/>
  <c r="G164" i="1"/>
  <c r="F164" i="1"/>
  <c r="N163" i="1"/>
  <c r="M163" i="1"/>
  <c r="L163" i="1"/>
  <c r="H163" i="1"/>
  <c r="G163" i="1"/>
  <c r="F163" i="1"/>
  <c r="N162" i="1"/>
  <c r="M162" i="1"/>
  <c r="L162" i="1"/>
  <c r="H162" i="1"/>
  <c r="G162" i="1"/>
  <c r="F162" i="1"/>
  <c r="N161" i="1"/>
  <c r="M161" i="1"/>
  <c r="L161" i="1"/>
  <c r="H161" i="1"/>
  <c r="G161" i="1"/>
  <c r="F161" i="1"/>
  <c r="N160" i="1"/>
  <c r="M160" i="1"/>
  <c r="L160" i="1"/>
  <c r="H160" i="1"/>
  <c r="G160" i="1"/>
  <c r="F160" i="1"/>
  <c r="N159" i="1"/>
  <c r="M159" i="1"/>
  <c r="L159" i="1"/>
  <c r="H159" i="1"/>
  <c r="G159" i="1"/>
  <c r="F159" i="1"/>
  <c r="N158" i="1"/>
  <c r="M158" i="1"/>
  <c r="L158" i="1"/>
  <c r="H158" i="1"/>
  <c r="G158" i="1"/>
  <c r="F158" i="1"/>
  <c r="N157" i="1"/>
  <c r="M157" i="1"/>
  <c r="L157" i="1"/>
  <c r="H157" i="1"/>
  <c r="G157" i="1"/>
  <c r="F157" i="1"/>
  <c r="N156" i="1"/>
  <c r="M156" i="1"/>
  <c r="L156" i="1"/>
  <c r="H156" i="1"/>
  <c r="G156" i="1"/>
  <c r="F156" i="1"/>
  <c r="N155" i="1"/>
  <c r="M155" i="1"/>
  <c r="L155" i="1"/>
  <c r="H155" i="1"/>
  <c r="G155" i="1"/>
  <c r="F155" i="1"/>
  <c r="N154" i="1"/>
  <c r="M154" i="1"/>
  <c r="L154" i="1"/>
  <c r="H154" i="1"/>
  <c r="G154" i="1"/>
  <c r="F154" i="1"/>
  <c r="N153" i="1"/>
  <c r="M153" i="1"/>
  <c r="L153" i="1"/>
  <c r="H153" i="1"/>
  <c r="G153" i="1"/>
  <c r="F153" i="1"/>
  <c r="N152" i="1"/>
  <c r="M152" i="1"/>
  <c r="L152" i="1"/>
  <c r="H152" i="1"/>
  <c r="G152" i="1"/>
  <c r="F152" i="1"/>
  <c r="N151" i="1"/>
  <c r="M151" i="1"/>
  <c r="L151" i="1"/>
  <c r="H151" i="1"/>
  <c r="G151" i="1"/>
  <c r="F151" i="1"/>
  <c r="N150" i="1"/>
  <c r="M150" i="1"/>
  <c r="L150" i="1"/>
  <c r="H150" i="1"/>
  <c r="G150" i="1"/>
  <c r="F150" i="1"/>
  <c r="N149" i="1"/>
  <c r="M149" i="1"/>
  <c r="L149" i="1"/>
  <c r="H149" i="1"/>
  <c r="G149" i="1"/>
  <c r="F149" i="1"/>
  <c r="N148" i="1"/>
  <c r="M148" i="1"/>
  <c r="L148" i="1"/>
  <c r="H148" i="1"/>
  <c r="G148" i="1"/>
  <c r="F148" i="1"/>
  <c r="N147" i="1"/>
  <c r="M147" i="1"/>
  <c r="L147" i="1"/>
  <c r="H147" i="1"/>
  <c r="G147" i="1"/>
  <c r="F147" i="1"/>
  <c r="N146" i="1"/>
  <c r="M146" i="1"/>
  <c r="L146" i="1"/>
  <c r="H146" i="1"/>
  <c r="G146" i="1"/>
  <c r="F146" i="1"/>
  <c r="N145" i="1"/>
  <c r="M145" i="1"/>
  <c r="L145" i="1"/>
  <c r="H145" i="1"/>
  <c r="G145" i="1"/>
  <c r="F145" i="1"/>
  <c r="N144" i="1"/>
  <c r="M144" i="1"/>
  <c r="L144" i="1"/>
  <c r="H144" i="1"/>
  <c r="G144" i="1"/>
  <c r="F144" i="1"/>
  <c r="N143" i="1"/>
  <c r="M143" i="1"/>
  <c r="L143" i="1"/>
  <c r="H143" i="1"/>
  <c r="G143" i="1"/>
  <c r="F143" i="1"/>
  <c r="N142" i="1"/>
  <c r="M142" i="1"/>
  <c r="L142" i="1"/>
  <c r="H142" i="1"/>
  <c r="G142" i="1"/>
  <c r="F142" i="1"/>
  <c r="N141" i="1"/>
  <c r="M141" i="1"/>
  <c r="L141" i="1"/>
  <c r="H141" i="1"/>
  <c r="G141" i="1"/>
  <c r="F141" i="1"/>
  <c r="N140" i="1"/>
  <c r="M140" i="1"/>
  <c r="L140" i="1"/>
  <c r="H140" i="1"/>
  <c r="G140" i="1"/>
  <c r="F140" i="1"/>
  <c r="N139" i="1"/>
  <c r="M139" i="1"/>
  <c r="L139" i="1"/>
  <c r="H139" i="1"/>
  <c r="G139" i="1"/>
  <c r="F139" i="1"/>
  <c r="N138" i="1"/>
  <c r="M138" i="1"/>
  <c r="L138" i="1"/>
  <c r="H138" i="1"/>
  <c r="G138" i="1"/>
  <c r="F138" i="1"/>
  <c r="N137" i="1"/>
  <c r="M137" i="1"/>
  <c r="L137" i="1"/>
  <c r="H137" i="1"/>
  <c r="G137" i="1"/>
  <c r="F137" i="1"/>
  <c r="N136" i="1"/>
  <c r="M136" i="1"/>
  <c r="L136" i="1"/>
  <c r="H136" i="1"/>
  <c r="G136" i="1"/>
  <c r="F136" i="1"/>
  <c r="N135" i="1"/>
  <c r="M135" i="1"/>
  <c r="L135" i="1"/>
  <c r="H135" i="1"/>
  <c r="G135" i="1"/>
  <c r="F135" i="1"/>
  <c r="N134" i="1"/>
  <c r="M134" i="1"/>
  <c r="L134" i="1"/>
  <c r="H134" i="1"/>
  <c r="G134" i="1"/>
  <c r="F134" i="1"/>
  <c r="N133" i="1"/>
  <c r="M133" i="1"/>
  <c r="L133" i="1"/>
  <c r="H133" i="1"/>
  <c r="G133" i="1"/>
  <c r="F133" i="1"/>
  <c r="N132" i="1"/>
  <c r="M132" i="1"/>
  <c r="L132" i="1"/>
  <c r="H132" i="1"/>
  <c r="G132" i="1"/>
  <c r="F132" i="1"/>
  <c r="N131" i="1"/>
  <c r="M131" i="1"/>
  <c r="L131" i="1"/>
  <c r="H131" i="1"/>
  <c r="G131" i="1"/>
  <c r="F131" i="1"/>
  <c r="N130" i="1"/>
  <c r="M130" i="1"/>
  <c r="L130" i="1"/>
  <c r="H130" i="1"/>
  <c r="G130" i="1"/>
  <c r="F130" i="1"/>
  <c r="N129" i="1"/>
  <c r="M129" i="1"/>
  <c r="L129" i="1"/>
  <c r="H129" i="1"/>
  <c r="G129" i="1"/>
  <c r="F129" i="1"/>
  <c r="N128" i="1"/>
  <c r="M128" i="1"/>
  <c r="L128" i="1"/>
  <c r="H128" i="1"/>
  <c r="G128" i="1"/>
  <c r="F128" i="1"/>
  <c r="N127" i="1"/>
  <c r="M127" i="1"/>
  <c r="L127" i="1"/>
  <c r="H127" i="1"/>
  <c r="G127" i="1"/>
  <c r="F127" i="1"/>
  <c r="N126" i="1"/>
  <c r="M126" i="1"/>
  <c r="L126" i="1"/>
  <c r="H126" i="1"/>
  <c r="G126" i="1"/>
  <c r="F126" i="1"/>
  <c r="N125" i="1"/>
  <c r="M125" i="1"/>
  <c r="L125" i="1"/>
  <c r="H125" i="1"/>
  <c r="G125" i="1"/>
  <c r="F125" i="1"/>
  <c r="N124" i="1"/>
  <c r="M124" i="1"/>
  <c r="L124" i="1"/>
  <c r="H124" i="1"/>
  <c r="G124" i="1"/>
  <c r="F124" i="1"/>
  <c r="N123" i="1"/>
  <c r="M123" i="1"/>
  <c r="L123" i="1"/>
  <c r="H123" i="1"/>
  <c r="G123" i="1"/>
  <c r="F123" i="1"/>
  <c r="N122" i="1"/>
  <c r="M122" i="1"/>
  <c r="L122" i="1"/>
  <c r="H122" i="1"/>
  <c r="G122" i="1"/>
  <c r="F122" i="1"/>
  <c r="N121" i="1"/>
  <c r="M121" i="1"/>
  <c r="L121" i="1"/>
  <c r="H121" i="1"/>
  <c r="G121" i="1"/>
  <c r="F121" i="1"/>
  <c r="N120" i="1"/>
  <c r="M120" i="1"/>
  <c r="L120" i="1"/>
  <c r="H120" i="1"/>
  <c r="G120" i="1"/>
  <c r="F120" i="1"/>
  <c r="N119" i="1"/>
  <c r="M119" i="1"/>
  <c r="L119" i="1"/>
  <c r="H119" i="1"/>
  <c r="G119" i="1"/>
  <c r="F119" i="1"/>
  <c r="N118" i="1"/>
  <c r="M118" i="1"/>
  <c r="L118" i="1"/>
  <c r="H118" i="1"/>
  <c r="G118" i="1"/>
  <c r="F118" i="1"/>
  <c r="N117" i="1"/>
  <c r="M117" i="1"/>
  <c r="L117" i="1"/>
  <c r="H117" i="1"/>
  <c r="G117" i="1"/>
  <c r="F117" i="1"/>
  <c r="N116" i="1"/>
  <c r="M116" i="1"/>
  <c r="L116" i="1"/>
  <c r="H116" i="1"/>
  <c r="G116" i="1"/>
  <c r="F116" i="1"/>
  <c r="N115" i="1"/>
  <c r="M115" i="1"/>
  <c r="L115" i="1"/>
  <c r="H115" i="1"/>
  <c r="G115" i="1"/>
  <c r="F115" i="1"/>
  <c r="N114" i="1"/>
  <c r="M114" i="1"/>
  <c r="L114" i="1"/>
  <c r="H114" i="1"/>
  <c r="G114" i="1"/>
  <c r="F114" i="1"/>
  <c r="N113" i="1"/>
  <c r="M113" i="1"/>
  <c r="L113" i="1"/>
  <c r="H113" i="1"/>
  <c r="G113" i="1"/>
  <c r="F113" i="1"/>
  <c r="N112" i="1"/>
  <c r="M112" i="1"/>
  <c r="L112" i="1"/>
  <c r="H112" i="1"/>
  <c r="G112" i="1"/>
  <c r="F112" i="1"/>
  <c r="N111" i="1"/>
  <c r="M111" i="1"/>
  <c r="L111" i="1"/>
  <c r="H111" i="1"/>
  <c r="G111" i="1"/>
  <c r="F111" i="1"/>
  <c r="N110" i="1"/>
  <c r="M110" i="1"/>
  <c r="L110" i="1"/>
  <c r="H110" i="1"/>
  <c r="G110" i="1"/>
  <c r="F110" i="1"/>
  <c r="N109" i="1"/>
  <c r="M109" i="1"/>
  <c r="L109" i="1"/>
  <c r="H109" i="1"/>
  <c r="G109" i="1"/>
  <c r="F109" i="1"/>
  <c r="N108" i="1"/>
  <c r="M108" i="1"/>
  <c r="L108" i="1"/>
  <c r="H108" i="1"/>
  <c r="G108" i="1"/>
  <c r="F108" i="1"/>
  <c r="N107" i="1"/>
  <c r="M107" i="1"/>
  <c r="L107" i="1"/>
  <c r="H107" i="1"/>
  <c r="G107" i="1"/>
  <c r="F107" i="1"/>
  <c r="N106" i="1"/>
  <c r="M106" i="1"/>
  <c r="L106" i="1"/>
  <c r="H106" i="1"/>
  <c r="G106" i="1"/>
  <c r="F106" i="1"/>
  <c r="N105" i="1"/>
  <c r="M105" i="1"/>
  <c r="L105" i="1"/>
  <c r="H105" i="1"/>
  <c r="G105" i="1"/>
  <c r="F105" i="1"/>
  <c r="N104" i="1"/>
  <c r="M104" i="1"/>
  <c r="L104" i="1"/>
  <c r="H104" i="1"/>
  <c r="G104" i="1"/>
  <c r="F104" i="1"/>
  <c r="N103" i="1"/>
  <c r="M103" i="1"/>
  <c r="L103" i="1"/>
  <c r="H103" i="1"/>
  <c r="G103" i="1"/>
  <c r="F103" i="1"/>
  <c r="N102" i="1"/>
  <c r="M102" i="1"/>
  <c r="L102" i="1"/>
  <c r="H102" i="1"/>
  <c r="G102" i="1"/>
  <c r="F102" i="1"/>
  <c r="N101" i="1"/>
  <c r="M101" i="1"/>
  <c r="L101" i="1"/>
  <c r="H101" i="1"/>
  <c r="G101" i="1"/>
  <c r="F101" i="1"/>
  <c r="N100" i="1"/>
  <c r="M100" i="1"/>
  <c r="L100" i="1"/>
  <c r="H100" i="1"/>
  <c r="G100" i="1"/>
  <c r="F100" i="1"/>
  <c r="N99" i="1"/>
  <c r="M99" i="1"/>
  <c r="L99" i="1"/>
  <c r="H99" i="1"/>
  <c r="G99" i="1"/>
  <c r="F99" i="1"/>
  <c r="N98" i="1"/>
  <c r="M98" i="1"/>
  <c r="L98" i="1"/>
  <c r="H98" i="1"/>
  <c r="G98" i="1"/>
  <c r="F98" i="1"/>
  <c r="N97" i="1"/>
  <c r="M97" i="1"/>
  <c r="L97" i="1"/>
  <c r="H97" i="1"/>
  <c r="G97" i="1"/>
  <c r="F97" i="1"/>
  <c r="N96" i="1"/>
  <c r="M96" i="1"/>
  <c r="L96" i="1"/>
  <c r="H96" i="1"/>
  <c r="G96" i="1"/>
  <c r="F96" i="1"/>
  <c r="N95" i="1"/>
  <c r="M95" i="1"/>
  <c r="L95" i="1"/>
  <c r="H95" i="1"/>
  <c r="G95" i="1"/>
  <c r="F95" i="1"/>
  <c r="N94" i="1"/>
  <c r="M94" i="1"/>
  <c r="L94" i="1"/>
  <c r="H94" i="1"/>
  <c r="G94" i="1"/>
  <c r="F94" i="1"/>
  <c r="N93" i="1"/>
  <c r="M93" i="1"/>
  <c r="L93" i="1"/>
  <c r="H93" i="1"/>
  <c r="G93" i="1"/>
  <c r="F93" i="1"/>
  <c r="N92" i="1"/>
  <c r="M92" i="1"/>
  <c r="L92" i="1"/>
  <c r="H92" i="1"/>
  <c r="G92" i="1"/>
  <c r="F92" i="1"/>
  <c r="N91" i="1"/>
  <c r="M91" i="1"/>
  <c r="L91" i="1"/>
  <c r="H91" i="1"/>
  <c r="G91" i="1"/>
  <c r="F91" i="1"/>
  <c r="N90" i="1"/>
  <c r="M90" i="1"/>
  <c r="L90" i="1"/>
  <c r="H90" i="1"/>
  <c r="G90" i="1"/>
  <c r="F90" i="1"/>
  <c r="N89" i="1"/>
  <c r="M89" i="1"/>
  <c r="L89" i="1"/>
  <c r="H89" i="1"/>
  <c r="G89" i="1"/>
  <c r="F89" i="1"/>
  <c r="N88" i="1"/>
  <c r="M88" i="1"/>
  <c r="L88" i="1"/>
  <c r="H88" i="1"/>
  <c r="G88" i="1"/>
  <c r="F88" i="1"/>
  <c r="N87" i="1"/>
  <c r="M87" i="1"/>
  <c r="L87" i="1"/>
  <c r="H87" i="1"/>
  <c r="G87" i="1"/>
  <c r="F87" i="1"/>
  <c r="N86" i="1"/>
  <c r="M86" i="1"/>
  <c r="L86" i="1"/>
  <c r="H86" i="1"/>
  <c r="G86" i="1"/>
  <c r="F86" i="1"/>
  <c r="N85" i="1"/>
  <c r="M85" i="1"/>
  <c r="L85" i="1"/>
  <c r="H85" i="1"/>
  <c r="G85" i="1"/>
  <c r="F85" i="1"/>
  <c r="N84" i="1"/>
  <c r="M84" i="1"/>
  <c r="L84" i="1"/>
  <c r="H84" i="1"/>
  <c r="G84" i="1"/>
  <c r="F84" i="1"/>
  <c r="N83" i="1"/>
  <c r="M83" i="1"/>
  <c r="L83" i="1"/>
  <c r="H83" i="1"/>
  <c r="G83" i="1"/>
  <c r="F83" i="1"/>
  <c r="N82" i="1"/>
  <c r="M82" i="1"/>
  <c r="L82" i="1"/>
  <c r="H82" i="1"/>
  <c r="G82" i="1"/>
  <c r="F82" i="1"/>
  <c r="N81" i="1"/>
  <c r="M81" i="1"/>
  <c r="L81" i="1"/>
  <c r="H81" i="1"/>
  <c r="G81" i="1"/>
  <c r="F81" i="1"/>
  <c r="N80" i="1"/>
  <c r="M80" i="1"/>
  <c r="L80" i="1"/>
  <c r="H80" i="1"/>
  <c r="G80" i="1"/>
  <c r="F80" i="1"/>
  <c r="N79" i="1"/>
  <c r="M79" i="1"/>
  <c r="L79" i="1"/>
  <c r="H79" i="1"/>
  <c r="G79" i="1"/>
  <c r="F79" i="1"/>
  <c r="N78" i="1"/>
  <c r="M78" i="1"/>
  <c r="L78" i="1"/>
  <c r="H78" i="1"/>
  <c r="G78" i="1"/>
  <c r="F78" i="1"/>
  <c r="N77" i="1"/>
  <c r="M77" i="1"/>
  <c r="L77" i="1"/>
  <c r="H77" i="1"/>
  <c r="G77" i="1"/>
  <c r="F77" i="1"/>
  <c r="N76" i="1"/>
  <c r="M76" i="1"/>
  <c r="L76" i="1"/>
  <c r="H76" i="1"/>
  <c r="G76" i="1"/>
  <c r="F76" i="1"/>
  <c r="N75" i="1"/>
  <c r="M75" i="1"/>
  <c r="L75" i="1"/>
  <c r="H75" i="1"/>
  <c r="G75" i="1"/>
  <c r="F75" i="1"/>
  <c r="N74" i="1"/>
  <c r="M74" i="1"/>
  <c r="L74" i="1"/>
  <c r="H74" i="1"/>
  <c r="G74" i="1"/>
  <c r="F74" i="1"/>
  <c r="N73" i="1"/>
  <c r="M73" i="1"/>
  <c r="L73" i="1"/>
  <c r="H73" i="1"/>
  <c r="G73" i="1"/>
  <c r="F73" i="1"/>
  <c r="N72" i="1"/>
  <c r="M72" i="1"/>
  <c r="L72" i="1"/>
  <c r="H72" i="1"/>
  <c r="G72" i="1"/>
  <c r="F72" i="1"/>
  <c r="N71" i="1"/>
  <c r="M71" i="1"/>
  <c r="L71" i="1"/>
  <c r="H71" i="1"/>
  <c r="G71" i="1"/>
  <c r="F71" i="1"/>
  <c r="N70" i="1"/>
  <c r="M70" i="1"/>
  <c r="L70" i="1"/>
  <c r="H70" i="1"/>
  <c r="G70" i="1"/>
  <c r="F70" i="1"/>
  <c r="N69" i="1"/>
  <c r="M69" i="1"/>
  <c r="L69" i="1"/>
  <c r="H69" i="1"/>
  <c r="G69" i="1"/>
  <c r="F69" i="1"/>
  <c r="N68" i="1"/>
  <c r="M68" i="1"/>
  <c r="L68" i="1"/>
  <c r="H68" i="1"/>
  <c r="G68" i="1"/>
  <c r="F68" i="1"/>
  <c r="N67" i="1"/>
  <c r="M67" i="1"/>
  <c r="L67" i="1"/>
  <c r="H67" i="1"/>
  <c r="G67" i="1"/>
  <c r="F67" i="1"/>
  <c r="N66" i="1"/>
  <c r="M66" i="1"/>
  <c r="L66" i="1"/>
  <c r="H66" i="1"/>
  <c r="G66" i="1"/>
  <c r="F66" i="1"/>
  <c r="N65" i="1"/>
  <c r="M65" i="1"/>
  <c r="L65" i="1"/>
  <c r="H65" i="1"/>
  <c r="K65" i="1" s="1"/>
  <c r="G65" i="1"/>
  <c r="J65" i="1" s="1"/>
  <c r="F65" i="1"/>
  <c r="U64" i="1"/>
  <c r="T64" i="1"/>
  <c r="P64" i="1"/>
  <c r="O64" i="1"/>
  <c r="N64" i="1"/>
  <c r="M64" i="1"/>
  <c r="L64" i="1"/>
  <c r="C20" i="1"/>
  <c r="C18" i="1"/>
  <c r="C17" i="1"/>
  <c r="C52" i="7" s="1"/>
  <c r="C53" i="7" s="1"/>
  <c r="E16" i="1"/>
  <c r="D16" i="1"/>
  <c r="C16" i="1"/>
  <c r="E15" i="1"/>
  <c r="D15" i="1"/>
  <c r="C15" i="1"/>
  <c r="E14" i="1" a="1"/>
  <c r="E14" i="1" s="1"/>
  <c r="D14" i="1" a="1"/>
  <c r="D14" i="1" s="1"/>
  <c r="C14" i="1" a="1"/>
  <c r="C14" i="1" s="1"/>
  <c r="E11" i="1"/>
  <c r="C10" i="1"/>
  <c r="E9" i="1"/>
  <c r="C9" i="1"/>
  <c r="E8" i="1"/>
  <c r="E7" i="1"/>
  <c r="L5" i="1"/>
  <c r="E5" i="1"/>
  <c r="I171" i="11"/>
  <c r="H171" i="11"/>
  <c r="G171" i="11"/>
  <c r="F171" i="11"/>
  <c r="E171" i="11"/>
  <c r="I170" i="11"/>
  <c r="H170" i="11"/>
  <c r="G170" i="11"/>
  <c r="F170" i="11"/>
  <c r="E170" i="11"/>
  <c r="E168" i="11" s="1"/>
  <c r="I168" i="11"/>
  <c r="F168" i="11"/>
  <c r="F169" i="11" s="1"/>
  <c r="N167" i="11"/>
  <c r="M167" i="11"/>
  <c r="L167" i="11"/>
  <c r="K167" i="11"/>
  <c r="J167" i="11"/>
  <c r="J166" i="11"/>
  <c r="J168" i="11" s="1"/>
  <c r="G166" i="11"/>
  <c r="I159" i="11"/>
  <c r="J155" i="11" s="1"/>
  <c r="H159" i="11"/>
  <c r="I155" i="11" s="1"/>
  <c r="G159" i="11"/>
  <c r="H155" i="11" s="1"/>
  <c r="F159" i="11"/>
  <c r="G155" i="11" s="1"/>
  <c r="E159" i="11"/>
  <c r="F155" i="11" s="1"/>
  <c r="N158" i="11"/>
  <c r="M158" i="11"/>
  <c r="L158" i="11"/>
  <c r="K158" i="11"/>
  <c r="J158" i="11"/>
  <c r="I156" i="11"/>
  <c r="I118" i="11" s="1"/>
  <c r="H156" i="11"/>
  <c r="G156" i="11"/>
  <c r="G118" i="11" s="1"/>
  <c r="F156" i="11"/>
  <c r="E156" i="11"/>
  <c r="E150" i="11"/>
  <c r="N126" i="11"/>
  <c r="M126" i="11"/>
  <c r="L126" i="11"/>
  <c r="K126" i="11"/>
  <c r="J126" i="11"/>
  <c r="I126" i="11"/>
  <c r="I167" i="11" s="1"/>
  <c r="H126" i="11"/>
  <c r="H167" i="11" s="1"/>
  <c r="G126" i="11"/>
  <c r="G167" i="11" s="1"/>
  <c r="F126" i="11"/>
  <c r="F167" i="11" s="1"/>
  <c r="E126" i="11"/>
  <c r="E167" i="11" s="1"/>
  <c r="N125" i="11"/>
  <c r="M125" i="11"/>
  <c r="L125" i="11"/>
  <c r="K125" i="11"/>
  <c r="J125" i="11"/>
  <c r="I125" i="11"/>
  <c r="H125" i="11"/>
  <c r="G125" i="11"/>
  <c r="F125" i="11"/>
  <c r="E125" i="11"/>
  <c r="I123" i="11"/>
  <c r="H123" i="11"/>
  <c r="G123" i="11"/>
  <c r="F123" i="11"/>
  <c r="E123" i="11"/>
  <c r="N122" i="11"/>
  <c r="M122" i="11"/>
  <c r="L122" i="11"/>
  <c r="K122" i="11"/>
  <c r="J122" i="11"/>
  <c r="I122" i="11"/>
  <c r="I127" i="11" s="1"/>
  <c r="H122" i="11"/>
  <c r="H127" i="11" s="1"/>
  <c r="G122" i="11"/>
  <c r="G127" i="11" s="1"/>
  <c r="F122" i="11"/>
  <c r="F127" i="11" s="1"/>
  <c r="E122" i="11"/>
  <c r="E127" i="11" s="1"/>
  <c r="N119" i="11"/>
  <c r="M119" i="11"/>
  <c r="L119" i="11"/>
  <c r="K119" i="11"/>
  <c r="J119" i="11"/>
  <c r="I119" i="11"/>
  <c r="H119" i="11"/>
  <c r="G119" i="11"/>
  <c r="F119" i="11"/>
  <c r="E119" i="11"/>
  <c r="H118" i="11"/>
  <c r="H120" i="11" s="1"/>
  <c r="F118" i="11"/>
  <c r="F120" i="11" s="1"/>
  <c r="E118" i="11"/>
  <c r="E120" i="11" s="1"/>
  <c r="I115" i="11"/>
  <c r="H115" i="11"/>
  <c r="G115" i="11"/>
  <c r="F115" i="11"/>
  <c r="F128" i="11" s="1"/>
  <c r="E115" i="11"/>
  <c r="E128" i="11" s="1"/>
  <c r="E114" i="11"/>
  <c r="I102" i="11"/>
  <c r="J102" i="11" s="1"/>
  <c r="K102" i="11" s="1"/>
  <c r="L102" i="11" s="1"/>
  <c r="M102" i="11" s="1"/>
  <c r="N102" i="11" s="1"/>
  <c r="H102" i="11"/>
  <c r="G102" i="11"/>
  <c r="F102" i="11"/>
  <c r="E102" i="11"/>
  <c r="I100" i="11"/>
  <c r="H100" i="11"/>
  <c r="G100" i="11"/>
  <c r="F100" i="11"/>
  <c r="E100" i="11"/>
  <c r="I96" i="11"/>
  <c r="J96" i="11" s="1"/>
  <c r="K96" i="11" s="1"/>
  <c r="L96" i="11" s="1"/>
  <c r="M96" i="11" s="1"/>
  <c r="N96" i="11" s="1"/>
  <c r="H96" i="11"/>
  <c r="G96" i="11"/>
  <c r="F96" i="11"/>
  <c r="E96" i="11"/>
  <c r="I95" i="11"/>
  <c r="J95" i="11" s="1"/>
  <c r="K95" i="11" s="1"/>
  <c r="L95" i="11" s="1"/>
  <c r="M95" i="11" s="1"/>
  <c r="N95" i="11" s="1"/>
  <c r="H95" i="11"/>
  <c r="G95" i="11"/>
  <c r="F95" i="11"/>
  <c r="E95" i="11"/>
  <c r="I94" i="11"/>
  <c r="H94" i="11"/>
  <c r="G94" i="11"/>
  <c r="F94" i="11"/>
  <c r="F97" i="11" s="1"/>
  <c r="E94" i="11"/>
  <c r="E97" i="11" s="1"/>
  <c r="I91" i="11"/>
  <c r="J91" i="11" s="1"/>
  <c r="K91" i="11" s="1"/>
  <c r="L91" i="11" s="1"/>
  <c r="M91" i="11" s="1"/>
  <c r="N91" i="11" s="1"/>
  <c r="H91" i="11"/>
  <c r="G91" i="11"/>
  <c r="F91" i="11"/>
  <c r="E91" i="11"/>
  <c r="I90" i="11"/>
  <c r="J90" i="11" s="1"/>
  <c r="K90" i="11" s="1"/>
  <c r="L90" i="11" s="1"/>
  <c r="M90" i="11" s="1"/>
  <c r="N90" i="11" s="1"/>
  <c r="H90" i="11"/>
  <c r="G90" i="11"/>
  <c r="F90" i="11"/>
  <c r="E90" i="11"/>
  <c r="I89" i="11"/>
  <c r="H89" i="11"/>
  <c r="G89" i="11"/>
  <c r="F89" i="11"/>
  <c r="E89" i="11"/>
  <c r="I88" i="11"/>
  <c r="J88" i="11" s="1"/>
  <c r="K88" i="11" s="1"/>
  <c r="L88" i="11" s="1"/>
  <c r="M88" i="11" s="1"/>
  <c r="N88" i="11" s="1"/>
  <c r="H88" i="11"/>
  <c r="G88" i="11"/>
  <c r="F88" i="11"/>
  <c r="E88" i="11"/>
  <c r="I87" i="11"/>
  <c r="H87" i="11"/>
  <c r="G87" i="11"/>
  <c r="F87" i="11"/>
  <c r="E87" i="11"/>
  <c r="I84" i="11"/>
  <c r="J84" i="11" s="1"/>
  <c r="K84" i="11" s="1"/>
  <c r="L84" i="11" s="1"/>
  <c r="M84" i="11" s="1"/>
  <c r="N84" i="11" s="1"/>
  <c r="H84" i="11"/>
  <c r="G84" i="11"/>
  <c r="F84" i="11"/>
  <c r="E84" i="11"/>
  <c r="I83" i="11"/>
  <c r="J83" i="11" s="1"/>
  <c r="K83" i="11" s="1"/>
  <c r="L83" i="11" s="1"/>
  <c r="M83" i="11" s="1"/>
  <c r="N83" i="11" s="1"/>
  <c r="H83" i="11"/>
  <c r="G83" i="11"/>
  <c r="F83" i="11"/>
  <c r="E83" i="11"/>
  <c r="I82" i="11"/>
  <c r="J82" i="11" s="1"/>
  <c r="K82" i="11" s="1"/>
  <c r="L82" i="11" s="1"/>
  <c r="M82" i="11" s="1"/>
  <c r="N82" i="11" s="1"/>
  <c r="H82" i="11"/>
  <c r="G82" i="11"/>
  <c r="F82" i="11"/>
  <c r="E82" i="11"/>
  <c r="I81" i="11"/>
  <c r="H81" i="11"/>
  <c r="G81" i="11"/>
  <c r="F81" i="11"/>
  <c r="E81" i="11"/>
  <c r="I80" i="11"/>
  <c r="J80" i="11" s="1"/>
  <c r="K80" i="11" s="1"/>
  <c r="L80" i="11" s="1"/>
  <c r="M80" i="11" s="1"/>
  <c r="N80" i="11" s="1"/>
  <c r="H80" i="11"/>
  <c r="G80" i="11"/>
  <c r="F80" i="11"/>
  <c r="E80" i="11"/>
  <c r="I77" i="11"/>
  <c r="J77" i="11" s="1"/>
  <c r="K77" i="11" s="1"/>
  <c r="L77" i="11" s="1"/>
  <c r="M77" i="11" s="1"/>
  <c r="N77" i="11" s="1"/>
  <c r="H77" i="11"/>
  <c r="G77" i="11"/>
  <c r="F77" i="11"/>
  <c r="E77" i="11"/>
  <c r="I76" i="11"/>
  <c r="J76" i="11" s="1"/>
  <c r="K76" i="11" s="1"/>
  <c r="L76" i="11" s="1"/>
  <c r="M76" i="11" s="1"/>
  <c r="N76" i="11" s="1"/>
  <c r="H76" i="11"/>
  <c r="G76" i="11"/>
  <c r="F76" i="11"/>
  <c r="E76" i="11"/>
  <c r="I75" i="11"/>
  <c r="H75" i="11"/>
  <c r="G75" i="11"/>
  <c r="F75" i="11"/>
  <c r="E75" i="11"/>
  <c r="I74" i="11"/>
  <c r="H74" i="11"/>
  <c r="G74" i="11"/>
  <c r="F74" i="11"/>
  <c r="E74" i="11"/>
  <c r="I73" i="11"/>
  <c r="H73" i="11"/>
  <c r="G73" i="11"/>
  <c r="F73" i="11"/>
  <c r="E73" i="11"/>
  <c r="I66" i="11"/>
  <c r="H66" i="11"/>
  <c r="G66" i="11"/>
  <c r="F66" i="11"/>
  <c r="E66" i="11"/>
  <c r="N64" i="11"/>
  <c r="M64" i="11"/>
  <c r="L64" i="11"/>
  <c r="K64" i="11"/>
  <c r="J64" i="11"/>
  <c r="I64" i="11"/>
  <c r="H64" i="11"/>
  <c r="G64" i="11"/>
  <c r="F64" i="11"/>
  <c r="E64" i="11"/>
  <c r="I63" i="11"/>
  <c r="H63" i="11"/>
  <c r="G63" i="11"/>
  <c r="F63" i="11"/>
  <c r="E63" i="11"/>
  <c r="R58" i="11"/>
  <c r="I58" i="11"/>
  <c r="H58" i="11"/>
  <c r="G58" i="11"/>
  <c r="F58" i="11"/>
  <c r="E58" i="11"/>
  <c r="I54" i="11"/>
  <c r="H54" i="11"/>
  <c r="G54" i="11"/>
  <c r="F54" i="11"/>
  <c r="E54" i="11"/>
  <c r="R52" i="11"/>
  <c r="I52" i="11"/>
  <c r="H52" i="11"/>
  <c r="G52" i="11"/>
  <c r="F52" i="11"/>
  <c r="E52" i="11"/>
  <c r="I48" i="11"/>
  <c r="H48" i="11"/>
  <c r="G48" i="11"/>
  <c r="F48" i="11"/>
  <c r="E48" i="11"/>
  <c r="I41" i="11"/>
  <c r="H41" i="11"/>
  <c r="G41" i="11"/>
  <c r="F41" i="11"/>
  <c r="E41" i="11"/>
  <c r="E47" i="11" s="1"/>
  <c r="E50" i="11" s="1"/>
  <c r="E56" i="11" s="1"/>
  <c r="I39" i="11"/>
  <c r="H39" i="11"/>
  <c r="G39" i="11"/>
  <c r="F39" i="11"/>
  <c r="I37" i="11"/>
  <c r="H37" i="11"/>
  <c r="G37" i="11"/>
  <c r="F37" i="11"/>
  <c r="I35" i="11"/>
  <c r="H35" i="11"/>
  <c r="G35" i="11"/>
  <c r="F35" i="11"/>
  <c r="K28" i="11"/>
  <c r="H23" i="11"/>
  <c r="N39" i="11" s="1"/>
  <c r="G23" i="11"/>
  <c r="M39" i="11" s="1"/>
  <c r="F23" i="11"/>
  <c r="L39" i="11" s="1"/>
  <c r="E23" i="11"/>
  <c r="K39" i="11" s="1"/>
  <c r="D23" i="11"/>
  <c r="J39" i="11" s="1"/>
  <c r="J38" i="11" s="1"/>
  <c r="H16" i="11"/>
  <c r="N35" i="11" s="1"/>
  <c r="G16" i="11"/>
  <c r="M35" i="11" s="1"/>
  <c r="F16" i="11"/>
  <c r="L35" i="11" s="1"/>
  <c r="E16" i="11"/>
  <c r="K35" i="11" s="1"/>
  <c r="D16" i="11"/>
  <c r="J35" i="11" s="1"/>
  <c r="J34" i="11" s="1"/>
  <c r="H10" i="11"/>
  <c r="N37" i="11" s="1"/>
  <c r="G10" i="11"/>
  <c r="M37" i="11" s="1"/>
  <c r="F10" i="11"/>
  <c r="L37" i="11" s="1"/>
  <c r="E10" i="11"/>
  <c r="K37" i="11" s="1"/>
  <c r="J37" i="11"/>
  <c r="J36" i="11" s="1"/>
  <c r="K36" i="11" s="1"/>
  <c r="G40" i="6" l="1"/>
  <c r="I97" i="11"/>
  <c r="H97" i="11"/>
  <c r="G120" i="11"/>
  <c r="I120" i="11"/>
  <c r="H168" i="11"/>
  <c r="K38" i="11"/>
  <c r="G128" i="11"/>
  <c r="I166" i="11"/>
  <c r="H169" i="11"/>
  <c r="E166" i="11"/>
  <c r="F166" i="11"/>
  <c r="E169" i="11"/>
  <c r="Q170" i="11"/>
  <c r="G168" i="11"/>
  <c r="H128" i="11"/>
  <c r="H104" i="11"/>
  <c r="H107" i="11" s="1"/>
  <c r="G104" i="11"/>
  <c r="G107" i="11" s="1"/>
  <c r="F104" i="11"/>
  <c r="F107" i="11" s="1"/>
  <c r="E104" i="11"/>
  <c r="E107" i="11" s="1"/>
  <c r="H166" i="11"/>
  <c r="R51" i="11" s="1"/>
  <c r="G169" i="11"/>
  <c r="I128" i="11"/>
  <c r="G97" i="11"/>
  <c r="C19" i="1"/>
  <c r="L38" i="11"/>
  <c r="M38" i="11" s="1"/>
  <c r="N38" i="11" s="1"/>
  <c r="O90" i="11"/>
  <c r="L36" i="11"/>
  <c r="M36" i="11" s="1"/>
  <c r="N36" i="11" s="1"/>
  <c r="G37" i="3"/>
  <c r="F37" i="3"/>
  <c r="E37" i="3"/>
  <c r="D37" i="3"/>
  <c r="C37" i="3"/>
  <c r="G83" i="2"/>
  <c r="F83" i="2"/>
  <c r="E83" i="2"/>
  <c r="D83" i="2"/>
  <c r="C83" i="2"/>
  <c r="H19" i="7"/>
  <c r="F17" i="7"/>
  <c r="E17" i="7"/>
  <c r="D17" i="7"/>
  <c r="J30" i="2"/>
  <c r="I30" i="2"/>
  <c r="H30" i="2"/>
  <c r="C55" i="2"/>
  <c r="C53" i="2"/>
  <c r="C52" i="2"/>
  <c r="C51" i="2"/>
  <c r="H20" i="2"/>
  <c r="C40" i="2"/>
  <c r="C39" i="2"/>
  <c r="C37" i="2"/>
  <c r="G15" i="3"/>
  <c r="G17" i="3"/>
  <c r="G38" i="3"/>
  <c r="F15" i="3"/>
  <c r="F38" i="3"/>
  <c r="F17" i="3"/>
  <c r="E38" i="3"/>
  <c r="E17" i="3"/>
  <c r="E15" i="3"/>
  <c r="D38" i="3"/>
  <c r="D15" i="3"/>
  <c r="D17" i="3"/>
  <c r="C38" i="3"/>
  <c r="C17" i="3"/>
  <c r="C15" i="3"/>
  <c r="E75" i="3"/>
  <c r="F75" i="3"/>
  <c r="G75" i="3"/>
  <c r="W97" i="8"/>
  <c r="X94" i="8"/>
  <c r="X82" i="8"/>
  <c r="W85" i="8"/>
  <c r="W73" i="8"/>
  <c r="X70" i="8"/>
  <c r="B25" i="8"/>
  <c r="C22" i="8"/>
  <c r="F56" i="8"/>
  <c r="E56" i="8"/>
  <c r="D56" i="8"/>
  <c r="C56" i="8"/>
  <c r="B56" i="8"/>
  <c r="H33" i="7"/>
  <c r="C29" i="7"/>
  <c r="H27" i="7"/>
  <c r="G21" i="7"/>
  <c r="G22" i="7" s="1"/>
  <c r="H20" i="7"/>
  <c r="G30" i="7"/>
  <c r="F21" i="7"/>
  <c r="F22" i="7" s="1"/>
  <c r="F30" i="7"/>
  <c r="E21" i="7"/>
  <c r="E22" i="7" s="1"/>
  <c r="E30" i="7"/>
  <c r="D21" i="7"/>
  <c r="D22" i="7" s="1"/>
  <c r="D30" i="7"/>
  <c r="C30" i="7"/>
  <c r="C21" i="7"/>
  <c r="C61" i="7"/>
  <c r="H18" i="7"/>
  <c r="C60" i="7"/>
  <c r="H16" i="7"/>
  <c r="G17" i="7"/>
  <c r="F13" i="8"/>
  <c r="K9" i="8" s="1"/>
  <c r="C64" i="7"/>
  <c r="C101" i="7" s="1"/>
  <c r="F60" i="6"/>
  <c r="F62" i="6"/>
  <c r="G62" i="6" s="1"/>
  <c r="H62" i="6" s="1"/>
  <c r="F61" i="6"/>
  <c r="C51" i="6"/>
  <c r="C53" i="6" s="1"/>
  <c r="F12" i="8"/>
  <c r="C63" i="7"/>
  <c r="C89" i="7" s="1"/>
  <c r="C82" i="6"/>
  <c r="F59" i="3"/>
  <c r="G59" i="3"/>
  <c r="E61" i="3"/>
  <c r="E78" i="3"/>
  <c r="F78" i="3"/>
  <c r="G60" i="3"/>
  <c r="F60" i="3"/>
  <c r="G18" i="3"/>
  <c r="G50" i="3"/>
  <c r="G29" i="3"/>
  <c r="G20" i="3"/>
  <c r="G78" i="3"/>
  <c r="F18" i="3"/>
  <c r="F29" i="3"/>
  <c r="F20" i="3"/>
  <c r="E20" i="3"/>
  <c r="E23" i="3" s="1"/>
  <c r="E29" i="3"/>
  <c r="E18" i="3"/>
  <c r="E22" i="3"/>
  <c r="E30" i="3" s="1"/>
  <c r="D29" i="3"/>
  <c r="D20" i="3"/>
  <c r="D18" i="3"/>
  <c r="C29" i="3"/>
  <c r="C20" i="3"/>
  <c r="C18" i="3"/>
  <c r="N83" i="2"/>
  <c r="M83" i="2"/>
  <c r="K30" i="2"/>
  <c r="L30" i="2"/>
  <c r="G65" i="2"/>
  <c r="L29" i="2"/>
  <c r="K29" i="2"/>
  <c r="G31" i="2"/>
  <c r="J29" i="2"/>
  <c r="F65" i="2"/>
  <c r="F31" i="2"/>
  <c r="E65" i="2"/>
  <c r="E31" i="2"/>
  <c r="I29" i="2"/>
  <c r="D31" i="2"/>
  <c r="H29" i="2"/>
  <c r="D65" i="2"/>
  <c r="C31" i="2"/>
  <c r="C65" i="2"/>
  <c r="G55" i="2"/>
  <c r="L25" i="2"/>
  <c r="K25" i="2"/>
  <c r="F55" i="2"/>
  <c r="J25" i="2"/>
  <c r="E55" i="2"/>
  <c r="I25" i="2"/>
  <c r="D55" i="2"/>
  <c r="H25" i="2"/>
  <c r="G76" i="2"/>
  <c r="K24" i="2"/>
  <c r="L24" i="2"/>
  <c r="G75" i="2"/>
  <c r="G54" i="2"/>
  <c r="G74" i="2"/>
  <c r="F76" i="2"/>
  <c r="J24" i="2"/>
  <c r="F75" i="2"/>
  <c r="F54" i="2"/>
  <c r="F74" i="2"/>
  <c r="E76" i="2"/>
  <c r="I24" i="2"/>
  <c r="E75" i="2"/>
  <c r="E54" i="2"/>
  <c r="E74" i="2"/>
  <c r="D76" i="2"/>
  <c r="H24" i="2"/>
  <c r="D54" i="2"/>
  <c r="D75" i="2"/>
  <c r="D74" i="2"/>
  <c r="C76" i="2"/>
  <c r="C54" i="2"/>
  <c r="C74" i="2"/>
  <c r="C75" i="2"/>
  <c r="G53" i="2"/>
  <c r="L23" i="2"/>
  <c r="K23" i="2"/>
  <c r="F53" i="2"/>
  <c r="J23" i="2"/>
  <c r="I23" i="2"/>
  <c r="E53" i="2"/>
  <c r="D53" i="2"/>
  <c r="H23" i="2"/>
  <c r="G52" i="2"/>
  <c r="K22" i="2"/>
  <c r="L22" i="2"/>
  <c r="J22" i="2"/>
  <c r="F52" i="2"/>
  <c r="E52" i="2"/>
  <c r="I22" i="2"/>
  <c r="H22" i="2"/>
  <c r="D52" i="2"/>
  <c r="K21" i="2"/>
  <c r="L21" i="2"/>
  <c r="G51" i="2"/>
  <c r="J21" i="2"/>
  <c r="F51" i="2"/>
  <c r="I21" i="2"/>
  <c r="E51" i="2"/>
  <c r="H21" i="2"/>
  <c r="D51" i="2"/>
  <c r="K20" i="2"/>
  <c r="L20" i="2"/>
  <c r="G50" i="2"/>
  <c r="J20" i="2"/>
  <c r="F50" i="2"/>
  <c r="E50" i="2"/>
  <c r="I20" i="2"/>
  <c r="L19" i="2"/>
  <c r="G49" i="2"/>
  <c r="K19" i="2"/>
  <c r="F49" i="2"/>
  <c r="J19" i="2"/>
  <c r="I19" i="2"/>
  <c r="E49" i="2"/>
  <c r="H19" i="2"/>
  <c r="D49" i="2"/>
  <c r="G61" i="2"/>
  <c r="G48" i="2"/>
  <c r="G62" i="2"/>
  <c r="K18" i="2"/>
  <c r="L18" i="2"/>
  <c r="G64" i="2"/>
  <c r="G26" i="2"/>
  <c r="F61" i="2"/>
  <c r="F42" i="3" s="1"/>
  <c r="F48" i="2"/>
  <c r="F62" i="2"/>
  <c r="F43" i="3" s="1"/>
  <c r="F64" i="2"/>
  <c r="J18" i="2"/>
  <c r="F26" i="2"/>
  <c r="E62" i="2"/>
  <c r="E43" i="3" s="1"/>
  <c r="E61" i="2"/>
  <c r="E42" i="3" s="1"/>
  <c r="E64" i="2"/>
  <c r="I18" i="2"/>
  <c r="E48" i="2"/>
  <c r="E26" i="2"/>
  <c r="H18" i="2"/>
  <c r="D48" i="2"/>
  <c r="D61" i="2"/>
  <c r="D42" i="3" s="1"/>
  <c r="D62" i="2"/>
  <c r="D43" i="3" s="1"/>
  <c r="D26" i="2"/>
  <c r="D64" i="2"/>
  <c r="C62" i="2"/>
  <c r="C43" i="3" s="1"/>
  <c r="C26" i="2"/>
  <c r="C56" i="2" s="1"/>
  <c r="C64" i="2"/>
  <c r="C48" i="2"/>
  <c r="C61" i="2"/>
  <c r="C42" i="3" s="1"/>
  <c r="G47" i="2"/>
  <c r="L17" i="2"/>
  <c r="K17" i="2"/>
  <c r="F47" i="2"/>
  <c r="J17" i="2"/>
  <c r="E47" i="2"/>
  <c r="I17" i="2"/>
  <c r="D47" i="2"/>
  <c r="H17" i="2"/>
  <c r="K16" i="2"/>
  <c r="L16" i="2"/>
  <c r="G82" i="2"/>
  <c r="G81" i="2"/>
  <c r="G46" i="2"/>
  <c r="J16" i="2"/>
  <c r="F82" i="2"/>
  <c r="F46" i="2"/>
  <c r="F81" i="2"/>
  <c r="E82" i="2"/>
  <c r="E81" i="2"/>
  <c r="E46" i="2"/>
  <c r="I16" i="2"/>
  <c r="D82" i="2"/>
  <c r="D46" i="2"/>
  <c r="D81" i="2"/>
  <c r="H16" i="2"/>
  <c r="C81" i="2"/>
  <c r="C82" i="2"/>
  <c r="C46" i="2"/>
  <c r="G45" i="2"/>
  <c r="G63" i="2"/>
  <c r="K15" i="2"/>
  <c r="L15" i="2"/>
  <c r="F45" i="2"/>
  <c r="F63" i="2"/>
  <c r="J15" i="2"/>
  <c r="E45" i="2"/>
  <c r="E63" i="2"/>
  <c r="I15" i="2"/>
  <c r="D45" i="2"/>
  <c r="D63" i="2"/>
  <c r="H15" i="2"/>
  <c r="C45" i="2"/>
  <c r="C63" i="2"/>
  <c r="G72" i="2"/>
  <c r="L12" i="2"/>
  <c r="G71" i="2"/>
  <c r="K12" i="2"/>
  <c r="G43" i="2"/>
  <c r="C56" i="6"/>
  <c r="D63" i="6" s="1"/>
  <c r="G68" i="2"/>
  <c r="F71" i="2"/>
  <c r="F72" i="2"/>
  <c r="F68" i="2"/>
  <c r="J12" i="2"/>
  <c r="F43" i="2"/>
  <c r="E71" i="2"/>
  <c r="E72" i="2"/>
  <c r="E68" i="2"/>
  <c r="I12" i="2"/>
  <c r="E43" i="2"/>
  <c r="D71" i="2"/>
  <c r="H12" i="2"/>
  <c r="D68" i="2"/>
  <c r="D72" i="2"/>
  <c r="D43" i="2"/>
  <c r="C71" i="2"/>
  <c r="C68" i="2"/>
  <c r="C72" i="2"/>
  <c r="C43" i="2"/>
  <c r="K9" i="2"/>
  <c r="G40" i="2"/>
  <c r="J9" i="2"/>
  <c r="F40" i="2"/>
  <c r="I9" i="2"/>
  <c r="E40" i="2"/>
  <c r="D40" i="2"/>
  <c r="H9" i="2"/>
  <c r="G39" i="2"/>
  <c r="L8" i="2"/>
  <c r="K8" i="2"/>
  <c r="F39" i="2"/>
  <c r="J8" i="2"/>
  <c r="E39" i="2"/>
  <c r="I8" i="2"/>
  <c r="H8" i="2"/>
  <c r="D39" i="2"/>
  <c r="K6" i="2"/>
  <c r="L6" i="2"/>
  <c r="G37" i="2"/>
  <c r="J6" i="2"/>
  <c r="F37" i="2"/>
  <c r="I6" i="2"/>
  <c r="E37" i="2"/>
  <c r="H6" i="2"/>
  <c r="D37" i="2"/>
  <c r="G79" i="2"/>
  <c r="K5" i="2"/>
  <c r="L5" i="2"/>
  <c r="G80" i="2"/>
  <c r="G7" i="2"/>
  <c r="J5" i="2"/>
  <c r="F79" i="2"/>
  <c r="F80" i="2"/>
  <c r="F7" i="2"/>
  <c r="E7" i="2"/>
  <c r="E79" i="2"/>
  <c r="I5" i="2"/>
  <c r="E80" i="2"/>
  <c r="D79" i="2"/>
  <c r="H5" i="2"/>
  <c r="D7" i="2"/>
  <c r="D80" i="2"/>
  <c r="C79" i="2"/>
  <c r="C80" i="2"/>
  <c r="C7" i="2"/>
  <c r="Q65" i="1"/>
  <c r="I65" i="1"/>
  <c r="F53" i="7"/>
  <c r="D79" i="7"/>
  <c r="E79" i="7"/>
  <c r="F79" i="7"/>
  <c r="G79" i="7"/>
  <c r="H79" i="7"/>
  <c r="I79" i="7"/>
  <c r="F50" i="7"/>
  <c r="T65" i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U65" i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I169" i="11"/>
  <c r="F14" i="8"/>
  <c r="K166" i="11"/>
  <c r="E160" i="11"/>
  <c r="I104" i="11"/>
  <c r="I107" i="11" s="1"/>
  <c r="I92" i="11"/>
  <c r="I142" i="11"/>
  <c r="I148" i="11"/>
  <c r="H92" i="11"/>
  <c r="H148" i="11"/>
  <c r="H142" i="11"/>
  <c r="B14" i="8" s="1"/>
  <c r="G92" i="11"/>
  <c r="G142" i="11"/>
  <c r="G148" i="11"/>
  <c r="F92" i="11"/>
  <c r="F98" i="11" s="1"/>
  <c r="F142" i="11"/>
  <c r="F148" i="11"/>
  <c r="E148" i="11"/>
  <c r="E92" i="11"/>
  <c r="E98" i="11" s="1"/>
  <c r="E142" i="11"/>
  <c r="I147" i="11"/>
  <c r="I141" i="11"/>
  <c r="H147" i="11"/>
  <c r="H141" i="11"/>
  <c r="B13" i="8" s="1"/>
  <c r="G147" i="11"/>
  <c r="G141" i="11"/>
  <c r="F147" i="11"/>
  <c r="F141" i="11"/>
  <c r="E141" i="11"/>
  <c r="E147" i="11"/>
  <c r="I146" i="11"/>
  <c r="H146" i="11"/>
  <c r="H149" i="11" s="1"/>
  <c r="G146" i="11"/>
  <c r="G149" i="11" s="1"/>
  <c r="F146" i="11"/>
  <c r="F149" i="11" s="1"/>
  <c r="E146" i="11"/>
  <c r="E149" i="11" s="1"/>
  <c r="E151" i="11" s="1"/>
  <c r="E140" i="11"/>
  <c r="I78" i="11"/>
  <c r="I85" i="11" s="1"/>
  <c r="F15" i="8"/>
  <c r="B47" i="8" s="1"/>
  <c r="I130" i="11"/>
  <c r="J129" i="11" s="1"/>
  <c r="H130" i="11"/>
  <c r="I129" i="11" s="1"/>
  <c r="H78" i="11"/>
  <c r="H85" i="11" s="1"/>
  <c r="G130" i="11"/>
  <c r="H129" i="11" s="1"/>
  <c r="G78" i="11"/>
  <c r="G85" i="11" s="1"/>
  <c r="F130" i="11"/>
  <c r="G129" i="11" s="1"/>
  <c r="F78" i="11"/>
  <c r="F85" i="11" s="1"/>
  <c r="E78" i="11"/>
  <c r="E85" i="11" s="1"/>
  <c r="E130" i="11"/>
  <c r="I157" i="11"/>
  <c r="I162" i="11" s="1"/>
  <c r="I113" i="11"/>
  <c r="H157" i="11"/>
  <c r="H162" i="11" s="1"/>
  <c r="H113" i="11"/>
  <c r="G157" i="11"/>
  <c r="G162" i="11" s="1"/>
  <c r="G113" i="11"/>
  <c r="F113" i="11"/>
  <c r="F157" i="11"/>
  <c r="E59" i="11"/>
  <c r="E157" i="11"/>
  <c r="E162" i="11" s="1"/>
  <c r="E113" i="11"/>
  <c r="I42" i="11"/>
  <c r="I47" i="11"/>
  <c r="H42" i="11"/>
  <c r="H47" i="11"/>
  <c r="G42" i="11"/>
  <c r="G47" i="11"/>
  <c r="F47" i="11"/>
  <c r="F42" i="11"/>
  <c r="E57" i="11"/>
  <c r="E60" i="11"/>
  <c r="E65" i="11"/>
  <c r="J41" i="11"/>
  <c r="K34" i="11"/>
  <c r="K66" i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J66" i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E55" i="11"/>
  <c r="E53" i="11"/>
  <c r="E49" i="11"/>
  <c r="I98" i="11" l="1"/>
  <c r="I105" i="11" s="1"/>
  <c r="I106" i="11" s="1"/>
  <c r="H98" i="11"/>
  <c r="I149" i="11"/>
  <c r="G98" i="11"/>
  <c r="G105" i="11" s="1"/>
  <c r="G106" i="11" s="1"/>
  <c r="F105" i="11"/>
  <c r="F106" i="11" s="1"/>
  <c r="E105" i="11"/>
  <c r="E106" i="11" s="1"/>
  <c r="J63" i="11"/>
  <c r="F9" i="8"/>
  <c r="H105" i="11"/>
  <c r="H106" i="11" s="1"/>
  <c r="H17" i="7"/>
  <c r="G23" i="3"/>
  <c r="G22" i="3"/>
  <c r="G30" i="3" s="1"/>
  <c r="F23" i="3"/>
  <c r="F22" i="3"/>
  <c r="F30" i="3" s="1"/>
  <c r="Y94" i="8"/>
  <c r="X97" i="8"/>
  <c r="Y82" i="8"/>
  <c r="X85" i="8"/>
  <c r="Y70" i="8"/>
  <c r="X73" i="8"/>
  <c r="B26" i="8"/>
  <c r="D22" i="8"/>
  <c r="C25" i="8"/>
  <c r="H29" i="7"/>
  <c r="C31" i="7"/>
  <c r="C37" i="7"/>
  <c r="H30" i="7"/>
  <c r="C35" i="7"/>
  <c r="H21" i="7"/>
  <c r="C22" i="7"/>
  <c r="H22" i="7" s="1"/>
  <c r="C74" i="7"/>
  <c r="C108" i="7"/>
  <c r="D108" i="7"/>
  <c r="E108" i="7"/>
  <c r="F108" i="7"/>
  <c r="G108" i="7"/>
  <c r="H108" i="7"/>
  <c r="I108" i="7"/>
  <c r="C109" i="7"/>
  <c r="D109" i="7"/>
  <c r="E109" i="7"/>
  <c r="F109" i="7"/>
  <c r="G109" i="7"/>
  <c r="H109" i="7"/>
  <c r="I109" i="7"/>
  <c r="C110" i="7"/>
  <c r="D110" i="7"/>
  <c r="E110" i="7"/>
  <c r="F110" i="7"/>
  <c r="G110" i="7"/>
  <c r="H110" i="7"/>
  <c r="I110" i="7"/>
  <c r="C111" i="7"/>
  <c r="D111" i="7"/>
  <c r="E111" i="7"/>
  <c r="F111" i="7"/>
  <c r="G111" i="7"/>
  <c r="H111" i="7"/>
  <c r="I111" i="7"/>
  <c r="C112" i="7"/>
  <c r="D112" i="7"/>
  <c r="E112" i="7"/>
  <c r="F112" i="7"/>
  <c r="G112" i="7"/>
  <c r="H112" i="7"/>
  <c r="I112" i="7"/>
  <c r="C113" i="7"/>
  <c r="D113" i="7"/>
  <c r="E113" i="7"/>
  <c r="F113" i="7"/>
  <c r="G113" i="7"/>
  <c r="H113" i="7"/>
  <c r="I113" i="7"/>
  <c r="C114" i="7"/>
  <c r="D114" i="7"/>
  <c r="E114" i="7"/>
  <c r="F114" i="7"/>
  <c r="G114" i="7"/>
  <c r="H114" i="7"/>
  <c r="I114" i="7"/>
  <c r="G21" i="3"/>
  <c r="G39" i="3"/>
  <c r="F39" i="3"/>
  <c r="E39" i="3"/>
  <c r="D39" i="3"/>
  <c r="C39" i="3"/>
  <c r="M65" i="2"/>
  <c r="N65" i="2"/>
  <c r="K31" i="2"/>
  <c r="L31" i="2"/>
  <c r="M76" i="2"/>
  <c r="N76" i="2"/>
  <c r="M75" i="2"/>
  <c r="N75" i="2"/>
  <c r="M74" i="2"/>
  <c r="N74" i="2"/>
  <c r="M61" i="2"/>
  <c r="N61" i="2"/>
  <c r="G42" i="3"/>
  <c r="M62" i="2"/>
  <c r="N62" i="2"/>
  <c r="G43" i="3"/>
  <c r="M64" i="2"/>
  <c r="N64" i="2"/>
  <c r="K26" i="2"/>
  <c r="L26" i="2"/>
  <c r="G56" i="2"/>
  <c r="J26" i="2"/>
  <c r="F56" i="2"/>
  <c r="I26" i="2"/>
  <c r="E56" i="2"/>
  <c r="H26" i="2"/>
  <c r="D56" i="2"/>
  <c r="M82" i="2"/>
  <c r="N82" i="2"/>
  <c r="M81" i="2"/>
  <c r="N81" i="2"/>
  <c r="M63" i="2"/>
  <c r="N63" i="2"/>
  <c r="M72" i="2"/>
  <c r="N72" i="2"/>
  <c r="M71" i="2"/>
  <c r="N71" i="2"/>
  <c r="G63" i="6"/>
  <c r="H63" i="6"/>
  <c r="M68" i="2"/>
  <c r="N68" i="2"/>
  <c r="M79" i="2"/>
  <c r="N79" i="2"/>
  <c r="M80" i="2"/>
  <c r="N80" i="2"/>
  <c r="K7" i="2"/>
  <c r="L7" i="2"/>
  <c r="G11" i="2"/>
  <c r="G38" i="2"/>
  <c r="J7" i="2"/>
  <c r="F11" i="2"/>
  <c r="F38" i="2"/>
  <c r="I7" i="2"/>
  <c r="E11" i="2"/>
  <c r="E38" i="2"/>
  <c r="H7" i="2"/>
  <c r="D11" i="2"/>
  <c r="D38" i="2"/>
  <c r="C11" i="2"/>
  <c r="C38" i="2"/>
  <c r="R65" i="1"/>
  <c r="S65" i="1" s="1"/>
  <c r="Q66" i="1"/>
  <c r="I66" i="1"/>
  <c r="O65" i="1"/>
  <c r="P65" i="1"/>
  <c r="L169" i="11"/>
  <c r="J169" i="11"/>
  <c r="J170" i="11" s="1"/>
  <c r="N169" i="11"/>
  <c r="K169" i="11"/>
  <c r="M169" i="11"/>
  <c r="B49" i="8"/>
  <c r="C49" i="8"/>
  <c r="D49" i="8"/>
  <c r="E49" i="8"/>
  <c r="F49" i="8"/>
  <c r="K168" i="11"/>
  <c r="K63" i="11"/>
  <c r="O142" i="11"/>
  <c r="R55" i="11"/>
  <c r="O141" i="11"/>
  <c r="R54" i="11"/>
  <c r="H151" i="11"/>
  <c r="H150" i="11"/>
  <c r="H114" i="11" s="1"/>
  <c r="G151" i="11"/>
  <c r="G150" i="11"/>
  <c r="G114" i="11" s="1"/>
  <c r="F150" i="11"/>
  <c r="F114" i="11" s="1"/>
  <c r="F151" i="11"/>
  <c r="E143" i="11"/>
  <c r="E129" i="11"/>
  <c r="F129" i="11"/>
  <c r="I158" i="11"/>
  <c r="I161" i="11"/>
  <c r="H158" i="11"/>
  <c r="H161" i="11"/>
  <c r="G158" i="11"/>
  <c r="G161" i="11"/>
  <c r="F158" i="11"/>
  <c r="F161" i="11"/>
  <c r="E161" i="11"/>
  <c r="E155" i="11"/>
  <c r="E158" i="11" s="1"/>
  <c r="I49" i="11"/>
  <c r="I51" i="11" s="1"/>
  <c r="I53" i="11"/>
  <c r="I55" i="11"/>
  <c r="I50" i="11"/>
  <c r="I56" i="11" s="1"/>
  <c r="H49" i="11"/>
  <c r="H53" i="11"/>
  <c r="B7" i="8" s="1"/>
  <c r="B29" i="8" s="1"/>
  <c r="H55" i="11"/>
  <c r="B8" i="8" s="1"/>
  <c r="B30" i="8" s="1"/>
  <c r="H50" i="11"/>
  <c r="H56" i="11" s="1"/>
  <c r="G49" i="11"/>
  <c r="G53" i="11"/>
  <c r="G55" i="11"/>
  <c r="G50" i="11"/>
  <c r="G56" i="11" s="1"/>
  <c r="F49" i="11"/>
  <c r="F51" i="11" s="1"/>
  <c r="F53" i="11"/>
  <c r="F55" i="11"/>
  <c r="F50" i="11"/>
  <c r="F56" i="11" s="1"/>
  <c r="E61" i="11"/>
  <c r="E67" i="11"/>
  <c r="E68" i="11"/>
  <c r="J47" i="11"/>
  <c r="J42" i="11"/>
  <c r="K41" i="11"/>
  <c r="L34" i="11"/>
  <c r="E51" i="11"/>
  <c r="F61" i="3"/>
  <c r="G61" i="3"/>
  <c r="J31" i="2"/>
  <c r="I31" i="2"/>
  <c r="H31" i="2"/>
  <c r="G35" i="7"/>
  <c r="G36" i="7"/>
  <c r="G37" i="7"/>
  <c r="G31" i="7"/>
  <c r="G38" i="7"/>
  <c r="F35" i="7"/>
  <c r="F37" i="7"/>
  <c r="F31" i="7"/>
  <c r="F36" i="7"/>
  <c r="F38" i="7"/>
  <c r="E35" i="7"/>
  <c r="E37" i="7"/>
  <c r="E31" i="7"/>
  <c r="E38" i="7"/>
  <c r="E36" i="7"/>
  <c r="D35" i="7"/>
  <c r="D37" i="7"/>
  <c r="D31" i="7"/>
  <c r="D38" i="7"/>
  <c r="D36" i="7"/>
  <c r="C38" i="7"/>
  <c r="C36" i="7"/>
  <c r="D23" i="3"/>
  <c r="D22" i="3"/>
  <c r="D30" i="3" s="1"/>
  <c r="C23" i="3"/>
  <c r="C22" i="3"/>
  <c r="C30" i="3" s="1"/>
  <c r="J157" i="11"/>
  <c r="F162" i="11"/>
  <c r="I59" i="11"/>
  <c r="I140" i="11"/>
  <c r="I143" i="11" s="1"/>
  <c r="I160" i="11"/>
  <c r="H59" i="11"/>
  <c r="H140" i="11"/>
  <c r="H160" i="11"/>
  <c r="B10" i="8" s="1"/>
  <c r="B43" i="8" s="1"/>
  <c r="G59" i="11"/>
  <c r="G140" i="11"/>
  <c r="G143" i="11" s="1"/>
  <c r="G160" i="11"/>
  <c r="F59" i="11"/>
  <c r="F140" i="11"/>
  <c r="F160" i="11"/>
  <c r="R50" i="11" s="1"/>
  <c r="B9" i="8" l="1"/>
  <c r="I150" i="11"/>
  <c r="I114" i="11" s="1"/>
  <c r="I151" i="11"/>
  <c r="B32" i="8"/>
  <c r="C32" i="8"/>
  <c r="D32" i="8"/>
  <c r="E32" i="8"/>
  <c r="F32" i="8"/>
  <c r="H38" i="7" a="1"/>
  <c r="H38" i="7" s="1"/>
  <c r="H37" i="7"/>
  <c r="H35" i="7"/>
  <c r="H36" i="7" a="1"/>
  <c r="H36" i="7" s="1"/>
  <c r="Z94" i="8"/>
  <c r="Y97" i="8"/>
  <c r="Z82" i="8"/>
  <c r="Y85" i="8"/>
  <c r="Z70" i="8"/>
  <c r="Y73" i="8"/>
  <c r="E22" i="8"/>
  <c r="D25" i="8"/>
  <c r="C26" i="8"/>
  <c r="C29" i="8"/>
  <c r="C30" i="8"/>
  <c r="C43" i="8"/>
  <c r="D74" i="7"/>
  <c r="C76" i="7"/>
  <c r="K11" i="2"/>
  <c r="L11" i="2"/>
  <c r="G42" i="2"/>
  <c r="G69" i="2"/>
  <c r="G70" i="2"/>
  <c r="G77" i="2"/>
  <c r="G34" i="3"/>
  <c r="E64" i="3"/>
  <c r="F64" i="3"/>
  <c r="G64" i="3"/>
  <c r="G10" i="2"/>
  <c r="C54" i="6" s="1"/>
  <c r="J11" i="2"/>
  <c r="F42" i="2"/>
  <c r="F69" i="2"/>
  <c r="F70" i="2"/>
  <c r="F77" i="2"/>
  <c r="F34" i="3"/>
  <c r="F10" i="2"/>
  <c r="I11" i="2"/>
  <c r="E42" i="2"/>
  <c r="E69" i="2"/>
  <c r="E70" i="2"/>
  <c r="E77" i="2"/>
  <c r="E34" i="3"/>
  <c r="E10" i="2"/>
  <c r="H11" i="2"/>
  <c r="D42" i="2"/>
  <c r="D69" i="2"/>
  <c r="D70" i="2"/>
  <c r="D77" i="2"/>
  <c r="D34" i="3"/>
  <c r="D10" i="2"/>
  <c r="N12" i="2"/>
  <c r="C42" i="2"/>
  <c r="C69" i="2"/>
  <c r="C70" i="2"/>
  <c r="C77" i="2"/>
  <c r="C34" i="3"/>
  <c r="C10" i="2"/>
  <c r="R66" i="1"/>
  <c r="S66" i="1" s="1"/>
  <c r="Q67" i="1"/>
  <c r="I67" i="1"/>
  <c r="P66" i="1"/>
  <c r="O66" i="1"/>
  <c r="J171" i="11"/>
  <c r="J94" i="11" s="1"/>
  <c r="J97" i="11" s="1"/>
  <c r="J89" i="11"/>
  <c r="K170" i="11"/>
  <c r="L166" i="11"/>
  <c r="I65" i="11"/>
  <c r="I60" i="11"/>
  <c r="I61" i="11" s="1"/>
  <c r="I57" i="11"/>
  <c r="H51" i="11"/>
  <c r="B6" i="8"/>
  <c r="H60" i="11"/>
  <c r="H61" i="11" s="1"/>
  <c r="H65" i="11"/>
  <c r="H57" i="11"/>
  <c r="G65" i="11"/>
  <c r="G60" i="11"/>
  <c r="G61" i="11" s="1"/>
  <c r="G57" i="11"/>
  <c r="F60" i="11"/>
  <c r="F57" i="11"/>
  <c r="F65" i="11"/>
  <c r="E133" i="11"/>
  <c r="E134" i="11" s="1"/>
  <c r="E124" i="11"/>
  <c r="E69" i="11"/>
  <c r="E112" i="11"/>
  <c r="E135" i="11"/>
  <c r="J54" i="11"/>
  <c r="J55" i="11" s="1"/>
  <c r="J156" i="11"/>
  <c r="J48" i="11"/>
  <c r="J50" i="11" s="1"/>
  <c r="K42" i="11"/>
  <c r="K47" i="11"/>
  <c r="M34" i="11"/>
  <c r="L41" i="11"/>
  <c r="J58" i="11"/>
  <c r="J161" i="11"/>
  <c r="H143" i="11"/>
  <c r="B12" i="8"/>
  <c r="H31" i="7"/>
  <c r="R49" i="11"/>
  <c r="J52" i="11" s="1"/>
  <c r="J53" i="11" s="1"/>
  <c r="G51" i="11"/>
  <c r="R48" i="11"/>
  <c r="F143" i="11"/>
  <c r="R53" i="11"/>
  <c r="J74" i="11" s="1"/>
  <c r="O140" i="11"/>
  <c r="B36" i="8" l="1"/>
  <c r="C36" i="8"/>
  <c r="D60" i="6"/>
  <c r="E60" i="6" s="1"/>
  <c r="G60" i="6" s="1"/>
  <c r="H60" i="6" s="1"/>
  <c r="D61" i="6"/>
  <c r="O143" i="11"/>
  <c r="K89" i="11"/>
  <c r="K171" i="11"/>
  <c r="K94" i="11" s="1"/>
  <c r="K97" i="11" s="1"/>
  <c r="X98" i="8"/>
  <c r="X86" i="8"/>
  <c r="X99" i="8"/>
  <c r="X87" i="8"/>
  <c r="AA94" i="8"/>
  <c r="AA97" i="8" s="1"/>
  <c r="Z97" i="8"/>
  <c r="Y98" i="8"/>
  <c r="Y99" i="8"/>
  <c r="AA82" i="8"/>
  <c r="AA85" i="8" s="1"/>
  <c r="Z85" i="8"/>
  <c r="Y86" i="8"/>
  <c r="Y87" i="8"/>
  <c r="AA70" i="8"/>
  <c r="AA73" i="8" s="1"/>
  <c r="Z73" i="8"/>
  <c r="Y74" i="8"/>
  <c r="Y75" i="8"/>
  <c r="F22" i="8"/>
  <c r="F25" i="8" s="1"/>
  <c r="E25" i="8"/>
  <c r="D26" i="8"/>
  <c r="D27" i="8"/>
  <c r="D28" i="8"/>
  <c r="D29" i="8"/>
  <c r="D30" i="8"/>
  <c r="D36" i="8"/>
  <c r="D38" i="8"/>
  <c r="D43" i="8"/>
  <c r="E74" i="7"/>
  <c r="D76" i="7"/>
  <c r="M69" i="2"/>
  <c r="N69" i="2"/>
  <c r="M70" i="2"/>
  <c r="N70" i="2"/>
  <c r="M77" i="2"/>
  <c r="N77" i="2"/>
  <c r="G28" i="3"/>
  <c r="K10" i="2"/>
  <c r="L10" i="2"/>
  <c r="G41" i="2"/>
  <c r="G27" i="3"/>
  <c r="G33" i="3"/>
  <c r="G47" i="3"/>
  <c r="H37" i="6"/>
  <c r="I37" i="6" s="1"/>
  <c r="F28" i="3"/>
  <c r="J10" i="2"/>
  <c r="F41" i="2"/>
  <c r="F67" i="2" s="1"/>
  <c r="F27" i="3"/>
  <c r="F33" i="3"/>
  <c r="H38" i="6"/>
  <c r="I38" i="6" s="1"/>
  <c r="E28" i="3"/>
  <c r="I10" i="2"/>
  <c r="E41" i="2"/>
  <c r="E67" i="2" s="1"/>
  <c r="E27" i="3"/>
  <c r="E33" i="3"/>
  <c r="H39" i="6"/>
  <c r="I39" i="6" s="1"/>
  <c r="D28" i="3"/>
  <c r="H10" i="2"/>
  <c r="D41" i="2"/>
  <c r="D67" i="2" s="1"/>
  <c r="D27" i="3"/>
  <c r="D33" i="3"/>
  <c r="H40" i="6"/>
  <c r="I40" i="6" s="1"/>
  <c r="C28" i="3"/>
  <c r="C41" i="2"/>
  <c r="C67" i="2" s="1"/>
  <c r="C27" i="3"/>
  <c r="C33" i="3"/>
  <c r="H41" i="6"/>
  <c r="I41" i="6" s="1"/>
  <c r="R67" i="1"/>
  <c r="S67" i="1" s="1"/>
  <c r="Q68" i="1"/>
  <c r="I68" i="1"/>
  <c r="P67" i="1"/>
  <c r="O67" i="1"/>
  <c r="L168" i="11"/>
  <c r="L63" i="11"/>
  <c r="I67" i="11"/>
  <c r="I133" i="11" s="1"/>
  <c r="I134" i="11" s="1"/>
  <c r="I68" i="11"/>
  <c r="B27" i="8"/>
  <c r="W74" i="8"/>
  <c r="W86" i="8"/>
  <c r="W98" i="8"/>
  <c r="H67" i="11"/>
  <c r="H68" i="11"/>
  <c r="G67" i="11"/>
  <c r="G133" i="11" s="1"/>
  <c r="G134" i="11" s="1"/>
  <c r="G68" i="11"/>
  <c r="O60" i="11"/>
  <c r="F61" i="11"/>
  <c r="F67" i="11"/>
  <c r="F68" i="11"/>
  <c r="J146" i="11"/>
  <c r="J140" i="11"/>
  <c r="J159" i="11"/>
  <c r="J162" i="11"/>
  <c r="J160" i="11"/>
  <c r="J118" i="11"/>
  <c r="J120" i="11" s="1"/>
  <c r="J49" i="11"/>
  <c r="J75" i="11"/>
  <c r="J87" i="11"/>
  <c r="K52" i="11"/>
  <c r="K53" i="11" s="1"/>
  <c r="K156" i="11"/>
  <c r="K48" i="11"/>
  <c r="K50" i="11" s="1"/>
  <c r="K54" i="11"/>
  <c r="K55" i="11" s="1"/>
  <c r="K74" i="11"/>
  <c r="N34" i="11"/>
  <c r="N41" i="11" s="1"/>
  <c r="M41" i="11"/>
  <c r="L42" i="11"/>
  <c r="L47" i="11"/>
  <c r="J59" i="11"/>
  <c r="O59" i="11" s="1"/>
  <c r="J113" i="11"/>
  <c r="B38" i="8"/>
  <c r="W75" i="8"/>
  <c r="W76" i="8" s="1"/>
  <c r="W87" i="8"/>
  <c r="W99" i="8"/>
  <c r="X74" i="8"/>
  <c r="C27" i="8"/>
  <c r="X75" i="8"/>
  <c r="C38" i="8"/>
  <c r="J56" i="11"/>
  <c r="X76" i="8" l="1"/>
  <c r="Y88" i="8"/>
  <c r="Y100" i="8"/>
  <c r="K56" i="11"/>
  <c r="AA98" i="8"/>
  <c r="AA99" i="8"/>
  <c r="M18" i="8"/>
  <c r="AC94" i="8"/>
  <c r="M19" i="8" s="1"/>
  <c r="Z98" i="8"/>
  <c r="Z99" i="8"/>
  <c r="Z100" i="8" s="1"/>
  <c r="AA86" i="8"/>
  <c r="AA87" i="8"/>
  <c r="L18" i="8"/>
  <c r="AC82" i="8"/>
  <c r="L19" i="8" s="1"/>
  <c r="Z86" i="8"/>
  <c r="Z87" i="8"/>
  <c r="Z88" i="8" s="1"/>
  <c r="AA74" i="8"/>
  <c r="AA75" i="8"/>
  <c r="K18" i="8"/>
  <c r="AC70" i="8"/>
  <c r="K19" i="8" s="1"/>
  <c r="Z74" i="8"/>
  <c r="Z75" i="8"/>
  <c r="Z76" i="8" s="1"/>
  <c r="F26" i="8"/>
  <c r="F27" i="8"/>
  <c r="F28" i="8" s="1"/>
  <c r="F29" i="8"/>
  <c r="F30" i="8"/>
  <c r="F36" i="8"/>
  <c r="F38" i="8"/>
  <c r="F43" i="8"/>
  <c r="E26" i="8"/>
  <c r="E27" i="8"/>
  <c r="E28" i="8" s="1"/>
  <c r="E29" i="8"/>
  <c r="E30" i="8"/>
  <c r="E36" i="8"/>
  <c r="E38" i="8"/>
  <c r="E43" i="8"/>
  <c r="D39" i="8"/>
  <c r="D40" i="8"/>
  <c r="F74" i="7"/>
  <c r="E76" i="7"/>
  <c r="D77" i="7"/>
  <c r="D80" i="7"/>
  <c r="B44" i="8"/>
  <c r="J123" i="11"/>
  <c r="F52" i="7"/>
  <c r="G67" i="2"/>
  <c r="E76" i="3"/>
  <c r="E77" i="3" s="1"/>
  <c r="F76" i="3"/>
  <c r="F77" i="3" s="1"/>
  <c r="G76" i="3"/>
  <c r="G77" i="3" s="1"/>
  <c r="G49" i="3"/>
  <c r="E58" i="3"/>
  <c r="I44" i="6"/>
  <c r="I43" i="6"/>
  <c r="C61" i="6" s="1"/>
  <c r="E61" i="6" s="1"/>
  <c r="G61" i="6" s="1"/>
  <c r="H61" i="6" s="1"/>
  <c r="H66" i="6" s="1"/>
  <c r="R68" i="1"/>
  <c r="S68" i="1" s="1"/>
  <c r="Q69" i="1"/>
  <c r="I69" i="1"/>
  <c r="P68" i="1"/>
  <c r="O68" i="1"/>
  <c r="M166" i="11"/>
  <c r="L170" i="11"/>
  <c r="I124" i="11"/>
  <c r="I69" i="11"/>
  <c r="I135" i="11"/>
  <c r="I112" i="11"/>
  <c r="B40" i="8"/>
  <c r="B39" i="8"/>
  <c r="B41" i="8" s="1"/>
  <c r="B42" i="8" s="1"/>
  <c r="B28" i="8"/>
  <c r="B31" i="8" s="1"/>
  <c r="H133" i="11"/>
  <c r="H134" i="11" s="1"/>
  <c r="B11" i="8"/>
  <c r="H124" i="11"/>
  <c r="H69" i="11"/>
  <c r="H135" i="11"/>
  <c r="H112" i="11"/>
  <c r="G124" i="11"/>
  <c r="G69" i="11"/>
  <c r="G135" i="11"/>
  <c r="G112" i="11"/>
  <c r="R47" i="11"/>
  <c r="C15" i="12" s="1"/>
  <c r="F133" i="11"/>
  <c r="F134" i="11" s="1"/>
  <c r="F124" i="11"/>
  <c r="F69" i="11"/>
  <c r="F112" i="11"/>
  <c r="F135" i="11"/>
  <c r="J81" i="11"/>
  <c r="K155" i="11"/>
  <c r="O49" i="11"/>
  <c r="J51" i="11"/>
  <c r="J147" i="11"/>
  <c r="J141" i="11"/>
  <c r="J148" i="11"/>
  <c r="J92" i="11"/>
  <c r="J98" i="11" s="1"/>
  <c r="J142" i="11"/>
  <c r="K160" i="11"/>
  <c r="K118" i="11"/>
  <c r="K120" i="11" s="1"/>
  <c r="K49" i="11"/>
  <c r="K75" i="11"/>
  <c r="K87" i="11"/>
  <c r="K146" i="11"/>
  <c r="K140" i="11"/>
  <c r="N42" i="11"/>
  <c r="N47" i="11"/>
  <c r="M47" i="11"/>
  <c r="M42" i="11"/>
  <c r="L74" i="11"/>
  <c r="L156" i="11"/>
  <c r="L48" i="11"/>
  <c r="L50" i="11" s="1"/>
  <c r="L52" i="11"/>
  <c r="L53" i="11" s="1"/>
  <c r="L54" i="11"/>
  <c r="L55" i="11" s="1"/>
  <c r="X88" i="8"/>
  <c r="W88" i="8"/>
  <c r="X100" i="8"/>
  <c r="W100" i="8"/>
  <c r="C40" i="8"/>
  <c r="C39" i="8"/>
  <c r="C28" i="8"/>
  <c r="C31" i="8" s="1"/>
  <c r="J65" i="11"/>
  <c r="J57" i="11"/>
  <c r="J60" i="11"/>
  <c r="J61" i="11" s="1"/>
  <c r="Y76" i="8"/>
  <c r="D31" i="8"/>
  <c r="L89" i="11" l="1"/>
  <c r="L171" i="11"/>
  <c r="L94" i="11" s="1"/>
  <c r="L97" i="11" s="1"/>
  <c r="C41" i="8"/>
  <c r="C42" i="8" s="1"/>
  <c r="C45" i="8" s="1"/>
  <c r="K65" i="11"/>
  <c r="K57" i="11"/>
  <c r="Y89" i="8"/>
  <c r="Y90" i="8"/>
  <c r="X78" i="8"/>
  <c r="X77" i="8"/>
  <c r="AA88" i="8"/>
  <c r="Y101" i="8"/>
  <c r="Y102" i="8"/>
  <c r="Z101" i="8"/>
  <c r="Z102" i="8"/>
  <c r="Z89" i="8"/>
  <c r="Z90" i="8"/>
  <c r="Z77" i="8"/>
  <c r="Z78" i="8"/>
  <c r="F39" i="8"/>
  <c r="F40" i="8"/>
  <c r="E39" i="8"/>
  <c r="E40" i="8"/>
  <c r="G74" i="7"/>
  <c r="F76" i="7"/>
  <c r="E77" i="7"/>
  <c r="E80" i="7"/>
  <c r="C44" i="8"/>
  <c r="K123" i="11"/>
  <c r="J127" i="11"/>
  <c r="M67" i="2"/>
  <c r="N67" i="2"/>
  <c r="E81" i="3"/>
  <c r="E83" i="3"/>
  <c r="E82" i="3"/>
  <c r="F81" i="3"/>
  <c r="F83" i="3"/>
  <c r="F82" i="3"/>
  <c r="G81" i="3"/>
  <c r="G83" i="3"/>
  <c r="G82" i="3"/>
  <c r="G51" i="3"/>
  <c r="G53" i="3"/>
  <c r="F58" i="3"/>
  <c r="F63" i="3" s="1"/>
  <c r="G58" i="3"/>
  <c r="G63" i="3" s="1"/>
  <c r="E63" i="3"/>
  <c r="D65" i="6"/>
  <c r="C80" i="6" s="1"/>
  <c r="F65" i="6"/>
  <c r="C81" i="6"/>
  <c r="C83" i="6" s="1"/>
  <c r="R69" i="1"/>
  <c r="S69" i="1" s="1"/>
  <c r="Q70" i="1"/>
  <c r="I70" i="1"/>
  <c r="P69" i="1"/>
  <c r="O69" i="1"/>
  <c r="M168" i="11"/>
  <c r="M63" i="11"/>
  <c r="B45" i="8"/>
  <c r="B37" i="8"/>
  <c r="B33" i="8"/>
  <c r="X101" i="8"/>
  <c r="X102" i="8"/>
  <c r="X90" i="8"/>
  <c r="X89" i="8"/>
  <c r="R57" i="11"/>
  <c r="F10" i="8"/>
  <c r="K157" i="11"/>
  <c r="K159" i="11" s="1"/>
  <c r="K51" i="11"/>
  <c r="O45" i="11"/>
  <c r="K141" i="11"/>
  <c r="K147" i="11"/>
  <c r="K92" i="11"/>
  <c r="K98" i="11" s="1"/>
  <c r="K142" i="11"/>
  <c r="K148" i="11"/>
  <c r="N48" i="11"/>
  <c r="N50" i="11" s="1"/>
  <c r="N74" i="11"/>
  <c r="N54" i="11"/>
  <c r="N55" i="11" s="1"/>
  <c r="N52" i="11"/>
  <c r="N53" i="11" s="1"/>
  <c r="N156" i="11"/>
  <c r="M54" i="11"/>
  <c r="M55" i="11" s="1"/>
  <c r="M74" i="11"/>
  <c r="M156" i="11"/>
  <c r="M52" i="11"/>
  <c r="M53" i="11" s="1"/>
  <c r="M48" i="11"/>
  <c r="M50" i="11" s="1"/>
  <c r="L140" i="11"/>
  <c r="L146" i="11"/>
  <c r="L160" i="11"/>
  <c r="L118" i="11"/>
  <c r="L120" i="11" s="1"/>
  <c r="L49" i="11"/>
  <c r="L51" i="11" s="1"/>
  <c r="L75" i="11"/>
  <c r="L87" i="11"/>
  <c r="C37" i="8"/>
  <c r="C33" i="8"/>
  <c r="J66" i="11"/>
  <c r="D37" i="8"/>
  <c r="D33" i="8"/>
  <c r="AA76" i="8"/>
  <c r="F31" i="8"/>
  <c r="E31" i="8"/>
  <c r="D41" i="8"/>
  <c r="J149" i="11"/>
  <c r="J143" i="11"/>
  <c r="L56" i="11"/>
  <c r="AA100" i="8"/>
  <c r="W78" i="8"/>
  <c r="W77" i="8"/>
  <c r="W90" i="8"/>
  <c r="W89" i="8"/>
  <c r="W102" i="8"/>
  <c r="W101" i="8"/>
  <c r="Y77" i="8"/>
  <c r="Y78" i="8"/>
  <c r="M56" i="11" l="1"/>
  <c r="K66" i="11"/>
  <c r="D42" i="8"/>
  <c r="D45" i="8" s="1"/>
  <c r="AA89" i="8"/>
  <c r="AA90" i="8"/>
  <c r="AC84" i="8" s="1"/>
  <c r="L21" i="8" s="1"/>
  <c r="AA101" i="8"/>
  <c r="AA102" i="8"/>
  <c r="AC96" i="8" s="1"/>
  <c r="M21" i="8" s="1"/>
  <c r="AA77" i="8"/>
  <c r="AA78" i="8"/>
  <c r="AC72" i="8" s="1"/>
  <c r="K21" i="8" s="1"/>
  <c r="H74" i="7"/>
  <c r="H76" i="7" s="1"/>
  <c r="G76" i="7"/>
  <c r="F77" i="7"/>
  <c r="F80" i="7"/>
  <c r="D44" i="8"/>
  <c r="L123" i="11"/>
  <c r="K127" i="11"/>
  <c r="E80" i="6"/>
  <c r="G80" i="6" s="1"/>
  <c r="H65" i="6"/>
  <c r="R70" i="1"/>
  <c r="S70" i="1" s="1"/>
  <c r="Q71" i="1"/>
  <c r="I71" i="1"/>
  <c r="P70" i="1"/>
  <c r="O70" i="1"/>
  <c r="M170" i="11"/>
  <c r="N166" i="11"/>
  <c r="B34" i="8"/>
  <c r="B35" i="8" s="1"/>
  <c r="B46" i="8" s="1"/>
  <c r="B54" i="8"/>
  <c r="B55" i="8" s="1"/>
  <c r="C54" i="8"/>
  <c r="C55" i="8" s="1"/>
  <c r="D54" i="8"/>
  <c r="E54" i="8"/>
  <c r="F54" i="8"/>
  <c r="K162" i="11"/>
  <c r="K161" i="11"/>
  <c r="K58" i="11"/>
  <c r="K81" i="11"/>
  <c r="L155" i="11"/>
  <c r="N75" i="11"/>
  <c r="N87" i="11"/>
  <c r="N49" i="11"/>
  <c r="N51" i="11" s="1"/>
  <c r="N140" i="11"/>
  <c r="N146" i="11"/>
  <c r="N160" i="11"/>
  <c r="N118" i="11"/>
  <c r="N120" i="11" s="1"/>
  <c r="M140" i="11"/>
  <c r="M146" i="11"/>
  <c r="M160" i="11"/>
  <c r="M118" i="11"/>
  <c r="M120" i="11" s="1"/>
  <c r="M87" i="11"/>
  <c r="M49" i="11"/>
  <c r="M51" i="11" s="1"/>
  <c r="M75" i="11"/>
  <c r="L141" i="11"/>
  <c r="L147" i="11"/>
  <c r="L92" i="11"/>
  <c r="L98" i="11" s="1"/>
  <c r="L148" i="11"/>
  <c r="L142" i="11"/>
  <c r="C34" i="8"/>
  <c r="C35" i="8" s="1"/>
  <c r="C46" i="8" s="1"/>
  <c r="C57" i="8" s="1"/>
  <c r="D34" i="8"/>
  <c r="D35" i="8" s="1"/>
  <c r="F37" i="8"/>
  <c r="F33" i="8"/>
  <c r="E37" i="8"/>
  <c r="E33" i="8"/>
  <c r="J150" i="11"/>
  <c r="J114" i="11" s="1"/>
  <c r="J133" i="11" s="1"/>
  <c r="J134" i="11" s="1"/>
  <c r="J151" i="11"/>
  <c r="L65" i="11"/>
  <c r="L57" i="11"/>
  <c r="K143" i="11"/>
  <c r="K149" i="11"/>
  <c r="N56" i="11"/>
  <c r="E41" i="8"/>
  <c r="E42" i="8" s="1"/>
  <c r="E45" i="8" s="1"/>
  <c r="G65" i="3"/>
  <c r="F41" i="8"/>
  <c r="F65" i="3"/>
  <c r="J67" i="11"/>
  <c r="J68" i="11"/>
  <c r="K67" i="11" l="1"/>
  <c r="K68" i="11"/>
  <c r="M65" i="11"/>
  <c r="M66" i="11" s="1"/>
  <c r="M57" i="11"/>
  <c r="D46" i="8"/>
  <c r="D57" i="8" s="1"/>
  <c r="D55" i="8"/>
  <c r="F42" i="8"/>
  <c r="F45" i="8" s="1"/>
  <c r="H77" i="7"/>
  <c r="H80" i="7"/>
  <c r="I81" i="7"/>
  <c r="I82" i="7" s="1"/>
  <c r="C86" i="7" s="1"/>
  <c r="F44" i="8"/>
  <c r="N123" i="11"/>
  <c r="G77" i="7"/>
  <c r="G80" i="7"/>
  <c r="E44" i="8"/>
  <c r="M123" i="11"/>
  <c r="L127" i="11"/>
  <c r="R71" i="1"/>
  <c r="S71" i="1" s="1"/>
  <c r="Q72" i="1"/>
  <c r="I72" i="1"/>
  <c r="P71" i="1"/>
  <c r="O71" i="1"/>
  <c r="N168" i="11"/>
  <c r="N63" i="11"/>
  <c r="N65" i="11" s="1"/>
  <c r="B48" i="8"/>
  <c r="B57" i="8"/>
  <c r="AC95" i="8"/>
  <c r="M20" i="8" s="1"/>
  <c r="AC83" i="8"/>
  <c r="L20" i="8" s="1"/>
  <c r="AC71" i="8"/>
  <c r="K20" i="8" s="1"/>
  <c r="K60" i="11"/>
  <c r="K61" i="11" s="1"/>
  <c r="K113" i="11"/>
  <c r="K59" i="11"/>
  <c r="L157" i="11"/>
  <c r="L159" i="11" s="1"/>
  <c r="N141" i="11"/>
  <c r="N147" i="11"/>
  <c r="N142" i="11"/>
  <c r="N148" i="11"/>
  <c r="M148" i="11"/>
  <c r="M142" i="11"/>
  <c r="M141" i="11"/>
  <c r="M147" i="11"/>
  <c r="F34" i="8"/>
  <c r="F35" i="8"/>
  <c r="E34" i="8"/>
  <c r="E35" i="8"/>
  <c r="E46" i="8" s="1"/>
  <c r="L66" i="11"/>
  <c r="K151" i="11"/>
  <c r="K150" i="11"/>
  <c r="K114" i="11" s="1"/>
  <c r="N57" i="11"/>
  <c r="J135" i="11"/>
  <c r="J112" i="11"/>
  <c r="J115" i="11" s="1"/>
  <c r="J128" i="11" s="1"/>
  <c r="J130" i="11" s="1"/>
  <c r="J69" i="11"/>
  <c r="J100" i="11"/>
  <c r="J124" i="11"/>
  <c r="L143" i="11"/>
  <c r="L149" i="11"/>
  <c r="M89" i="11"/>
  <c r="M92" i="11" s="1"/>
  <c r="M171" i="11"/>
  <c r="M94" i="11" s="1"/>
  <c r="E55" i="8"/>
  <c r="K124" i="11" l="1"/>
  <c r="K69" i="11"/>
  <c r="K112" i="11"/>
  <c r="K115" i="11" s="1"/>
  <c r="K128" i="11" s="1"/>
  <c r="M149" i="11"/>
  <c r="C85" i="7"/>
  <c r="C87" i="7" s="1"/>
  <c r="L67" i="11"/>
  <c r="L68" i="11"/>
  <c r="M67" i="11"/>
  <c r="M68" i="11"/>
  <c r="M112" i="11" s="1"/>
  <c r="F46" i="8"/>
  <c r="E67" i="8"/>
  <c r="B63" i="8"/>
  <c r="K6" i="8"/>
  <c r="K7" i="8" s="1"/>
  <c r="C63" i="8"/>
  <c r="C65" i="8"/>
  <c r="F67" i="8"/>
  <c r="D63" i="8"/>
  <c r="E63" i="8"/>
  <c r="F63" i="8"/>
  <c r="D67" i="8"/>
  <c r="C67" i="8"/>
  <c r="B67" i="8"/>
  <c r="F66" i="8"/>
  <c r="E66" i="8"/>
  <c r="D66" i="8"/>
  <c r="C66" i="8"/>
  <c r="B66" i="8"/>
  <c r="F65" i="8"/>
  <c r="E65" i="8"/>
  <c r="D65" i="8"/>
  <c r="F55" i="8"/>
  <c r="K5" i="8" s="1"/>
  <c r="B64" i="8"/>
  <c r="C64" i="8"/>
  <c r="D64" i="8"/>
  <c r="E64" i="8"/>
  <c r="F64" i="8"/>
  <c r="B65" i="8"/>
  <c r="K135" i="11"/>
  <c r="K133" i="11"/>
  <c r="K134" i="11" s="1"/>
  <c r="N127" i="11"/>
  <c r="M127" i="11"/>
  <c r="R72" i="1"/>
  <c r="S72" i="1" s="1"/>
  <c r="Q73" i="1"/>
  <c r="I73" i="1"/>
  <c r="P72" i="1"/>
  <c r="O72" i="1"/>
  <c r="N170" i="11"/>
  <c r="B50" i="8"/>
  <c r="C47" i="8"/>
  <c r="C48" i="8" s="1"/>
  <c r="L81" i="11"/>
  <c r="M155" i="11"/>
  <c r="L162" i="11"/>
  <c r="L58" i="11"/>
  <c r="L161" i="11"/>
  <c r="N66" i="11"/>
  <c r="K129" i="11"/>
  <c r="J73" i="11"/>
  <c r="J78" i="11" s="1"/>
  <c r="J85" i="11" s="1"/>
  <c r="J104" i="11"/>
  <c r="K100" i="11"/>
  <c r="L150" i="11"/>
  <c r="L114" i="11" s="1"/>
  <c r="L151" i="11"/>
  <c r="M97" i="11"/>
  <c r="M98" i="11" s="1"/>
  <c r="N143" i="11"/>
  <c r="N149" i="11"/>
  <c r="M143" i="11"/>
  <c r="E57" i="8"/>
  <c r="M150" i="11" l="1"/>
  <c r="M114" i="11" s="1"/>
  <c r="M151" i="11"/>
  <c r="L65" i="8"/>
  <c r="M67" i="8"/>
  <c r="L67" i="8"/>
  <c r="N89" i="11"/>
  <c r="N92" i="11" s="1"/>
  <c r="N171" i="11"/>
  <c r="N94" i="11" s="1"/>
  <c r="N97" i="11" s="1"/>
  <c r="C94" i="7"/>
  <c r="F16" i="8"/>
  <c r="C98" i="7"/>
  <c r="C100" i="7" s="1"/>
  <c r="C102" i="7" s="1"/>
  <c r="C90" i="7"/>
  <c r="C91" i="7" s="1"/>
  <c r="C95" i="7"/>
  <c r="L124" i="11"/>
  <c r="L69" i="11"/>
  <c r="L112" i="11"/>
  <c r="K67" i="8"/>
  <c r="J67" i="8"/>
  <c r="I67" i="8"/>
  <c r="J66" i="8"/>
  <c r="I66" i="8"/>
  <c r="M65" i="8"/>
  <c r="K8" i="8"/>
  <c r="K10" i="8" s="1"/>
  <c r="K11" i="8" s="1"/>
  <c r="K12" i="8" s="1"/>
  <c r="L135" i="11"/>
  <c r="M124" i="11"/>
  <c r="M69" i="11"/>
  <c r="M66" i="8"/>
  <c r="L66" i="8"/>
  <c r="K66" i="8"/>
  <c r="M64" i="8"/>
  <c r="J65" i="8"/>
  <c r="K65" i="8"/>
  <c r="I65" i="8"/>
  <c r="L64" i="8"/>
  <c r="K130" i="11"/>
  <c r="F57" i="8"/>
  <c r="N5" i="8" s="1"/>
  <c r="N6" i="8"/>
  <c r="N7" i="8" s="1"/>
  <c r="I63" i="8"/>
  <c r="J63" i="8"/>
  <c r="K63" i="8"/>
  <c r="L63" i="8"/>
  <c r="M63" i="8"/>
  <c r="I64" i="8"/>
  <c r="J64" i="8"/>
  <c r="K64" i="8"/>
  <c r="N67" i="11"/>
  <c r="N68" i="11"/>
  <c r="R73" i="1"/>
  <c r="S73" i="1" s="1"/>
  <c r="Q74" i="1"/>
  <c r="I74" i="1"/>
  <c r="P73" i="1"/>
  <c r="O73" i="1"/>
  <c r="C50" i="8"/>
  <c r="D47" i="8"/>
  <c r="D48" i="8" s="1"/>
  <c r="M157" i="11"/>
  <c r="M159" i="11" s="1"/>
  <c r="L133" i="11"/>
  <c r="L134" i="11" s="1"/>
  <c r="L60" i="11"/>
  <c r="L61" i="11" s="1"/>
  <c r="L113" i="11"/>
  <c r="L59" i="11"/>
  <c r="J105" i="11"/>
  <c r="J106" i="11" s="1"/>
  <c r="J107" i="11"/>
  <c r="K104" i="11"/>
  <c r="L100" i="11"/>
  <c r="N150" i="11"/>
  <c r="N114" i="11" s="1"/>
  <c r="N151" i="11"/>
  <c r="N8" i="8" l="1"/>
  <c r="N9" i="8" s="1"/>
  <c r="N98" i="11"/>
  <c r="L115" i="11"/>
  <c r="L128" i="11" s="1"/>
  <c r="K73" i="11"/>
  <c r="K78" i="11" s="1"/>
  <c r="K85" i="11" s="1"/>
  <c r="L129" i="11"/>
  <c r="N124" i="11"/>
  <c r="N69" i="11"/>
  <c r="N112" i="11"/>
  <c r="R74" i="1"/>
  <c r="S74" i="1" s="1"/>
  <c r="Q75" i="1"/>
  <c r="I75" i="1"/>
  <c r="P74" i="1"/>
  <c r="O74" i="1"/>
  <c r="D50" i="8"/>
  <c r="E47" i="8"/>
  <c r="E48" i="8" s="1"/>
  <c r="M162" i="11"/>
  <c r="M161" i="11"/>
  <c r="M58" i="11"/>
  <c r="M81" i="11"/>
  <c r="N155" i="11"/>
  <c r="K105" i="11"/>
  <c r="K107" i="11"/>
  <c r="L104" i="11"/>
  <c r="M100" i="11"/>
  <c r="N10" i="8" l="1"/>
  <c r="N11" i="8"/>
  <c r="L130" i="11"/>
  <c r="K106" i="11"/>
  <c r="R75" i="1"/>
  <c r="S75" i="1" s="1"/>
  <c r="Q76" i="1"/>
  <c r="I76" i="1"/>
  <c r="P75" i="1"/>
  <c r="O75" i="1"/>
  <c r="E50" i="8"/>
  <c r="F47" i="8"/>
  <c r="F48" i="8" s="1"/>
  <c r="F50" i="8" s="1"/>
  <c r="M135" i="11"/>
  <c r="M133" i="11"/>
  <c r="M134" i="11" s="1"/>
  <c r="M60" i="11"/>
  <c r="M61" i="11" s="1"/>
  <c r="M113" i="11"/>
  <c r="M115" i="11" s="1"/>
  <c r="M128" i="11" s="1"/>
  <c r="M59" i="11"/>
  <c r="N157" i="11"/>
  <c r="N159" i="11" s="1"/>
  <c r="N81" i="11" s="1"/>
  <c r="L105" i="11"/>
  <c r="L107" i="11"/>
  <c r="M104" i="11"/>
  <c r="N100" i="11"/>
  <c r="N104" i="11" s="1"/>
  <c r="L73" i="11" l="1"/>
  <c r="L78" i="11" s="1"/>
  <c r="L85" i="11" s="1"/>
  <c r="L106" i="11" s="1"/>
  <c r="M129" i="11"/>
  <c r="M130" i="11" s="1"/>
  <c r="Q77" i="1"/>
  <c r="R76" i="1"/>
  <c r="S76" i="1" s="1"/>
  <c r="I77" i="1"/>
  <c r="P76" i="1"/>
  <c r="O76" i="1"/>
  <c r="N162" i="11"/>
  <c r="N58" i="11"/>
  <c r="N161" i="11"/>
  <c r="M105" i="11"/>
  <c r="M107" i="11"/>
  <c r="N107" i="11"/>
  <c r="N105" i="11"/>
  <c r="N129" i="11" l="1"/>
  <c r="M73" i="11"/>
  <c r="M78" i="11" s="1"/>
  <c r="M85" i="11" s="1"/>
  <c r="M106" i="11" s="1"/>
  <c r="R77" i="1"/>
  <c r="S77" i="1" s="1"/>
  <c r="Q78" i="1"/>
  <c r="I78" i="1"/>
  <c r="P77" i="1"/>
  <c r="O77" i="1"/>
  <c r="N135" i="11"/>
  <c r="N133" i="11"/>
  <c r="N134" i="11" s="1"/>
  <c r="N60" i="11"/>
  <c r="N61" i="11" s="1"/>
  <c r="N113" i="11"/>
  <c r="N115" i="11" s="1"/>
  <c r="N128" i="11" s="1"/>
  <c r="N59" i="11"/>
  <c r="N130" i="11" l="1"/>
  <c r="N73" i="11" s="1"/>
  <c r="N78" i="11" s="1"/>
  <c r="N85" i="11" s="1"/>
  <c r="N106" i="11" s="1"/>
  <c r="R78" i="1"/>
  <c r="S78" i="1" s="1"/>
  <c r="Q79" i="1"/>
  <c r="I79" i="1"/>
  <c r="P78" i="1"/>
  <c r="O78" i="1"/>
  <c r="R79" i="1" l="1"/>
  <c r="S79" i="1" s="1"/>
  <c r="Q80" i="1"/>
  <c r="I80" i="1"/>
  <c r="O79" i="1"/>
  <c r="P79" i="1"/>
  <c r="R80" i="1" l="1"/>
  <c r="S80" i="1" s="1"/>
  <c r="Q81" i="1"/>
  <c r="I81" i="1"/>
  <c r="O80" i="1"/>
  <c r="P80" i="1"/>
  <c r="R81" i="1" l="1"/>
  <c r="S81" i="1" s="1"/>
  <c r="Q82" i="1"/>
  <c r="I82" i="1"/>
  <c r="O81" i="1"/>
  <c r="P81" i="1"/>
  <c r="R82" i="1" l="1"/>
  <c r="S82" i="1" s="1"/>
  <c r="Q83" i="1"/>
  <c r="I83" i="1"/>
  <c r="P82" i="1"/>
  <c r="O82" i="1"/>
  <c r="R83" i="1" l="1"/>
  <c r="S83" i="1" s="1"/>
  <c r="Q84" i="1"/>
  <c r="I84" i="1"/>
  <c r="O83" i="1"/>
  <c r="P83" i="1"/>
  <c r="R84" i="1" l="1"/>
  <c r="S84" i="1" s="1"/>
  <c r="Q85" i="1"/>
  <c r="I85" i="1"/>
  <c r="P84" i="1"/>
  <c r="O84" i="1"/>
  <c r="Q86" i="1" l="1"/>
  <c r="R85" i="1"/>
  <c r="S85" i="1" s="1"/>
  <c r="I86" i="1"/>
  <c r="O85" i="1"/>
  <c r="P85" i="1"/>
  <c r="R86" i="1" l="1"/>
  <c r="S86" i="1" s="1"/>
  <c r="Q87" i="1"/>
  <c r="I87" i="1"/>
  <c r="P86" i="1"/>
  <c r="O86" i="1"/>
  <c r="Q88" i="1" l="1"/>
  <c r="R87" i="1"/>
  <c r="S87" i="1" s="1"/>
  <c r="I88" i="1"/>
  <c r="O87" i="1"/>
  <c r="P87" i="1"/>
  <c r="Q89" i="1" l="1"/>
  <c r="R88" i="1"/>
  <c r="S88" i="1" s="1"/>
  <c r="P88" i="1"/>
  <c r="O88" i="1"/>
  <c r="I89" i="1"/>
  <c r="Q90" i="1" l="1"/>
  <c r="R89" i="1"/>
  <c r="S89" i="1" s="1"/>
  <c r="I90" i="1"/>
  <c r="O89" i="1"/>
  <c r="P89" i="1"/>
  <c r="Q91" i="1" l="1"/>
  <c r="R90" i="1"/>
  <c r="S90" i="1" s="1"/>
  <c r="I91" i="1"/>
  <c r="O90" i="1"/>
  <c r="P90" i="1"/>
  <c r="R91" i="1" l="1"/>
  <c r="S91" i="1" s="1"/>
  <c r="Q92" i="1"/>
  <c r="I92" i="1"/>
  <c r="O91" i="1"/>
  <c r="P91" i="1"/>
  <c r="R92" i="1" l="1"/>
  <c r="S92" i="1" s="1"/>
  <c r="Q93" i="1"/>
  <c r="I93" i="1"/>
  <c r="O92" i="1"/>
  <c r="P92" i="1"/>
  <c r="Q94" i="1" l="1"/>
  <c r="R93" i="1"/>
  <c r="S93" i="1" s="1"/>
  <c r="I94" i="1"/>
  <c r="P93" i="1"/>
  <c r="O93" i="1"/>
  <c r="Q95" i="1" l="1"/>
  <c r="R94" i="1"/>
  <c r="S94" i="1" s="1"/>
  <c r="I95" i="1"/>
  <c r="O94" i="1"/>
  <c r="P94" i="1"/>
  <c r="Q96" i="1" l="1"/>
  <c r="R95" i="1"/>
  <c r="S95" i="1" s="1"/>
  <c r="I96" i="1"/>
  <c r="P95" i="1"/>
  <c r="O95" i="1"/>
  <c r="Q97" i="1" l="1"/>
  <c r="R96" i="1"/>
  <c r="S96" i="1" s="1"/>
  <c r="I97" i="1"/>
  <c r="P96" i="1"/>
  <c r="O96" i="1"/>
  <c r="R97" i="1" l="1"/>
  <c r="S97" i="1" s="1"/>
  <c r="Q98" i="1"/>
  <c r="I98" i="1"/>
  <c r="P97" i="1"/>
  <c r="O97" i="1"/>
  <c r="R98" i="1" l="1"/>
  <c r="S98" i="1" s="1"/>
  <c r="Q99" i="1"/>
  <c r="I99" i="1"/>
  <c r="P98" i="1"/>
  <c r="O98" i="1"/>
  <c r="Q100" i="1" l="1"/>
  <c r="R99" i="1"/>
  <c r="S99" i="1" s="1"/>
  <c r="I100" i="1"/>
  <c r="P99" i="1"/>
  <c r="O99" i="1"/>
  <c r="R100" i="1" l="1"/>
  <c r="S100" i="1" s="1"/>
  <c r="Q101" i="1"/>
  <c r="I101" i="1"/>
  <c r="P100" i="1"/>
  <c r="O100" i="1"/>
  <c r="Q102" i="1" l="1"/>
  <c r="R101" i="1"/>
  <c r="S101" i="1" s="1"/>
  <c r="I102" i="1"/>
  <c r="P101" i="1"/>
  <c r="O101" i="1"/>
  <c r="Q103" i="1" l="1"/>
  <c r="R102" i="1"/>
  <c r="S102" i="1" s="1"/>
  <c r="I103" i="1"/>
  <c r="P102" i="1"/>
  <c r="O102" i="1"/>
  <c r="Q104" i="1" l="1"/>
  <c r="R103" i="1"/>
  <c r="S103" i="1" s="1"/>
  <c r="P103" i="1"/>
  <c r="O103" i="1"/>
  <c r="I104" i="1"/>
  <c r="Q105" i="1" l="1"/>
  <c r="R104" i="1"/>
  <c r="S104" i="1" s="1"/>
  <c r="I105" i="1"/>
  <c r="P104" i="1"/>
  <c r="O104" i="1"/>
  <c r="Q106" i="1" l="1"/>
  <c r="R105" i="1"/>
  <c r="S105" i="1" s="1"/>
  <c r="I106" i="1"/>
  <c r="O105" i="1"/>
  <c r="P105" i="1"/>
  <c r="R106" i="1" l="1"/>
  <c r="S106" i="1" s="1"/>
  <c r="Q107" i="1"/>
  <c r="I107" i="1"/>
  <c r="O106" i="1"/>
  <c r="P106" i="1"/>
  <c r="Q108" i="1" l="1"/>
  <c r="R107" i="1"/>
  <c r="S107" i="1" s="1"/>
  <c r="I108" i="1"/>
  <c r="O107" i="1"/>
  <c r="P107" i="1"/>
  <c r="Q109" i="1" l="1"/>
  <c r="R108" i="1"/>
  <c r="S108" i="1" s="1"/>
  <c r="I109" i="1"/>
  <c r="P108" i="1"/>
  <c r="O108" i="1"/>
  <c r="Q110" i="1" l="1"/>
  <c r="R109" i="1"/>
  <c r="S109" i="1" s="1"/>
  <c r="I110" i="1"/>
  <c r="O109" i="1"/>
  <c r="P109" i="1"/>
  <c r="R110" i="1" l="1"/>
  <c r="S110" i="1" s="1"/>
  <c r="Q111" i="1"/>
  <c r="I111" i="1"/>
  <c r="O110" i="1"/>
  <c r="P110" i="1"/>
  <c r="Q112" i="1" l="1"/>
  <c r="R111" i="1"/>
  <c r="S111" i="1" s="1"/>
  <c r="I112" i="1"/>
  <c r="P111" i="1"/>
  <c r="O111" i="1"/>
  <c r="Q113" i="1" l="1"/>
  <c r="R112" i="1"/>
  <c r="S112" i="1" s="1"/>
  <c r="I113" i="1"/>
  <c r="P112" i="1"/>
  <c r="O112" i="1"/>
  <c r="Q114" i="1" l="1"/>
  <c r="R113" i="1"/>
  <c r="S113" i="1" s="1"/>
  <c r="I114" i="1"/>
  <c r="P113" i="1"/>
  <c r="O113" i="1"/>
  <c r="R114" i="1" l="1"/>
  <c r="S114" i="1" s="1"/>
  <c r="Q115" i="1"/>
  <c r="P114" i="1"/>
  <c r="O114" i="1"/>
  <c r="I115" i="1"/>
  <c r="R115" i="1" l="1"/>
  <c r="S115" i="1" s="1"/>
  <c r="Q116" i="1"/>
  <c r="I116" i="1"/>
  <c r="P115" i="1"/>
  <c r="O115" i="1"/>
  <c r="R116" i="1" l="1"/>
  <c r="S116" i="1" s="1"/>
  <c r="Q117" i="1"/>
  <c r="I117" i="1"/>
  <c r="P116" i="1"/>
  <c r="O116" i="1"/>
  <c r="R117" i="1" l="1"/>
  <c r="S117" i="1" s="1"/>
  <c r="Q118" i="1"/>
  <c r="P117" i="1"/>
  <c r="O117" i="1"/>
  <c r="I118" i="1"/>
  <c r="R118" i="1" l="1"/>
  <c r="S118" i="1" s="1"/>
  <c r="Q119" i="1"/>
  <c r="I119" i="1"/>
  <c r="P118" i="1"/>
  <c r="O118" i="1"/>
  <c r="R119" i="1" l="1"/>
  <c r="S119" i="1" s="1"/>
  <c r="Q120" i="1"/>
  <c r="I120" i="1"/>
  <c r="P119" i="1"/>
  <c r="O119" i="1"/>
  <c r="R120" i="1" l="1"/>
  <c r="S120" i="1" s="1"/>
  <c r="Q121" i="1"/>
  <c r="I121" i="1"/>
  <c r="P120" i="1"/>
  <c r="O120" i="1"/>
  <c r="R121" i="1" l="1"/>
  <c r="S121" i="1" s="1"/>
  <c r="Q122" i="1"/>
  <c r="I122" i="1"/>
  <c r="P121" i="1"/>
  <c r="O121" i="1"/>
  <c r="R122" i="1" l="1"/>
  <c r="S122" i="1" s="1"/>
  <c r="Q123" i="1"/>
  <c r="I123" i="1"/>
  <c r="P122" i="1"/>
  <c r="O122" i="1"/>
  <c r="R123" i="1" l="1"/>
  <c r="S123" i="1" s="1"/>
  <c r="Q124" i="1"/>
  <c r="P123" i="1"/>
  <c r="O123" i="1"/>
  <c r="I124" i="1"/>
  <c r="R124" i="1" l="1"/>
  <c r="S124" i="1" s="1"/>
  <c r="Q125" i="1"/>
  <c r="I125" i="1"/>
  <c r="P124" i="1"/>
  <c r="O124" i="1"/>
  <c r="R125" i="1" l="1"/>
  <c r="S125" i="1" s="1"/>
  <c r="Q126" i="1"/>
  <c r="I126" i="1"/>
  <c r="P125" i="1"/>
  <c r="O125" i="1"/>
  <c r="R126" i="1" l="1"/>
  <c r="S126" i="1" s="1"/>
  <c r="Q127" i="1"/>
  <c r="I127" i="1"/>
  <c r="P126" i="1"/>
  <c r="O126" i="1"/>
  <c r="R127" i="1" l="1"/>
  <c r="S127" i="1" s="1"/>
  <c r="Q128" i="1"/>
  <c r="I128" i="1"/>
  <c r="P127" i="1"/>
  <c r="O127" i="1"/>
  <c r="R128" i="1" l="1"/>
  <c r="S128" i="1" s="1"/>
  <c r="Q129" i="1"/>
  <c r="I129" i="1"/>
  <c r="P128" i="1"/>
  <c r="O128" i="1"/>
  <c r="R129" i="1" l="1"/>
  <c r="S129" i="1" s="1"/>
  <c r="Q130" i="1"/>
  <c r="I130" i="1"/>
  <c r="P129" i="1"/>
  <c r="O129" i="1"/>
  <c r="R130" i="1" l="1"/>
  <c r="S130" i="1" s="1"/>
  <c r="Q131" i="1"/>
  <c r="I131" i="1"/>
  <c r="P130" i="1"/>
  <c r="O130" i="1"/>
  <c r="R131" i="1" l="1"/>
  <c r="S131" i="1" s="1"/>
  <c r="Q132" i="1"/>
  <c r="I132" i="1"/>
  <c r="P131" i="1"/>
  <c r="O131" i="1"/>
  <c r="R132" i="1" l="1"/>
  <c r="S132" i="1" s="1"/>
  <c r="Q133" i="1"/>
  <c r="I133" i="1"/>
  <c r="P132" i="1"/>
  <c r="O132" i="1"/>
  <c r="R133" i="1" l="1"/>
  <c r="S133" i="1" s="1"/>
  <c r="Q134" i="1"/>
  <c r="P133" i="1"/>
  <c r="O133" i="1"/>
  <c r="I134" i="1"/>
  <c r="R134" i="1" l="1"/>
  <c r="S134" i="1" s="1"/>
  <c r="Q135" i="1"/>
  <c r="I135" i="1"/>
  <c r="P134" i="1"/>
  <c r="O134" i="1"/>
  <c r="R135" i="1" l="1"/>
  <c r="S135" i="1" s="1"/>
  <c r="Q136" i="1"/>
  <c r="I136" i="1"/>
  <c r="P135" i="1"/>
  <c r="O135" i="1"/>
  <c r="R136" i="1" l="1"/>
  <c r="S136" i="1" s="1"/>
  <c r="Q137" i="1"/>
  <c r="I137" i="1"/>
  <c r="P136" i="1"/>
  <c r="O136" i="1"/>
  <c r="R137" i="1" l="1"/>
  <c r="S137" i="1" s="1"/>
  <c r="Q138" i="1"/>
  <c r="I138" i="1"/>
  <c r="P137" i="1"/>
  <c r="O137" i="1"/>
  <c r="R138" i="1" l="1"/>
  <c r="S138" i="1" s="1"/>
  <c r="Q139" i="1"/>
  <c r="I139" i="1"/>
  <c r="P138" i="1"/>
  <c r="O138" i="1"/>
  <c r="R139" i="1" l="1"/>
  <c r="S139" i="1" s="1"/>
  <c r="Q140" i="1"/>
  <c r="P139" i="1"/>
  <c r="O139" i="1"/>
  <c r="I140" i="1"/>
  <c r="R140" i="1" l="1"/>
  <c r="S140" i="1" s="1"/>
  <c r="Q141" i="1"/>
  <c r="I141" i="1"/>
  <c r="P140" i="1"/>
  <c r="O140" i="1"/>
  <c r="R141" i="1" l="1"/>
  <c r="S141" i="1" s="1"/>
  <c r="Q142" i="1"/>
  <c r="I142" i="1"/>
  <c r="P141" i="1"/>
  <c r="O141" i="1"/>
  <c r="R142" i="1" l="1"/>
  <c r="S142" i="1" s="1"/>
  <c r="Q143" i="1"/>
  <c r="I143" i="1"/>
  <c r="P142" i="1"/>
  <c r="O142" i="1"/>
  <c r="R143" i="1" l="1"/>
  <c r="S143" i="1" s="1"/>
  <c r="Q144" i="1"/>
  <c r="I144" i="1"/>
  <c r="P143" i="1"/>
  <c r="O143" i="1"/>
  <c r="R144" i="1" l="1"/>
  <c r="S144" i="1" s="1"/>
  <c r="Q145" i="1"/>
  <c r="I145" i="1"/>
  <c r="P144" i="1"/>
  <c r="O144" i="1"/>
  <c r="R145" i="1" l="1"/>
  <c r="S145" i="1" s="1"/>
  <c r="Q146" i="1"/>
  <c r="I146" i="1"/>
  <c r="P145" i="1"/>
  <c r="O145" i="1"/>
  <c r="R146" i="1" l="1"/>
  <c r="S146" i="1" s="1"/>
  <c r="Q147" i="1"/>
  <c r="I147" i="1"/>
  <c r="P146" i="1"/>
  <c r="O146" i="1"/>
  <c r="R147" i="1" l="1"/>
  <c r="S147" i="1" s="1"/>
  <c r="Q148" i="1"/>
  <c r="I148" i="1"/>
  <c r="P147" i="1"/>
  <c r="O147" i="1"/>
  <c r="R148" i="1" l="1"/>
  <c r="S148" i="1" s="1"/>
  <c r="Q149" i="1"/>
  <c r="I149" i="1"/>
  <c r="P148" i="1"/>
  <c r="O148" i="1"/>
  <c r="R149" i="1" l="1"/>
  <c r="S149" i="1" s="1"/>
  <c r="Q150" i="1"/>
  <c r="I150" i="1"/>
  <c r="P149" i="1"/>
  <c r="O149" i="1"/>
  <c r="R150" i="1" l="1"/>
  <c r="S150" i="1" s="1"/>
  <c r="Q151" i="1"/>
  <c r="P150" i="1"/>
  <c r="O150" i="1"/>
  <c r="I151" i="1"/>
  <c r="R151" i="1" l="1"/>
  <c r="S151" i="1" s="1"/>
  <c r="Q152" i="1"/>
  <c r="I152" i="1"/>
  <c r="P151" i="1"/>
  <c r="O151" i="1"/>
  <c r="R152" i="1" l="1"/>
  <c r="S152" i="1" s="1"/>
  <c r="Q153" i="1"/>
  <c r="I153" i="1"/>
  <c r="P152" i="1"/>
  <c r="O152" i="1"/>
  <c r="Q154" i="1" l="1"/>
  <c r="R153" i="1"/>
  <c r="S153" i="1" s="1"/>
  <c r="I154" i="1"/>
  <c r="P153" i="1"/>
  <c r="O153" i="1"/>
  <c r="R154" i="1" l="1"/>
  <c r="S154" i="1" s="1"/>
  <c r="Q155" i="1"/>
  <c r="P154" i="1"/>
  <c r="O154" i="1"/>
  <c r="I155" i="1"/>
  <c r="R155" i="1" l="1"/>
  <c r="S155" i="1" s="1"/>
  <c r="Q156" i="1"/>
  <c r="I156" i="1"/>
  <c r="P155" i="1"/>
  <c r="O155" i="1"/>
  <c r="R156" i="1" l="1"/>
  <c r="S156" i="1" s="1"/>
  <c r="Q157" i="1"/>
  <c r="I157" i="1"/>
  <c r="P156" i="1"/>
  <c r="O156" i="1"/>
  <c r="R157" i="1" l="1"/>
  <c r="S157" i="1" s="1"/>
  <c r="Q158" i="1"/>
  <c r="I158" i="1"/>
  <c r="P157" i="1"/>
  <c r="O157" i="1"/>
  <c r="R158" i="1" l="1"/>
  <c r="S158" i="1" s="1"/>
  <c r="Q159" i="1"/>
  <c r="I159" i="1"/>
  <c r="P158" i="1"/>
  <c r="O158" i="1"/>
  <c r="R159" i="1" l="1"/>
  <c r="S159" i="1" s="1"/>
  <c r="Q160" i="1"/>
  <c r="I160" i="1"/>
  <c r="P159" i="1"/>
  <c r="O159" i="1"/>
  <c r="R160" i="1" l="1"/>
  <c r="S160" i="1" s="1"/>
  <c r="Q161" i="1"/>
  <c r="I161" i="1"/>
  <c r="P160" i="1"/>
  <c r="O160" i="1"/>
  <c r="R161" i="1" l="1"/>
  <c r="S161" i="1" s="1"/>
  <c r="Q162" i="1"/>
  <c r="I162" i="1"/>
  <c r="P161" i="1"/>
  <c r="O161" i="1"/>
  <c r="R162" i="1" l="1"/>
  <c r="S162" i="1" s="1"/>
  <c r="Q163" i="1"/>
  <c r="I163" i="1"/>
  <c r="P162" i="1"/>
  <c r="O162" i="1"/>
  <c r="R163" i="1" l="1"/>
  <c r="S163" i="1" s="1"/>
  <c r="Q164" i="1"/>
  <c r="I164" i="1"/>
  <c r="P163" i="1"/>
  <c r="O163" i="1"/>
  <c r="R164" i="1" l="1"/>
  <c r="S164" i="1" s="1"/>
  <c r="Q165" i="1"/>
  <c r="P164" i="1"/>
  <c r="O164" i="1"/>
  <c r="I165" i="1"/>
  <c r="R165" i="1" l="1"/>
  <c r="S165" i="1" s="1"/>
  <c r="Q166" i="1"/>
  <c r="I166" i="1"/>
  <c r="P165" i="1"/>
  <c r="O165" i="1"/>
  <c r="R166" i="1" l="1"/>
  <c r="S166" i="1" s="1"/>
  <c r="Q167" i="1"/>
  <c r="P166" i="1"/>
  <c r="O166" i="1"/>
  <c r="I167" i="1"/>
  <c r="R167" i="1" l="1"/>
  <c r="S167" i="1" s="1"/>
  <c r="Q168" i="1"/>
  <c r="I168" i="1"/>
  <c r="P167" i="1"/>
  <c r="O167" i="1"/>
  <c r="R168" i="1" l="1"/>
  <c r="S168" i="1" s="1"/>
  <c r="Q169" i="1"/>
  <c r="I169" i="1"/>
  <c r="P168" i="1"/>
  <c r="O168" i="1"/>
  <c r="R169" i="1" l="1"/>
  <c r="S169" i="1" s="1"/>
  <c r="Q170" i="1"/>
  <c r="I170" i="1"/>
  <c r="P169" i="1"/>
  <c r="O169" i="1"/>
  <c r="R170" i="1" l="1"/>
  <c r="S170" i="1" s="1"/>
  <c r="Q171" i="1"/>
  <c r="I171" i="1"/>
  <c r="P170" i="1"/>
  <c r="O170" i="1"/>
  <c r="R171" i="1" l="1"/>
  <c r="S171" i="1" s="1"/>
  <c r="Q172" i="1"/>
  <c r="I172" i="1"/>
  <c r="P171" i="1"/>
  <c r="O171" i="1"/>
  <c r="R172" i="1" l="1"/>
  <c r="S172" i="1" s="1"/>
  <c r="Q173" i="1"/>
  <c r="I173" i="1"/>
  <c r="P172" i="1"/>
  <c r="O172" i="1"/>
  <c r="R173" i="1" l="1"/>
  <c r="S173" i="1" s="1"/>
  <c r="Q174" i="1"/>
  <c r="I174" i="1"/>
  <c r="P173" i="1"/>
  <c r="O173" i="1"/>
  <c r="R174" i="1" l="1"/>
  <c r="S174" i="1" s="1"/>
  <c r="Q175" i="1"/>
  <c r="I175" i="1"/>
  <c r="P174" i="1"/>
  <c r="O174" i="1"/>
  <c r="R175" i="1" l="1"/>
  <c r="S175" i="1" s="1"/>
  <c r="Q176" i="1"/>
  <c r="I176" i="1"/>
  <c r="P175" i="1"/>
  <c r="O175" i="1"/>
  <c r="R176" i="1" l="1"/>
  <c r="S176" i="1" s="1"/>
  <c r="Q177" i="1"/>
  <c r="I177" i="1"/>
  <c r="P176" i="1"/>
  <c r="O176" i="1"/>
  <c r="R177" i="1" l="1"/>
  <c r="S177" i="1" s="1"/>
  <c r="Q178" i="1"/>
  <c r="I178" i="1"/>
  <c r="P177" i="1"/>
  <c r="O177" i="1"/>
  <c r="R178" i="1" l="1"/>
  <c r="S178" i="1" s="1"/>
  <c r="Q179" i="1"/>
  <c r="I179" i="1"/>
  <c r="P178" i="1"/>
  <c r="O178" i="1"/>
  <c r="R179" i="1" l="1"/>
  <c r="S179" i="1" s="1"/>
  <c r="Q180" i="1"/>
  <c r="I180" i="1"/>
  <c r="P179" i="1"/>
  <c r="O179" i="1"/>
  <c r="R180" i="1" l="1"/>
  <c r="S180" i="1" s="1"/>
  <c r="Q181" i="1"/>
  <c r="I181" i="1"/>
  <c r="P180" i="1"/>
  <c r="O180" i="1"/>
  <c r="R181" i="1" l="1"/>
  <c r="S181" i="1" s="1"/>
  <c r="Q182" i="1"/>
  <c r="I182" i="1"/>
  <c r="P181" i="1"/>
  <c r="O181" i="1"/>
  <c r="R182" i="1" l="1"/>
  <c r="S182" i="1" s="1"/>
  <c r="Q183" i="1"/>
  <c r="I183" i="1"/>
  <c r="P182" i="1"/>
  <c r="O182" i="1"/>
  <c r="R183" i="1" l="1"/>
  <c r="S183" i="1" s="1"/>
  <c r="Q184" i="1"/>
  <c r="I184" i="1"/>
  <c r="P183" i="1"/>
  <c r="O183" i="1"/>
  <c r="R184" i="1" l="1"/>
  <c r="S184" i="1" s="1"/>
  <c r="Q185" i="1"/>
  <c r="I185" i="1"/>
  <c r="P184" i="1"/>
  <c r="O184" i="1"/>
  <c r="R185" i="1" l="1"/>
  <c r="S185" i="1" s="1"/>
  <c r="Q186" i="1"/>
  <c r="I186" i="1"/>
  <c r="P185" i="1"/>
  <c r="O185" i="1"/>
  <c r="R186" i="1" l="1"/>
  <c r="S186" i="1" s="1"/>
  <c r="Q187" i="1"/>
  <c r="P186" i="1"/>
  <c r="O186" i="1"/>
  <c r="I187" i="1"/>
  <c r="R187" i="1" l="1"/>
  <c r="S187" i="1" s="1"/>
  <c r="Q188" i="1"/>
  <c r="I188" i="1"/>
  <c r="P187" i="1"/>
  <c r="O187" i="1"/>
  <c r="R188" i="1" l="1"/>
  <c r="S188" i="1" s="1"/>
  <c r="Q189" i="1"/>
  <c r="I189" i="1"/>
  <c r="P188" i="1"/>
  <c r="O188" i="1"/>
  <c r="R189" i="1" l="1"/>
  <c r="S189" i="1" s="1"/>
  <c r="Q190" i="1"/>
  <c r="P189" i="1"/>
  <c r="O189" i="1"/>
  <c r="I190" i="1"/>
  <c r="R190" i="1" l="1"/>
  <c r="S190" i="1" s="1"/>
  <c r="Q191" i="1"/>
  <c r="I191" i="1"/>
  <c r="P190" i="1"/>
  <c r="O190" i="1"/>
  <c r="R191" i="1" l="1"/>
  <c r="S191" i="1" s="1"/>
  <c r="Q192" i="1"/>
  <c r="I192" i="1"/>
  <c r="P191" i="1"/>
  <c r="O191" i="1"/>
  <c r="R192" i="1" l="1"/>
  <c r="S192" i="1" s="1"/>
  <c r="Q193" i="1"/>
  <c r="I193" i="1"/>
  <c r="P192" i="1"/>
  <c r="O192" i="1"/>
  <c r="R193" i="1" l="1"/>
  <c r="S193" i="1" s="1"/>
  <c r="Q194" i="1"/>
  <c r="I194" i="1"/>
  <c r="P193" i="1"/>
  <c r="O193" i="1"/>
  <c r="R194" i="1" l="1"/>
  <c r="S194" i="1" s="1"/>
  <c r="Q195" i="1"/>
  <c r="I195" i="1"/>
  <c r="P194" i="1"/>
  <c r="O194" i="1"/>
  <c r="R195" i="1" l="1"/>
  <c r="S195" i="1" s="1"/>
  <c r="Q196" i="1"/>
  <c r="I196" i="1"/>
  <c r="P195" i="1"/>
  <c r="O195" i="1"/>
  <c r="R196" i="1" l="1"/>
  <c r="S196" i="1" s="1"/>
  <c r="Q197" i="1"/>
  <c r="I197" i="1"/>
  <c r="P196" i="1"/>
  <c r="O196" i="1"/>
  <c r="R197" i="1" l="1"/>
  <c r="S197" i="1" s="1"/>
  <c r="Q198" i="1"/>
  <c r="I198" i="1"/>
  <c r="P197" i="1"/>
  <c r="O197" i="1"/>
  <c r="R198" i="1" l="1"/>
  <c r="S198" i="1" s="1"/>
  <c r="Q199" i="1"/>
  <c r="I199" i="1"/>
  <c r="P198" i="1"/>
  <c r="O198" i="1"/>
  <c r="R199" i="1" l="1"/>
  <c r="S199" i="1" s="1"/>
  <c r="Q200" i="1"/>
  <c r="I200" i="1"/>
  <c r="P199" i="1"/>
  <c r="O199" i="1"/>
  <c r="R200" i="1" l="1"/>
  <c r="S200" i="1" s="1"/>
  <c r="Q201" i="1"/>
  <c r="I201" i="1"/>
  <c r="P200" i="1"/>
  <c r="O200" i="1"/>
  <c r="R201" i="1" l="1"/>
  <c r="S201" i="1" s="1"/>
  <c r="Q202" i="1"/>
  <c r="I202" i="1"/>
  <c r="P201" i="1"/>
  <c r="O201" i="1"/>
  <c r="R202" i="1" l="1"/>
  <c r="S202" i="1" s="1"/>
  <c r="Q203" i="1"/>
  <c r="I203" i="1"/>
  <c r="P202" i="1"/>
  <c r="O202" i="1"/>
  <c r="R203" i="1" l="1"/>
  <c r="S203" i="1" s="1"/>
  <c r="Q204" i="1"/>
  <c r="I204" i="1"/>
  <c r="P203" i="1"/>
  <c r="O203" i="1"/>
  <c r="R204" i="1" l="1"/>
  <c r="S204" i="1" s="1"/>
  <c r="Q205" i="1"/>
  <c r="I205" i="1"/>
  <c r="P204" i="1"/>
  <c r="O204" i="1"/>
  <c r="R205" i="1" l="1"/>
  <c r="S205" i="1" s="1"/>
  <c r="Q206" i="1"/>
  <c r="I206" i="1"/>
  <c r="P205" i="1"/>
  <c r="O205" i="1"/>
  <c r="R206" i="1" l="1"/>
  <c r="S206" i="1" s="1"/>
  <c r="Q207" i="1"/>
  <c r="I207" i="1"/>
  <c r="P206" i="1"/>
  <c r="O206" i="1"/>
  <c r="R207" i="1" l="1"/>
  <c r="S207" i="1" s="1"/>
  <c r="Q208" i="1"/>
  <c r="I208" i="1"/>
  <c r="P207" i="1"/>
  <c r="O207" i="1"/>
  <c r="R208" i="1" l="1"/>
  <c r="S208" i="1" s="1"/>
  <c r="Q209" i="1"/>
  <c r="I209" i="1"/>
  <c r="P208" i="1"/>
  <c r="O208" i="1"/>
  <c r="R209" i="1" l="1"/>
  <c r="S209" i="1" s="1"/>
  <c r="Q210" i="1"/>
  <c r="I210" i="1"/>
  <c r="P209" i="1"/>
  <c r="O209" i="1"/>
  <c r="R210" i="1" l="1"/>
  <c r="S210" i="1" s="1"/>
  <c r="Q211" i="1"/>
  <c r="I211" i="1"/>
  <c r="P210" i="1"/>
  <c r="O210" i="1"/>
  <c r="R211" i="1" l="1"/>
  <c r="S211" i="1" s="1"/>
  <c r="Q212" i="1"/>
  <c r="I212" i="1"/>
  <c r="P211" i="1"/>
  <c r="O211" i="1"/>
  <c r="R212" i="1" l="1"/>
  <c r="S212" i="1" s="1"/>
  <c r="Q213" i="1"/>
  <c r="I213" i="1"/>
  <c r="P212" i="1"/>
  <c r="O212" i="1"/>
  <c r="R213" i="1" l="1"/>
  <c r="S213" i="1" s="1"/>
  <c r="Q214" i="1"/>
  <c r="I214" i="1"/>
  <c r="P213" i="1"/>
  <c r="O213" i="1"/>
  <c r="R214" i="1" l="1"/>
  <c r="S214" i="1" s="1"/>
  <c r="Q215" i="1"/>
  <c r="I215" i="1"/>
  <c r="P214" i="1"/>
  <c r="O214" i="1"/>
  <c r="R215" i="1" l="1"/>
  <c r="S215" i="1" s="1"/>
  <c r="Q216" i="1"/>
  <c r="I216" i="1"/>
  <c r="P215" i="1"/>
  <c r="O215" i="1"/>
  <c r="R216" i="1" l="1"/>
  <c r="S216" i="1" s="1"/>
  <c r="Q217" i="1"/>
  <c r="I217" i="1"/>
  <c r="P216" i="1"/>
  <c r="O216" i="1"/>
  <c r="R217" i="1" l="1"/>
  <c r="S217" i="1" s="1"/>
  <c r="Q218" i="1"/>
  <c r="I218" i="1"/>
  <c r="P217" i="1"/>
  <c r="O217" i="1"/>
  <c r="R218" i="1" l="1"/>
  <c r="S218" i="1" s="1"/>
  <c r="Q219" i="1"/>
  <c r="I219" i="1"/>
  <c r="P218" i="1"/>
  <c r="O218" i="1"/>
  <c r="R219" i="1" l="1"/>
  <c r="S219" i="1" s="1"/>
  <c r="Q220" i="1"/>
  <c r="I220" i="1"/>
  <c r="P219" i="1"/>
  <c r="O219" i="1"/>
  <c r="R220" i="1" l="1"/>
  <c r="S220" i="1" s="1"/>
  <c r="Q221" i="1"/>
  <c r="I221" i="1"/>
  <c r="P220" i="1"/>
  <c r="O220" i="1"/>
  <c r="R221" i="1" l="1"/>
  <c r="S221" i="1" s="1"/>
  <c r="Q222" i="1"/>
  <c r="I222" i="1"/>
  <c r="P221" i="1"/>
  <c r="O221" i="1"/>
  <c r="R222" i="1" l="1"/>
  <c r="S222" i="1" s="1"/>
  <c r="Q223" i="1"/>
  <c r="I223" i="1"/>
  <c r="P222" i="1"/>
  <c r="O222" i="1"/>
  <c r="R223" i="1" l="1"/>
  <c r="S223" i="1" s="1"/>
  <c r="Q224" i="1"/>
  <c r="I224" i="1"/>
  <c r="P223" i="1"/>
  <c r="O223" i="1"/>
  <c r="R224" i="1" l="1"/>
  <c r="S224" i="1" s="1"/>
  <c r="Q225" i="1"/>
  <c r="I225" i="1"/>
  <c r="P224" i="1"/>
  <c r="O224" i="1"/>
  <c r="R225" i="1" l="1"/>
  <c r="S225" i="1" s="1"/>
  <c r="Q226" i="1"/>
  <c r="I226" i="1"/>
  <c r="P225" i="1"/>
  <c r="O225" i="1"/>
  <c r="R226" i="1" l="1"/>
  <c r="S226" i="1" s="1"/>
  <c r="Q227" i="1"/>
  <c r="I227" i="1"/>
  <c r="P226" i="1"/>
  <c r="O226" i="1"/>
  <c r="R227" i="1" l="1"/>
  <c r="S227" i="1" s="1"/>
  <c r="Q228" i="1"/>
  <c r="I228" i="1"/>
  <c r="P227" i="1"/>
  <c r="O227" i="1"/>
  <c r="R228" i="1" l="1"/>
  <c r="S228" i="1" s="1"/>
  <c r="Q229" i="1"/>
  <c r="I229" i="1"/>
  <c r="P228" i="1"/>
  <c r="O228" i="1"/>
  <c r="R229" i="1" l="1"/>
  <c r="S229" i="1" s="1"/>
  <c r="Q230" i="1"/>
  <c r="I230" i="1"/>
  <c r="P229" i="1"/>
  <c r="O229" i="1"/>
  <c r="R230" i="1" l="1"/>
  <c r="S230" i="1" s="1"/>
  <c r="Q231" i="1"/>
  <c r="I231" i="1"/>
  <c r="P230" i="1"/>
  <c r="O230" i="1"/>
  <c r="R231" i="1" l="1"/>
  <c r="S231" i="1" s="1"/>
  <c r="Q232" i="1"/>
  <c r="I232" i="1"/>
  <c r="P231" i="1"/>
  <c r="O231" i="1"/>
  <c r="R232" i="1" l="1"/>
  <c r="S232" i="1" s="1"/>
  <c r="Q233" i="1"/>
  <c r="I233" i="1"/>
  <c r="P232" i="1"/>
  <c r="O232" i="1"/>
  <c r="R233" i="1" l="1"/>
  <c r="S233" i="1" s="1"/>
  <c r="Q234" i="1"/>
  <c r="I234" i="1"/>
  <c r="P233" i="1"/>
  <c r="O233" i="1"/>
  <c r="R234" i="1" l="1"/>
  <c r="S234" i="1" s="1"/>
  <c r="Q235" i="1"/>
  <c r="I235" i="1"/>
  <c r="P234" i="1"/>
  <c r="O234" i="1"/>
  <c r="R235" i="1" l="1"/>
  <c r="S235" i="1" s="1"/>
  <c r="Q236" i="1"/>
  <c r="I236" i="1"/>
  <c r="P235" i="1"/>
  <c r="O235" i="1"/>
  <c r="R236" i="1" l="1"/>
  <c r="S236" i="1" s="1"/>
  <c r="Q237" i="1"/>
  <c r="I237" i="1"/>
  <c r="P236" i="1"/>
  <c r="O236" i="1"/>
  <c r="R237" i="1" l="1"/>
  <c r="S237" i="1" s="1"/>
  <c r="Q238" i="1"/>
  <c r="I238" i="1"/>
  <c r="P237" i="1"/>
  <c r="O237" i="1"/>
  <c r="R238" i="1" l="1"/>
  <c r="S238" i="1" s="1"/>
  <c r="Q239" i="1"/>
  <c r="I239" i="1"/>
  <c r="P238" i="1"/>
  <c r="O238" i="1"/>
  <c r="R239" i="1" l="1"/>
  <c r="S239" i="1" s="1"/>
  <c r="Q240" i="1"/>
  <c r="I240" i="1"/>
  <c r="P239" i="1"/>
  <c r="O239" i="1"/>
  <c r="R240" i="1" l="1"/>
  <c r="S240" i="1" s="1"/>
  <c r="Q241" i="1"/>
  <c r="I241" i="1"/>
  <c r="P240" i="1"/>
  <c r="O240" i="1"/>
  <c r="R241" i="1" l="1"/>
  <c r="S241" i="1" s="1"/>
  <c r="Q242" i="1"/>
  <c r="I242" i="1"/>
  <c r="P241" i="1"/>
  <c r="O241" i="1"/>
  <c r="R242" i="1" l="1"/>
  <c r="S242" i="1" s="1"/>
  <c r="Q243" i="1"/>
  <c r="I243" i="1"/>
  <c r="P242" i="1"/>
  <c r="O242" i="1"/>
  <c r="R243" i="1" l="1"/>
  <c r="S243" i="1" s="1"/>
  <c r="Q244" i="1"/>
  <c r="I244" i="1"/>
  <c r="P243" i="1"/>
  <c r="O243" i="1"/>
  <c r="R244" i="1" l="1"/>
  <c r="S244" i="1" s="1"/>
  <c r="Q245" i="1"/>
  <c r="I245" i="1"/>
  <c r="P244" i="1"/>
  <c r="O244" i="1"/>
  <c r="R245" i="1" l="1"/>
  <c r="S245" i="1" s="1"/>
  <c r="Q246" i="1"/>
  <c r="I246" i="1"/>
  <c r="P245" i="1"/>
  <c r="O245" i="1"/>
  <c r="R246" i="1" l="1"/>
  <c r="S246" i="1" s="1"/>
  <c r="Q247" i="1"/>
  <c r="I247" i="1"/>
  <c r="P246" i="1"/>
  <c r="O246" i="1"/>
  <c r="R247" i="1" l="1"/>
  <c r="S247" i="1" s="1"/>
  <c r="Q248" i="1"/>
  <c r="I248" i="1"/>
  <c r="P247" i="1"/>
  <c r="O247" i="1"/>
  <c r="R248" i="1" l="1"/>
  <c r="S248" i="1" s="1"/>
  <c r="Q249" i="1"/>
  <c r="I249" i="1"/>
  <c r="P248" i="1"/>
  <c r="O248" i="1"/>
  <c r="R249" i="1" l="1"/>
  <c r="S249" i="1" s="1"/>
  <c r="Q250" i="1"/>
  <c r="I250" i="1"/>
  <c r="P249" i="1"/>
  <c r="O249" i="1"/>
  <c r="R250" i="1" l="1"/>
  <c r="S250" i="1" s="1"/>
  <c r="Q251" i="1"/>
  <c r="I251" i="1"/>
  <c r="P250" i="1"/>
  <c r="O250" i="1"/>
  <c r="R251" i="1" l="1"/>
  <c r="S251" i="1" s="1"/>
  <c r="Q252" i="1"/>
  <c r="I252" i="1"/>
  <c r="P251" i="1"/>
  <c r="O251" i="1"/>
  <c r="R252" i="1" l="1"/>
  <c r="S252" i="1" s="1"/>
  <c r="Q253" i="1"/>
  <c r="I253" i="1"/>
  <c r="P252" i="1"/>
  <c r="O252" i="1"/>
  <c r="R253" i="1" l="1"/>
  <c r="S253" i="1" s="1"/>
  <c r="Q254" i="1"/>
  <c r="I254" i="1"/>
  <c r="P253" i="1"/>
  <c r="O253" i="1"/>
  <c r="R254" i="1" l="1"/>
  <c r="S254" i="1" s="1"/>
  <c r="Q255" i="1"/>
  <c r="I255" i="1"/>
  <c r="P254" i="1"/>
  <c r="O254" i="1"/>
  <c r="R255" i="1" l="1"/>
  <c r="S255" i="1" s="1"/>
  <c r="Q256" i="1"/>
  <c r="I256" i="1"/>
  <c r="P255" i="1"/>
  <c r="O255" i="1"/>
  <c r="R256" i="1" l="1"/>
  <c r="S256" i="1" s="1"/>
  <c r="Q257" i="1"/>
  <c r="I257" i="1"/>
  <c r="P256" i="1"/>
  <c r="O256" i="1"/>
  <c r="R257" i="1" l="1"/>
  <c r="S257" i="1" s="1"/>
  <c r="Q258" i="1"/>
  <c r="I258" i="1"/>
  <c r="P257" i="1"/>
  <c r="O257" i="1"/>
  <c r="R258" i="1" l="1"/>
  <c r="S258" i="1" s="1"/>
  <c r="Q259" i="1"/>
  <c r="I259" i="1"/>
  <c r="P258" i="1"/>
  <c r="O258" i="1"/>
  <c r="R259" i="1" l="1"/>
  <c r="S259" i="1" s="1"/>
  <c r="Q260" i="1"/>
  <c r="I260" i="1"/>
  <c r="P259" i="1"/>
  <c r="O259" i="1"/>
  <c r="R260" i="1" l="1"/>
  <c r="S260" i="1" s="1"/>
  <c r="Q261" i="1"/>
  <c r="I261" i="1"/>
  <c r="P260" i="1"/>
  <c r="O260" i="1"/>
  <c r="R261" i="1" l="1"/>
  <c r="S261" i="1" s="1"/>
  <c r="Q262" i="1"/>
  <c r="I262" i="1"/>
  <c r="P261" i="1"/>
  <c r="O261" i="1"/>
  <c r="R262" i="1" l="1"/>
  <c r="S262" i="1" s="1"/>
  <c r="Q263" i="1"/>
  <c r="I263" i="1"/>
  <c r="P262" i="1"/>
  <c r="O262" i="1"/>
  <c r="R263" i="1" l="1"/>
  <c r="S263" i="1" s="1"/>
  <c r="Q264" i="1"/>
  <c r="I264" i="1"/>
  <c r="P263" i="1"/>
  <c r="O263" i="1"/>
  <c r="R264" i="1" l="1"/>
  <c r="S264" i="1" s="1"/>
  <c r="Q265" i="1"/>
  <c r="I265" i="1"/>
  <c r="P264" i="1"/>
  <c r="O264" i="1"/>
  <c r="R265" i="1" l="1"/>
  <c r="S265" i="1" s="1"/>
  <c r="Q266" i="1"/>
  <c r="I266" i="1"/>
  <c r="P265" i="1"/>
  <c r="O265" i="1"/>
  <c r="R266" i="1" l="1"/>
  <c r="S266" i="1" s="1"/>
  <c r="Q267" i="1"/>
  <c r="I267" i="1"/>
  <c r="P266" i="1"/>
  <c r="O266" i="1"/>
  <c r="R267" i="1" l="1"/>
  <c r="S267" i="1" s="1"/>
  <c r="Q268" i="1"/>
  <c r="I268" i="1"/>
  <c r="P267" i="1"/>
  <c r="O267" i="1"/>
  <c r="R268" i="1" l="1"/>
  <c r="S268" i="1" s="1"/>
  <c r="Q269" i="1"/>
  <c r="I269" i="1"/>
  <c r="P268" i="1"/>
  <c r="O268" i="1"/>
  <c r="R269" i="1" l="1"/>
  <c r="S269" i="1" s="1"/>
  <c r="Q270" i="1"/>
  <c r="I270" i="1"/>
  <c r="P269" i="1"/>
  <c r="O269" i="1"/>
  <c r="R270" i="1" l="1"/>
  <c r="S270" i="1" s="1"/>
  <c r="Q271" i="1"/>
  <c r="I271" i="1"/>
  <c r="P270" i="1"/>
  <c r="O270" i="1"/>
  <c r="R271" i="1" l="1"/>
  <c r="S271" i="1" s="1"/>
  <c r="Q272" i="1"/>
  <c r="I272" i="1"/>
  <c r="P271" i="1"/>
  <c r="O271" i="1"/>
  <c r="R272" i="1" l="1"/>
  <c r="S272" i="1" s="1"/>
  <c r="Q273" i="1"/>
  <c r="I273" i="1"/>
  <c r="P272" i="1"/>
  <c r="O272" i="1"/>
  <c r="R273" i="1" l="1"/>
  <c r="S273" i="1" s="1"/>
  <c r="Q274" i="1"/>
  <c r="I274" i="1"/>
  <c r="P273" i="1"/>
  <c r="O273" i="1"/>
  <c r="R274" i="1" l="1"/>
  <c r="S274" i="1" s="1"/>
  <c r="Q275" i="1"/>
  <c r="I275" i="1"/>
  <c r="P274" i="1"/>
  <c r="O274" i="1"/>
  <c r="R275" i="1" l="1"/>
  <c r="S275" i="1" s="1"/>
  <c r="Q276" i="1"/>
  <c r="I276" i="1"/>
  <c r="P275" i="1"/>
  <c r="O275" i="1"/>
  <c r="R276" i="1" l="1"/>
  <c r="S276" i="1" s="1"/>
  <c r="Q277" i="1"/>
  <c r="I277" i="1"/>
  <c r="P276" i="1"/>
  <c r="O276" i="1"/>
  <c r="R277" i="1" l="1"/>
  <c r="S277" i="1" s="1"/>
  <c r="Q278" i="1"/>
  <c r="I278" i="1"/>
  <c r="P277" i="1"/>
  <c r="O277" i="1"/>
  <c r="R278" i="1" l="1"/>
  <c r="S278" i="1" s="1"/>
  <c r="Q279" i="1"/>
  <c r="I279" i="1"/>
  <c r="P278" i="1"/>
  <c r="O278" i="1"/>
  <c r="R279" i="1" l="1"/>
  <c r="S279" i="1" s="1"/>
  <c r="Q280" i="1"/>
  <c r="I280" i="1"/>
  <c r="P279" i="1"/>
  <c r="O279" i="1"/>
  <c r="R280" i="1" l="1"/>
  <c r="S280" i="1" s="1"/>
  <c r="Q281" i="1"/>
  <c r="I281" i="1"/>
  <c r="P280" i="1"/>
  <c r="O280" i="1"/>
  <c r="R281" i="1" l="1"/>
  <c r="S281" i="1" s="1"/>
  <c r="Q282" i="1"/>
  <c r="I282" i="1"/>
  <c r="P281" i="1"/>
  <c r="O281" i="1"/>
  <c r="R282" i="1" l="1"/>
  <c r="S282" i="1" s="1"/>
  <c r="Q283" i="1"/>
  <c r="I283" i="1"/>
  <c r="P282" i="1"/>
  <c r="O282" i="1"/>
  <c r="R283" i="1" l="1"/>
  <c r="S283" i="1" s="1"/>
  <c r="Q284" i="1"/>
  <c r="I284" i="1"/>
  <c r="P283" i="1"/>
  <c r="O283" i="1"/>
  <c r="R284" i="1" l="1"/>
  <c r="S284" i="1" s="1"/>
  <c r="Q285" i="1"/>
  <c r="I285" i="1"/>
  <c r="P284" i="1"/>
  <c r="O284" i="1"/>
  <c r="R285" i="1" l="1"/>
  <c r="S285" i="1" s="1"/>
  <c r="Q286" i="1"/>
  <c r="I286" i="1"/>
  <c r="P285" i="1"/>
  <c r="O285" i="1"/>
  <c r="R286" i="1" l="1"/>
  <c r="S286" i="1" s="1"/>
  <c r="Q287" i="1"/>
  <c r="I287" i="1"/>
  <c r="P286" i="1"/>
  <c r="O286" i="1"/>
  <c r="R287" i="1" l="1"/>
  <c r="S287" i="1" s="1"/>
  <c r="Q288" i="1"/>
  <c r="I288" i="1"/>
  <c r="P287" i="1"/>
  <c r="O287" i="1"/>
  <c r="R288" i="1" l="1"/>
  <c r="S288" i="1" s="1"/>
  <c r="Q289" i="1"/>
  <c r="I289" i="1"/>
  <c r="P288" i="1"/>
  <c r="O288" i="1"/>
  <c r="R289" i="1" l="1"/>
  <c r="S289" i="1" s="1"/>
  <c r="Q290" i="1"/>
  <c r="I290" i="1"/>
  <c r="P289" i="1"/>
  <c r="O289" i="1"/>
  <c r="R290" i="1" l="1"/>
  <c r="S290" i="1" s="1"/>
  <c r="Q291" i="1"/>
  <c r="I291" i="1"/>
  <c r="P290" i="1"/>
  <c r="O290" i="1"/>
  <c r="R291" i="1" l="1"/>
  <c r="S291" i="1" s="1"/>
  <c r="Q292" i="1"/>
  <c r="I292" i="1"/>
  <c r="P291" i="1"/>
  <c r="O291" i="1"/>
  <c r="R292" i="1" l="1"/>
  <c r="S292" i="1" s="1"/>
  <c r="Q293" i="1"/>
  <c r="I293" i="1"/>
  <c r="P292" i="1"/>
  <c r="O292" i="1"/>
  <c r="R293" i="1" l="1"/>
  <c r="S293" i="1" s="1"/>
  <c r="Q294" i="1"/>
  <c r="I294" i="1"/>
  <c r="P293" i="1"/>
  <c r="O293" i="1"/>
  <c r="R294" i="1" l="1"/>
  <c r="S294" i="1" s="1"/>
  <c r="Q295" i="1"/>
  <c r="I295" i="1"/>
  <c r="P294" i="1"/>
  <c r="O294" i="1"/>
  <c r="R295" i="1" l="1"/>
  <c r="S295" i="1" s="1"/>
  <c r="Q296" i="1"/>
  <c r="I296" i="1"/>
  <c r="P295" i="1"/>
  <c r="O295" i="1"/>
  <c r="R296" i="1" l="1"/>
  <c r="S296" i="1" s="1"/>
  <c r="Q297" i="1"/>
  <c r="I297" i="1"/>
  <c r="P296" i="1"/>
  <c r="O296" i="1"/>
  <c r="R297" i="1" l="1"/>
  <c r="S297" i="1" s="1"/>
  <c r="Q298" i="1"/>
  <c r="I298" i="1"/>
  <c r="P297" i="1"/>
  <c r="O297" i="1"/>
  <c r="R298" i="1" l="1"/>
  <c r="S298" i="1" s="1"/>
  <c r="Q299" i="1"/>
  <c r="I299" i="1"/>
  <c r="P298" i="1"/>
  <c r="O298" i="1"/>
  <c r="R299" i="1" l="1"/>
  <c r="S299" i="1" s="1"/>
  <c r="Q300" i="1"/>
  <c r="I300" i="1"/>
  <c r="P299" i="1"/>
  <c r="O299" i="1"/>
  <c r="R300" i="1" l="1"/>
  <c r="S300" i="1" s="1"/>
  <c r="Q301" i="1"/>
  <c r="I301" i="1"/>
  <c r="P300" i="1"/>
  <c r="O300" i="1"/>
  <c r="R301" i="1" l="1"/>
  <c r="S301" i="1" s="1"/>
  <c r="Q302" i="1"/>
  <c r="I302" i="1"/>
  <c r="P301" i="1"/>
  <c r="O301" i="1"/>
  <c r="R302" i="1" l="1"/>
  <c r="S302" i="1" s="1"/>
  <c r="Q303" i="1"/>
  <c r="I303" i="1"/>
  <c r="P302" i="1"/>
  <c r="O302" i="1"/>
  <c r="R303" i="1" l="1"/>
  <c r="S303" i="1" s="1"/>
  <c r="Q304" i="1"/>
  <c r="I304" i="1"/>
  <c r="P303" i="1"/>
  <c r="O303" i="1"/>
  <c r="R304" i="1" l="1"/>
  <c r="S304" i="1" s="1"/>
  <c r="Q305" i="1"/>
  <c r="I305" i="1"/>
  <c r="P304" i="1"/>
  <c r="O304" i="1"/>
  <c r="R305" i="1" l="1"/>
  <c r="S305" i="1" s="1"/>
  <c r="Q306" i="1"/>
  <c r="I306" i="1"/>
  <c r="P305" i="1"/>
  <c r="O305" i="1"/>
  <c r="R306" i="1" l="1"/>
  <c r="S306" i="1" s="1"/>
  <c r="Q307" i="1"/>
  <c r="I307" i="1"/>
  <c r="P306" i="1"/>
  <c r="O306" i="1"/>
  <c r="R307" i="1" l="1"/>
  <c r="S307" i="1" s="1"/>
  <c r="Q308" i="1"/>
  <c r="I308" i="1"/>
  <c r="P307" i="1"/>
  <c r="O307" i="1"/>
  <c r="R308" i="1" l="1"/>
  <c r="S308" i="1" s="1"/>
  <c r="Q309" i="1"/>
  <c r="I309" i="1"/>
  <c r="P308" i="1"/>
  <c r="O308" i="1"/>
  <c r="R309" i="1" l="1"/>
  <c r="S309" i="1" s="1"/>
  <c r="Q310" i="1"/>
  <c r="I310" i="1"/>
  <c r="P309" i="1"/>
  <c r="O309" i="1"/>
  <c r="R310" i="1" l="1"/>
  <c r="S310" i="1" s="1"/>
  <c r="Q311" i="1"/>
  <c r="I311" i="1"/>
  <c r="P310" i="1"/>
  <c r="O310" i="1"/>
  <c r="Q312" i="1" l="1"/>
  <c r="R311" i="1"/>
  <c r="S311" i="1" s="1"/>
  <c r="I312" i="1"/>
  <c r="O311" i="1"/>
  <c r="P311" i="1"/>
  <c r="R312" i="1" l="1"/>
  <c r="S312" i="1" s="1"/>
  <c r="Q313" i="1"/>
  <c r="I313" i="1"/>
  <c r="O312" i="1"/>
  <c r="P312" i="1"/>
  <c r="R313" i="1" l="1"/>
  <c r="S313" i="1" s="1"/>
  <c r="Q314" i="1"/>
  <c r="O313" i="1"/>
  <c r="P313" i="1"/>
  <c r="I314" i="1"/>
  <c r="R314" i="1" l="1"/>
  <c r="S314" i="1" s="1"/>
  <c r="Q315" i="1"/>
  <c r="I315" i="1"/>
  <c r="P314" i="1"/>
  <c r="O314" i="1"/>
  <c r="Q316" i="1" l="1"/>
  <c r="R315" i="1"/>
  <c r="S315" i="1" s="1"/>
  <c r="P315" i="1"/>
  <c r="O315" i="1"/>
  <c r="I316" i="1"/>
  <c r="R316" i="1" l="1"/>
  <c r="S316" i="1" s="1"/>
  <c r="Q317" i="1"/>
  <c r="I317" i="1"/>
  <c r="O316" i="1"/>
  <c r="P316" i="1"/>
  <c r="R317" i="1" l="1"/>
  <c r="S317" i="1" s="1"/>
  <c r="Q318" i="1"/>
  <c r="P317" i="1"/>
  <c r="O317" i="1"/>
  <c r="I318" i="1"/>
  <c r="Q319" i="1" l="1"/>
  <c r="R318" i="1"/>
  <c r="S318" i="1" s="1"/>
  <c r="I319" i="1"/>
  <c r="O318" i="1"/>
  <c r="P318" i="1"/>
  <c r="R319" i="1" l="1"/>
  <c r="S319" i="1" s="1"/>
  <c r="Q320" i="1"/>
  <c r="I320" i="1"/>
  <c r="P319" i="1"/>
  <c r="O319" i="1"/>
  <c r="R320" i="1" l="1"/>
  <c r="S320" i="1" s="1"/>
  <c r="Q321" i="1"/>
  <c r="I321" i="1"/>
  <c r="P320" i="1"/>
  <c r="O320" i="1"/>
  <c r="Q322" i="1" l="1"/>
  <c r="R321" i="1"/>
  <c r="S321" i="1" s="1"/>
  <c r="O321" i="1"/>
  <c r="P321" i="1"/>
  <c r="I322" i="1"/>
  <c r="R322" i="1" l="1"/>
  <c r="S322" i="1" s="1"/>
  <c r="Q323" i="1"/>
  <c r="I323" i="1"/>
  <c r="O322" i="1"/>
  <c r="P322" i="1"/>
  <c r="R323" i="1" l="1"/>
  <c r="S323" i="1" s="1"/>
  <c r="Q324" i="1"/>
  <c r="P323" i="1"/>
  <c r="O323" i="1"/>
  <c r="I324" i="1"/>
  <c r="R324" i="1" l="1"/>
  <c r="S324" i="1" s="1"/>
  <c r="Q325" i="1"/>
  <c r="I325" i="1"/>
  <c r="O324" i="1"/>
  <c r="P324" i="1"/>
  <c r="R325" i="1" l="1"/>
  <c r="S325" i="1" s="1"/>
  <c r="Q326" i="1"/>
  <c r="I326" i="1"/>
  <c r="P325" i="1"/>
  <c r="O325" i="1"/>
  <c r="Q327" i="1" l="1"/>
  <c r="R326" i="1"/>
  <c r="S326" i="1" s="1"/>
  <c r="P326" i="1"/>
  <c r="O326" i="1"/>
  <c r="I327" i="1"/>
  <c r="Q328" i="1" l="1"/>
  <c r="R327" i="1"/>
  <c r="S327" i="1" s="1"/>
  <c r="I328" i="1"/>
  <c r="O327" i="1"/>
  <c r="P327" i="1"/>
  <c r="R328" i="1" l="1"/>
  <c r="S328" i="1" s="1"/>
  <c r="Q329" i="1"/>
  <c r="I329" i="1"/>
  <c r="O328" i="1"/>
  <c r="P328" i="1"/>
  <c r="R329" i="1" l="1"/>
  <c r="S329" i="1" s="1"/>
  <c r="Q330" i="1"/>
  <c r="I330" i="1"/>
  <c r="O329" i="1"/>
  <c r="P329" i="1"/>
  <c r="R330" i="1" l="1"/>
  <c r="S330" i="1" s="1"/>
  <c r="Q331" i="1"/>
  <c r="I331" i="1"/>
  <c r="P330" i="1"/>
  <c r="O330" i="1"/>
  <c r="Q332" i="1" l="1"/>
  <c r="R331" i="1"/>
  <c r="S331" i="1" s="1"/>
  <c r="O331" i="1"/>
  <c r="P331" i="1"/>
  <c r="I332" i="1"/>
  <c r="Q333" i="1" l="1"/>
  <c r="R332" i="1"/>
  <c r="S332" i="1" s="1"/>
  <c r="I333" i="1"/>
  <c r="P332" i="1"/>
  <c r="O332" i="1"/>
  <c r="R333" i="1" l="1"/>
  <c r="S333" i="1" s="1"/>
  <c r="Q334" i="1"/>
  <c r="P333" i="1"/>
  <c r="O333" i="1"/>
  <c r="I334" i="1"/>
  <c r="R334" i="1" l="1"/>
  <c r="S334" i="1" s="1"/>
  <c r="Q335" i="1"/>
  <c r="I335" i="1"/>
  <c r="P334" i="1"/>
  <c r="O334" i="1"/>
  <c r="R335" i="1" l="1"/>
  <c r="S335" i="1" s="1"/>
  <c r="Q336" i="1"/>
  <c r="I336" i="1"/>
  <c r="O335" i="1"/>
  <c r="P335" i="1"/>
  <c r="R336" i="1" l="1"/>
  <c r="S336" i="1" s="1"/>
  <c r="Q337" i="1"/>
  <c r="I337" i="1"/>
  <c r="P336" i="1"/>
  <c r="O336" i="1"/>
  <c r="Q338" i="1" l="1"/>
  <c r="R337" i="1"/>
  <c r="S337" i="1" s="1"/>
  <c r="I338" i="1"/>
  <c r="P337" i="1"/>
  <c r="O337" i="1"/>
  <c r="Q339" i="1" l="1"/>
  <c r="R338" i="1"/>
  <c r="S338" i="1" s="1"/>
  <c r="I339" i="1"/>
  <c r="P338" i="1"/>
  <c r="O338" i="1"/>
  <c r="Q340" i="1" l="1"/>
  <c r="R339" i="1"/>
  <c r="S339" i="1" s="1"/>
  <c r="I340" i="1"/>
  <c r="O339" i="1"/>
  <c r="P339" i="1"/>
  <c r="Q341" i="1" l="1"/>
  <c r="R340" i="1"/>
  <c r="S340" i="1" s="1"/>
  <c r="P340" i="1"/>
  <c r="O340" i="1"/>
  <c r="I341" i="1"/>
  <c r="R341" i="1" l="1"/>
  <c r="S341" i="1" s="1"/>
  <c r="Q342" i="1"/>
  <c r="I342" i="1"/>
  <c r="P341" i="1"/>
  <c r="O341" i="1"/>
  <c r="Q343" i="1" l="1"/>
  <c r="R342" i="1"/>
  <c r="S342" i="1" s="1"/>
  <c r="I343" i="1"/>
  <c r="P342" i="1"/>
  <c r="O342" i="1"/>
  <c r="Q344" i="1" l="1"/>
  <c r="R343" i="1"/>
  <c r="S343" i="1" s="1"/>
  <c r="P343" i="1"/>
  <c r="O343" i="1"/>
  <c r="I344" i="1"/>
  <c r="Q345" i="1" l="1"/>
  <c r="R344" i="1"/>
  <c r="S344" i="1" s="1"/>
  <c r="P344" i="1"/>
  <c r="O344" i="1"/>
  <c r="I345" i="1"/>
  <c r="R345" i="1" l="1"/>
  <c r="S345" i="1" s="1"/>
  <c r="Q346" i="1"/>
  <c r="I346" i="1"/>
  <c r="O345" i="1"/>
  <c r="P345" i="1"/>
  <c r="Q347" i="1" l="1"/>
  <c r="R346" i="1"/>
  <c r="S346" i="1" s="1"/>
  <c r="I347" i="1"/>
  <c r="P346" i="1"/>
  <c r="O346" i="1"/>
  <c r="R347" i="1" l="1"/>
  <c r="S347" i="1" s="1"/>
  <c r="Q348" i="1"/>
  <c r="I348" i="1"/>
  <c r="P347" i="1"/>
  <c r="O347" i="1"/>
  <c r="R348" i="1" l="1"/>
  <c r="S348" i="1" s="1"/>
  <c r="Q349" i="1"/>
  <c r="I349" i="1"/>
  <c r="P348" i="1"/>
  <c r="O348" i="1"/>
  <c r="Q350" i="1" l="1"/>
  <c r="R349" i="1"/>
  <c r="S349" i="1" s="1"/>
  <c r="P349" i="1"/>
  <c r="O349" i="1"/>
  <c r="I350" i="1"/>
  <c r="Q351" i="1" l="1"/>
  <c r="R350" i="1"/>
  <c r="S350" i="1" s="1"/>
  <c r="P350" i="1"/>
  <c r="O350" i="1"/>
  <c r="I351" i="1"/>
  <c r="Q352" i="1" l="1"/>
  <c r="R351" i="1"/>
  <c r="S351" i="1" s="1"/>
  <c r="I352" i="1"/>
  <c r="P351" i="1"/>
  <c r="O351" i="1"/>
  <c r="R352" i="1" l="1"/>
  <c r="S352" i="1" s="1"/>
  <c r="Q353" i="1"/>
  <c r="I353" i="1"/>
  <c r="P352" i="1"/>
  <c r="O352" i="1"/>
  <c r="R353" i="1" l="1"/>
  <c r="S353" i="1" s="1"/>
  <c r="Q354" i="1"/>
  <c r="O353" i="1"/>
  <c r="P353" i="1"/>
  <c r="I354" i="1"/>
  <c r="R354" i="1" l="1"/>
  <c r="S354" i="1" s="1"/>
  <c r="Q355" i="1"/>
  <c r="I355" i="1"/>
  <c r="P354" i="1"/>
  <c r="O354" i="1"/>
  <c r="R355" i="1" l="1"/>
  <c r="S355" i="1" s="1"/>
  <c r="Q356" i="1"/>
  <c r="P355" i="1"/>
  <c r="O355" i="1"/>
  <c r="I356" i="1"/>
  <c r="R356" i="1" l="1"/>
  <c r="S356" i="1" s="1"/>
  <c r="Q357" i="1"/>
  <c r="I357" i="1"/>
  <c r="P356" i="1"/>
  <c r="O356" i="1"/>
  <c r="R357" i="1" l="1"/>
  <c r="S357" i="1" s="1"/>
  <c r="Q358" i="1"/>
  <c r="I358" i="1"/>
  <c r="P357" i="1"/>
  <c r="O357" i="1"/>
  <c r="R358" i="1" l="1"/>
  <c r="S358" i="1" s="1"/>
  <c r="Q359" i="1"/>
  <c r="P358" i="1"/>
  <c r="O358" i="1"/>
  <c r="I359" i="1"/>
  <c r="R359" i="1" l="1"/>
  <c r="S359" i="1" s="1"/>
  <c r="Q360" i="1"/>
  <c r="I360" i="1"/>
  <c r="P359" i="1"/>
  <c r="O359" i="1"/>
  <c r="R360" i="1" l="1"/>
  <c r="S360" i="1" s="1"/>
  <c r="Q361" i="1"/>
  <c r="I361" i="1"/>
  <c r="P360" i="1"/>
  <c r="O360" i="1"/>
  <c r="R361" i="1" l="1"/>
  <c r="S361" i="1" s="1"/>
  <c r="Q362" i="1"/>
  <c r="I362" i="1"/>
  <c r="P361" i="1"/>
  <c r="O361" i="1"/>
  <c r="R362" i="1" l="1"/>
  <c r="S362" i="1" s="1"/>
  <c r="Q363" i="1"/>
  <c r="P362" i="1"/>
  <c r="O362" i="1"/>
  <c r="I363" i="1"/>
  <c r="R363" i="1" l="1"/>
  <c r="S363" i="1" s="1"/>
  <c r="Q364" i="1"/>
  <c r="P363" i="1"/>
  <c r="O363" i="1"/>
  <c r="I364" i="1"/>
  <c r="R364" i="1" l="1"/>
  <c r="S364" i="1" s="1"/>
  <c r="Q365" i="1"/>
  <c r="I365" i="1"/>
  <c r="P364" i="1"/>
  <c r="O364" i="1"/>
  <c r="R365" i="1" l="1"/>
  <c r="S365" i="1" s="1"/>
  <c r="Q366" i="1"/>
  <c r="P365" i="1"/>
  <c r="O365" i="1"/>
  <c r="I366" i="1"/>
  <c r="R366" i="1" l="1"/>
  <c r="S366" i="1" s="1"/>
  <c r="Q367" i="1"/>
  <c r="I367" i="1"/>
  <c r="P366" i="1"/>
  <c r="O366" i="1"/>
  <c r="R367" i="1" l="1"/>
  <c r="S367" i="1" s="1"/>
  <c r="Q368" i="1"/>
  <c r="I368" i="1"/>
  <c r="P367" i="1"/>
  <c r="O367" i="1"/>
  <c r="R368" i="1" l="1"/>
  <c r="S368" i="1" s="1"/>
  <c r="Q369" i="1"/>
  <c r="I369" i="1"/>
  <c r="P368" i="1"/>
  <c r="O368" i="1"/>
  <c r="R369" i="1" l="1"/>
  <c r="S369" i="1" s="1"/>
  <c r="Q370" i="1"/>
  <c r="I370" i="1"/>
  <c r="P369" i="1"/>
  <c r="O369" i="1"/>
  <c r="R370" i="1" l="1"/>
  <c r="S370" i="1" s="1"/>
  <c r="Q371" i="1"/>
  <c r="P370" i="1"/>
  <c r="O370" i="1"/>
  <c r="I371" i="1"/>
  <c r="R371" i="1" l="1"/>
  <c r="S371" i="1" s="1"/>
  <c r="Q372" i="1"/>
  <c r="P371" i="1"/>
  <c r="O371" i="1"/>
  <c r="I372" i="1"/>
  <c r="R372" i="1" l="1"/>
  <c r="S372" i="1" s="1"/>
  <c r="Q373" i="1"/>
  <c r="I373" i="1"/>
  <c r="P372" i="1"/>
  <c r="O372" i="1"/>
  <c r="R373" i="1" l="1"/>
  <c r="S373" i="1" s="1"/>
  <c r="Q374" i="1"/>
  <c r="I374" i="1"/>
  <c r="P373" i="1"/>
  <c r="O373" i="1"/>
  <c r="R374" i="1" l="1"/>
  <c r="S374" i="1" s="1"/>
  <c r="Q375" i="1"/>
  <c r="I375" i="1"/>
  <c r="P374" i="1"/>
  <c r="O374" i="1"/>
  <c r="R375" i="1" l="1"/>
  <c r="S375" i="1" s="1"/>
  <c r="Q376" i="1"/>
  <c r="P375" i="1"/>
  <c r="O375" i="1"/>
  <c r="I376" i="1"/>
  <c r="R376" i="1" l="1"/>
  <c r="S376" i="1" s="1"/>
  <c r="Q377" i="1"/>
  <c r="I377" i="1"/>
  <c r="P376" i="1"/>
  <c r="O376" i="1"/>
  <c r="R377" i="1" l="1"/>
  <c r="S377" i="1" s="1"/>
  <c r="Q378" i="1"/>
  <c r="P377" i="1"/>
  <c r="O377" i="1"/>
  <c r="I378" i="1"/>
  <c r="R378" i="1" l="1"/>
  <c r="S378" i="1" s="1"/>
  <c r="Q379" i="1"/>
  <c r="I379" i="1"/>
  <c r="P378" i="1"/>
  <c r="O378" i="1"/>
  <c r="R379" i="1" l="1"/>
  <c r="S379" i="1" s="1"/>
  <c r="Q380" i="1"/>
  <c r="I380" i="1"/>
  <c r="P379" i="1"/>
  <c r="O379" i="1"/>
  <c r="R380" i="1" l="1"/>
  <c r="S380" i="1" s="1"/>
  <c r="Q381" i="1"/>
  <c r="I381" i="1"/>
  <c r="P380" i="1"/>
  <c r="O380" i="1"/>
  <c r="R381" i="1" l="1"/>
  <c r="S381" i="1" s="1"/>
  <c r="Q382" i="1"/>
  <c r="P381" i="1"/>
  <c r="O381" i="1"/>
  <c r="I382" i="1"/>
  <c r="R382" i="1" l="1"/>
  <c r="S382" i="1" s="1"/>
  <c r="Q383" i="1"/>
  <c r="I383" i="1"/>
  <c r="P382" i="1"/>
  <c r="O382" i="1"/>
  <c r="R383" i="1" l="1"/>
  <c r="S383" i="1" s="1"/>
  <c r="Q384" i="1"/>
  <c r="P383" i="1"/>
  <c r="O383" i="1"/>
  <c r="I384" i="1"/>
  <c r="R384" i="1" l="1"/>
  <c r="S384" i="1" s="1"/>
  <c r="Q385" i="1"/>
  <c r="I385" i="1"/>
  <c r="P384" i="1"/>
  <c r="O384" i="1"/>
  <c r="R385" i="1" l="1"/>
  <c r="S385" i="1" s="1"/>
  <c r="Q386" i="1"/>
  <c r="P385" i="1"/>
  <c r="O385" i="1"/>
  <c r="I386" i="1"/>
  <c r="R386" i="1" l="1"/>
  <c r="S386" i="1" s="1"/>
  <c r="Q387" i="1"/>
  <c r="I387" i="1"/>
  <c r="P386" i="1"/>
  <c r="O386" i="1"/>
  <c r="R387" i="1" l="1"/>
  <c r="S387" i="1" s="1"/>
  <c r="Q388" i="1"/>
  <c r="I388" i="1"/>
  <c r="P387" i="1"/>
  <c r="O387" i="1"/>
  <c r="R388" i="1" l="1"/>
  <c r="S388" i="1" s="1"/>
  <c r="Q389" i="1"/>
  <c r="P388" i="1"/>
  <c r="O388" i="1"/>
  <c r="I389" i="1"/>
  <c r="R389" i="1" l="1"/>
  <c r="S389" i="1" s="1"/>
  <c r="Q390" i="1"/>
  <c r="I390" i="1"/>
  <c r="P389" i="1"/>
  <c r="O389" i="1"/>
  <c r="R390" i="1" l="1"/>
  <c r="S390" i="1" s="1"/>
  <c r="Q391" i="1"/>
  <c r="I391" i="1"/>
  <c r="P390" i="1"/>
  <c r="O390" i="1"/>
  <c r="R391" i="1" l="1"/>
  <c r="S391" i="1" s="1"/>
  <c r="Q392" i="1"/>
  <c r="I392" i="1"/>
  <c r="P391" i="1"/>
  <c r="O391" i="1"/>
  <c r="R392" i="1" l="1"/>
  <c r="S392" i="1" s="1"/>
  <c r="Q393" i="1"/>
  <c r="I393" i="1"/>
  <c r="P392" i="1"/>
  <c r="O392" i="1"/>
  <c r="R393" i="1" l="1"/>
  <c r="S393" i="1" s="1"/>
  <c r="Q394" i="1"/>
  <c r="I394" i="1"/>
  <c r="P393" i="1"/>
  <c r="O393" i="1"/>
  <c r="R394" i="1" l="1"/>
  <c r="S394" i="1" s="1"/>
  <c r="Q395" i="1"/>
  <c r="I395" i="1"/>
  <c r="P394" i="1"/>
  <c r="O394" i="1"/>
  <c r="R395" i="1" l="1"/>
  <c r="S395" i="1" s="1"/>
  <c r="Q396" i="1"/>
  <c r="I396" i="1"/>
  <c r="P395" i="1"/>
  <c r="O395" i="1"/>
  <c r="R396" i="1" l="1"/>
  <c r="S396" i="1" s="1"/>
  <c r="Q397" i="1"/>
  <c r="I397" i="1"/>
  <c r="P396" i="1"/>
  <c r="O396" i="1"/>
  <c r="R397" i="1" l="1"/>
  <c r="S397" i="1" s="1"/>
  <c r="Q398" i="1"/>
  <c r="I398" i="1"/>
  <c r="P397" i="1"/>
  <c r="O397" i="1"/>
  <c r="R398" i="1" l="1"/>
  <c r="S398" i="1" s="1"/>
  <c r="Q399" i="1"/>
  <c r="I399" i="1"/>
  <c r="P398" i="1"/>
  <c r="O398" i="1"/>
  <c r="R399" i="1" l="1"/>
  <c r="S399" i="1" s="1"/>
  <c r="Q400" i="1"/>
  <c r="I400" i="1"/>
  <c r="P399" i="1"/>
  <c r="O399" i="1"/>
  <c r="R400" i="1" l="1"/>
  <c r="S400" i="1" s="1"/>
  <c r="Q401" i="1"/>
  <c r="I401" i="1"/>
  <c r="P400" i="1"/>
  <c r="O400" i="1"/>
  <c r="R401" i="1" l="1"/>
  <c r="S401" i="1" s="1"/>
  <c r="Q402" i="1"/>
  <c r="I402" i="1"/>
  <c r="P401" i="1"/>
  <c r="O401" i="1"/>
  <c r="R402" i="1" l="1"/>
  <c r="S402" i="1" s="1"/>
  <c r="Q403" i="1"/>
  <c r="I403" i="1"/>
  <c r="P402" i="1"/>
  <c r="O402" i="1"/>
  <c r="R403" i="1" l="1"/>
  <c r="S403" i="1" s="1"/>
  <c r="Q404" i="1"/>
  <c r="I404" i="1"/>
  <c r="P403" i="1"/>
  <c r="O403" i="1"/>
  <c r="R404" i="1" l="1"/>
  <c r="S404" i="1" s="1"/>
  <c r="Q405" i="1"/>
  <c r="I405" i="1"/>
  <c r="P404" i="1"/>
  <c r="O404" i="1"/>
  <c r="R405" i="1" l="1"/>
  <c r="S405" i="1" s="1"/>
  <c r="Q406" i="1"/>
  <c r="I406" i="1"/>
  <c r="P405" i="1"/>
  <c r="O405" i="1"/>
  <c r="R406" i="1" l="1"/>
  <c r="S406" i="1" s="1"/>
  <c r="Q407" i="1"/>
  <c r="I407" i="1"/>
  <c r="P406" i="1"/>
  <c r="O406" i="1"/>
  <c r="R407" i="1" l="1"/>
  <c r="S407" i="1" s="1"/>
  <c r="Q408" i="1"/>
  <c r="I408" i="1"/>
  <c r="P407" i="1"/>
  <c r="O407" i="1"/>
  <c r="R408" i="1" l="1"/>
  <c r="S408" i="1" s="1"/>
  <c r="Q409" i="1"/>
  <c r="I409" i="1"/>
  <c r="P408" i="1"/>
  <c r="O408" i="1"/>
  <c r="R409" i="1" l="1"/>
  <c r="S409" i="1" s="1"/>
  <c r="Q410" i="1"/>
  <c r="I410" i="1"/>
  <c r="P409" i="1"/>
  <c r="O409" i="1"/>
  <c r="R410" i="1" l="1"/>
  <c r="S410" i="1" s="1"/>
  <c r="Q411" i="1"/>
  <c r="I411" i="1"/>
  <c r="P410" i="1"/>
  <c r="O410" i="1"/>
  <c r="R411" i="1" l="1"/>
  <c r="S411" i="1" s="1"/>
  <c r="Q412" i="1"/>
  <c r="I412" i="1"/>
  <c r="P411" i="1"/>
  <c r="O411" i="1"/>
  <c r="R412" i="1" l="1"/>
  <c r="S412" i="1" s="1"/>
  <c r="Q413" i="1"/>
  <c r="I413" i="1"/>
  <c r="P412" i="1"/>
  <c r="O412" i="1"/>
  <c r="R413" i="1" l="1"/>
  <c r="S413" i="1" s="1"/>
  <c r="Q414" i="1"/>
  <c r="I414" i="1"/>
  <c r="P413" i="1"/>
  <c r="O413" i="1"/>
  <c r="R414" i="1" l="1"/>
  <c r="S414" i="1" s="1"/>
  <c r="Q415" i="1"/>
  <c r="I415" i="1"/>
  <c r="P414" i="1"/>
  <c r="O414" i="1"/>
  <c r="R415" i="1" l="1"/>
  <c r="S415" i="1" s="1"/>
  <c r="Q416" i="1"/>
  <c r="I416" i="1"/>
  <c r="P415" i="1"/>
  <c r="O415" i="1"/>
  <c r="R416" i="1" l="1"/>
  <c r="S416" i="1" s="1"/>
  <c r="Q417" i="1"/>
  <c r="I417" i="1"/>
  <c r="P416" i="1"/>
  <c r="O416" i="1"/>
  <c r="R417" i="1" l="1"/>
  <c r="S417" i="1" s="1"/>
  <c r="Q418" i="1"/>
  <c r="I418" i="1"/>
  <c r="P417" i="1"/>
  <c r="O417" i="1"/>
  <c r="R418" i="1" l="1"/>
  <c r="S418" i="1" s="1"/>
  <c r="Q419" i="1"/>
  <c r="I419" i="1"/>
  <c r="P418" i="1"/>
  <c r="O418" i="1"/>
  <c r="R419" i="1" l="1"/>
  <c r="S419" i="1" s="1"/>
  <c r="Q420" i="1"/>
  <c r="I420" i="1"/>
  <c r="P419" i="1"/>
  <c r="O419" i="1"/>
  <c r="R420" i="1" l="1"/>
  <c r="S420" i="1" s="1"/>
  <c r="Q421" i="1"/>
  <c r="I421" i="1"/>
  <c r="P420" i="1"/>
  <c r="O420" i="1"/>
  <c r="R421" i="1" l="1"/>
  <c r="S421" i="1" s="1"/>
  <c r="Q422" i="1"/>
  <c r="I422" i="1"/>
  <c r="P421" i="1"/>
  <c r="O421" i="1"/>
  <c r="R422" i="1" l="1"/>
  <c r="S422" i="1" s="1"/>
  <c r="Q423" i="1"/>
  <c r="I423" i="1"/>
  <c r="P422" i="1"/>
  <c r="O422" i="1"/>
  <c r="R423" i="1" l="1"/>
  <c r="S423" i="1" s="1"/>
  <c r="Q424" i="1"/>
  <c r="I424" i="1"/>
  <c r="P423" i="1"/>
  <c r="O423" i="1"/>
  <c r="R424" i="1" l="1"/>
  <c r="S424" i="1" s="1"/>
  <c r="Q425" i="1"/>
  <c r="I425" i="1"/>
  <c r="P424" i="1"/>
  <c r="O424" i="1"/>
  <c r="R425" i="1" l="1"/>
  <c r="S425" i="1" s="1"/>
  <c r="Q426" i="1"/>
  <c r="I426" i="1"/>
  <c r="P425" i="1"/>
  <c r="O425" i="1"/>
  <c r="R426" i="1" l="1"/>
  <c r="S426" i="1" s="1"/>
  <c r="Q427" i="1"/>
  <c r="I427" i="1"/>
  <c r="P426" i="1"/>
  <c r="O426" i="1"/>
  <c r="R427" i="1" l="1"/>
  <c r="S427" i="1" s="1"/>
  <c r="Q428" i="1"/>
  <c r="I428" i="1"/>
  <c r="P427" i="1"/>
  <c r="O427" i="1"/>
  <c r="R428" i="1" l="1"/>
  <c r="S428" i="1" s="1"/>
  <c r="Q429" i="1"/>
  <c r="I429" i="1"/>
  <c r="P428" i="1"/>
  <c r="O428" i="1"/>
  <c r="R429" i="1" l="1"/>
  <c r="S429" i="1" s="1"/>
  <c r="Q430" i="1"/>
  <c r="I430" i="1"/>
  <c r="P429" i="1"/>
  <c r="O429" i="1"/>
  <c r="R430" i="1" l="1"/>
  <c r="S430" i="1" s="1"/>
  <c r="Q431" i="1"/>
  <c r="I431" i="1"/>
  <c r="P430" i="1"/>
  <c r="O430" i="1"/>
  <c r="R431" i="1" l="1"/>
  <c r="S431" i="1" s="1"/>
  <c r="Q432" i="1"/>
  <c r="I432" i="1"/>
  <c r="P431" i="1"/>
  <c r="O431" i="1"/>
  <c r="R432" i="1" l="1"/>
  <c r="S432" i="1" s="1"/>
  <c r="Q433" i="1"/>
  <c r="I433" i="1"/>
  <c r="P432" i="1"/>
  <c r="O432" i="1"/>
  <c r="R433" i="1" l="1"/>
  <c r="S433" i="1" s="1"/>
  <c r="Q434" i="1"/>
  <c r="I434" i="1"/>
  <c r="P433" i="1"/>
  <c r="O433" i="1"/>
  <c r="R434" i="1" l="1"/>
  <c r="S434" i="1" s="1"/>
  <c r="Q435" i="1"/>
  <c r="I435" i="1"/>
  <c r="P434" i="1"/>
  <c r="O434" i="1"/>
  <c r="R435" i="1" l="1"/>
  <c r="S435" i="1" s="1"/>
  <c r="Q436" i="1"/>
  <c r="I436" i="1"/>
  <c r="P435" i="1"/>
  <c r="O435" i="1"/>
  <c r="R436" i="1" l="1"/>
  <c r="S436" i="1" s="1"/>
  <c r="Q437" i="1"/>
  <c r="I437" i="1"/>
  <c r="P436" i="1"/>
  <c r="O436" i="1"/>
  <c r="R437" i="1" l="1"/>
  <c r="S437" i="1" s="1"/>
  <c r="Q438" i="1"/>
  <c r="I438" i="1"/>
  <c r="P437" i="1"/>
  <c r="O437" i="1"/>
  <c r="R438" i="1" l="1"/>
  <c r="S438" i="1" s="1"/>
  <c r="Q439" i="1"/>
  <c r="I439" i="1"/>
  <c r="P438" i="1"/>
  <c r="O438" i="1"/>
  <c r="R439" i="1" l="1"/>
  <c r="S439" i="1" s="1"/>
  <c r="Q440" i="1"/>
  <c r="I440" i="1"/>
  <c r="P439" i="1"/>
  <c r="O439" i="1"/>
  <c r="R440" i="1" l="1"/>
  <c r="S440" i="1" s="1"/>
  <c r="Q441" i="1"/>
  <c r="I441" i="1"/>
  <c r="P440" i="1"/>
  <c r="O440" i="1"/>
  <c r="R441" i="1" l="1"/>
  <c r="S441" i="1" s="1"/>
  <c r="Q442" i="1"/>
  <c r="I442" i="1"/>
  <c r="P441" i="1"/>
  <c r="O441" i="1"/>
  <c r="R442" i="1" l="1"/>
  <c r="S442" i="1" s="1"/>
  <c r="Q443" i="1"/>
  <c r="I443" i="1"/>
  <c r="P442" i="1"/>
  <c r="O442" i="1"/>
  <c r="R443" i="1" l="1"/>
  <c r="S443" i="1" s="1"/>
  <c r="Q444" i="1"/>
  <c r="I444" i="1"/>
  <c r="P443" i="1"/>
  <c r="O443" i="1"/>
  <c r="R444" i="1" l="1"/>
  <c r="S444" i="1" s="1"/>
  <c r="Q445" i="1"/>
  <c r="I445" i="1"/>
  <c r="P444" i="1"/>
  <c r="O444" i="1"/>
  <c r="R445" i="1" l="1"/>
  <c r="S445" i="1" s="1"/>
  <c r="Q446" i="1"/>
  <c r="I446" i="1"/>
  <c r="P445" i="1"/>
  <c r="O445" i="1"/>
  <c r="R446" i="1" l="1"/>
  <c r="S446" i="1" s="1"/>
  <c r="Q447" i="1"/>
  <c r="I447" i="1"/>
  <c r="P446" i="1"/>
  <c r="O446" i="1"/>
  <c r="R447" i="1" l="1"/>
  <c r="S447" i="1" s="1"/>
  <c r="Q448" i="1"/>
  <c r="I448" i="1"/>
  <c r="P447" i="1"/>
  <c r="O447" i="1"/>
  <c r="R448" i="1" l="1"/>
  <c r="S448" i="1" s="1"/>
  <c r="Q449" i="1"/>
  <c r="I449" i="1"/>
  <c r="P448" i="1"/>
  <c r="O448" i="1"/>
  <c r="R449" i="1" l="1"/>
  <c r="S449" i="1" s="1"/>
  <c r="Q450" i="1"/>
  <c r="I450" i="1"/>
  <c r="P449" i="1"/>
  <c r="O449" i="1"/>
  <c r="R450" i="1" l="1"/>
  <c r="S450" i="1" s="1"/>
  <c r="Q451" i="1"/>
  <c r="I451" i="1"/>
  <c r="P450" i="1"/>
  <c r="O450" i="1"/>
  <c r="R451" i="1" l="1"/>
  <c r="S451" i="1" s="1"/>
  <c r="Q452" i="1"/>
  <c r="I452" i="1"/>
  <c r="P451" i="1"/>
  <c r="O451" i="1"/>
  <c r="R452" i="1" l="1"/>
  <c r="S452" i="1" s="1"/>
  <c r="Q453" i="1"/>
  <c r="I453" i="1"/>
  <c r="P452" i="1"/>
  <c r="O452" i="1"/>
  <c r="R453" i="1" l="1"/>
  <c r="S453" i="1" s="1"/>
  <c r="Q454" i="1"/>
  <c r="I454" i="1"/>
  <c r="P453" i="1"/>
  <c r="O453" i="1"/>
  <c r="R454" i="1" l="1"/>
  <c r="S454" i="1" s="1"/>
  <c r="Q455" i="1"/>
  <c r="I455" i="1"/>
  <c r="P454" i="1"/>
  <c r="O454" i="1"/>
  <c r="R455" i="1" l="1"/>
  <c r="S455" i="1" s="1"/>
  <c r="Q456" i="1"/>
  <c r="I456" i="1"/>
  <c r="P455" i="1"/>
  <c r="O455" i="1"/>
  <c r="R456" i="1" l="1"/>
  <c r="S456" i="1" s="1"/>
  <c r="Q457" i="1"/>
  <c r="I457" i="1"/>
  <c r="P456" i="1"/>
  <c r="O456" i="1"/>
  <c r="R457" i="1" l="1"/>
  <c r="S457" i="1" s="1"/>
  <c r="Q458" i="1"/>
  <c r="I458" i="1"/>
  <c r="P457" i="1"/>
  <c r="O457" i="1"/>
  <c r="R458" i="1" l="1"/>
  <c r="S458" i="1" s="1"/>
  <c r="Q459" i="1"/>
  <c r="I459" i="1"/>
  <c r="P458" i="1"/>
  <c r="O458" i="1"/>
  <c r="R459" i="1" l="1"/>
  <c r="S459" i="1" s="1"/>
  <c r="Q460" i="1"/>
  <c r="I460" i="1"/>
  <c r="P459" i="1"/>
  <c r="O459" i="1"/>
  <c r="R460" i="1" l="1"/>
  <c r="S460" i="1" s="1"/>
  <c r="Q461" i="1"/>
  <c r="I461" i="1"/>
  <c r="P460" i="1"/>
  <c r="O460" i="1"/>
  <c r="R461" i="1" l="1"/>
  <c r="S461" i="1" s="1"/>
  <c r="Q462" i="1"/>
  <c r="I462" i="1"/>
  <c r="P461" i="1"/>
  <c r="O461" i="1"/>
  <c r="R462" i="1" l="1"/>
  <c r="S462" i="1" s="1"/>
  <c r="Q463" i="1"/>
  <c r="I463" i="1"/>
  <c r="P462" i="1"/>
  <c r="O462" i="1"/>
  <c r="R463" i="1" l="1"/>
  <c r="S463" i="1" s="1"/>
  <c r="Q464" i="1"/>
  <c r="I464" i="1"/>
  <c r="P463" i="1"/>
  <c r="O463" i="1"/>
  <c r="R464" i="1" l="1"/>
  <c r="S464" i="1" s="1"/>
  <c r="Q465" i="1"/>
  <c r="I465" i="1"/>
  <c r="P464" i="1"/>
  <c r="O464" i="1"/>
  <c r="R465" i="1" l="1"/>
  <c r="S465" i="1" s="1"/>
  <c r="Q466" i="1"/>
  <c r="I466" i="1"/>
  <c r="P465" i="1"/>
  <c r="O465" i="1"/>
  <c r="R466" i="1" l="1"/>
  <c r="S466" i="1" s="1"/>
  <c r="Q467" i="1"/>
  <c r="I467" i="1"/>
  <c r="P466" i="1"/>
  <c r="O466" i="1"/>
  <c r="R467" i="1" l="1"/>
  <c r="S467" i="1" s="1"/>
  <c r="Q468" i="1"/>
  <c r="I468" i="1"/>
  <c r="O467" i="1"/>
  <c r="P467" i="1"/>
  <c r="R468" i="1" l="1"/>
  <c r="S468" i="1" s="1"/>
  <c r="Q469" i="1"/>
  <c r="O468" i="1"/>
  <c r="P468" i="1"/>
  <c r="I469" i="1"/>
  <c r="R469" i="1" l="1"/>
  <c r="S469" i="1" s="1"/>
  <c r="Q470" i="1"/>
  <c r="I470" i="1"/>
  <c r="P469" i="1"/>
  <c r="O469" i="1"/>
  <c r="Q471" i="1" l="1"/>
  <c r="R470" i="1"/>
  <c r="S470" i="1" s="1"/>
  <c r="I471" i="1"/>
  <c r="O470" i="1"/>
  <c r="P470" i="1"/>
  <c r="R471" i="1" l="1"/>
  <c r="S471" i="1" s="1"/>
  <c r="Q472" i="1"/>
  <c r="I472" i="1"/>
  <c r="O471" i="1"/>
  <c r="P471" i="1"/>
  <c r="Q473" i="1" l="1"/>
  <c r="R472" i="1"/>
  <c r="S472" i="1" s="1"/>
  <c r="O472" i="1"/>
  <c r="P472" i="1"/>
  <c r="I473" i="1"/>
  <c r="Q474" i="1" l="1"/>
  <c r="R473" i="1"/>
  <c r="S473" i="1" s="1"/>
  <c r="I474" i="1"/>
  <c r="P473" i="1"/>
  <c r="O473" i="1"/>
  <c r="Q475" i="1" l="1"/>
  <c r="R474" i="1"/>
  <c r="S474" i="1" s="1"/>
  <c r="O474" i="1"/>
  <c r="P474" i="1"/>
  <c r="I475" i="1"/>
  <c r="Q476" i="1" l="1"/>
  <c r="R475" i="1"/>
  <c r="S475" i="1" s="1"/>
  <c r="I476" i="1"/>
  <c r="O475" i="1"/>
  <c r="P475" i="1"/>
  <c r="Q477" i="1" l="1"/>
  <c r="R476" i="1"/>
  <c r="S476" i="1" s="1"/>
  <c r="I477" i="1"/>
  <c r="P476" i="1"/>
  <c r="O476" i="1"/>
  <c r="Q478" i="1" l="1"/>
  <c r="R477" i="1"/>
  <c r="S477" i="1" s="1"/>
  <c r="O477" i="1"/>
  <c r="P477" i="1"/>
  <c r="I478" i="1"/>
  <c r="Q479" i="1" l="1"/>
  <c r="R478" i="1"/>
  <c r="S478" i="1" s="1"/>
  <c r="I479" i="1"/>
  <c r="P478" i="1"/>
  <c r="O478" i="1"/>
  <c r="Q480" i="1" l="1"/>
  <c r="R479" i="1"/>
  <c r="S479" i="1" s="1"/>
  <c r="O479" i="1"/>
  <c r="P479" i="1"/>
  <c r="I480" i="1"/>
  <c r="Q481" i="1" l="1"/>
  <c r="R480" i="1"/>
  <c r="S480" i="1" s="1"/>
  <c r="I481" i="1"/>
  <c r="P480" i="1"/>
  <c r="O480" i="1"/>
  <c r="R481" i="1" l="1"/>
  <c r="S481" i="1" s="1"/>
  <c r="Q482" i="1"/>
  <c r="I482" i="1"/>
  <c r="O481" i="1"/>
  <c r="P481" i="1"/>
  <c r="R482" i="1" l="1"/>
  <c r="S482" i="1" s="1"/>
  <c r="Q483" i="1"/>
  <c r="O482" i="1"/>
  <c r="P482" i="1"/>
  <c r="I483" i="1"/>
  <c r="R483" i="1" l="1"/>
  <c r="S483" i="1" s="1"/>
  <c r="Q484" i="1"/>
  <c r="O483" i="1"/>
  <c r="P483" i="1"/>
  <c r="I484" i="1"/>
  <c r="Q485" i="1" l="1"/>
  <c r="R484" i="1"/>
  <c r="S484" i="1" s="1"/>
  <c r="I485" i="1"/>
  <c r="O484" i="1"/>
  <c r="P484" i="1"/>
  <c r="R485" i="1" l="1"/>
  <c r="S485" i="1" s="1"/>
  <c r="Q486" i="1"/>
  <c r="I486" i="1"/>
  <c r="P485" i="1"/>
  <c r="O485" i="1"/>
  <c r="Q487" i="1" l="1"/>
  <c r="R486" i="1"/>
  <c r="S486" i="1" s="1"/>
  <c r="O486" i="1"/>
  <c r="P486" i="1"/>
  <c r="I487" i="1"/>
  <c r="R487" i="1" l="1"/>
  <c r="S487" i="1" s="1"/>
  <c r="Q488" i="1"/>
  <c r="I488" i="1"/>
  <c r="P487" i="1"/>
  <c r="O487" i="1"/>
  <c r="R488" i="1" l="1"/>
  <c r="S488" i="1" s="1"/>
  <c r="Q489" i="1"/>
  <c r="P488" i="1"/>
  <c r="O488" i="1"/>
  <c r="I489" i="1"/>
  <c r="R489" i="1" l="1"/>
  <c r="S489" i="1" s="1"/>
  <c r="Q490" i="1"/>
  <c r="I490" i="1"/>
  <c r="P489" i="1"/>
  <c r="O489" i="1"/>
  <c r="R490" i="1" l="1"/>
  <c r="S490" i="1" s="1"/>
  <c r="Q491" i="1"/>
  <c r="P490" i="1"/>
  <c r="O490" i="1"/>
  <c r="I491" i="1"/>
  <c r="R491" i="1" l="1"/>
  <c r="S491" i="1" s="1"/>
  <c r="Q492" i="1"/>
  <c r="P491" i="1"/>
  <c r="O491" i="1"/>
  <c r="I492" i="1"/>
  <c r="R492" i="1" l="1"/>
  <c r="S492" i="1" s="1"/>
  <c r="Q493" i="1"/>
  <c r="I493" i="1"/>
  <c r="P492" i="1"/>
  <c r="O492" i="1"/>
  <c r="R493" i="1" l="1"/>
  <c r="S493" i="1" s="1"/>
  <c r="Q494" i="1"/>
  <c r="I494" i="1"/>
  <c r="P493" i="1"/>
  <c r="O493" i="1"/>
  <c r="R494" i="1" l="1"/>
  <c r="S494" i="1" s="1"/>
  <c r="Q495" i="1"/>
  <c r="I495" i="1"/>
  <c r="P494" i="1"/>
  <c r="O494" i="1"/>
  <c r="R495" i="1" l="1"/>
  <c r="S495" i="1" s="1"/>
  <c r="Q496" i="1"/>
  <c r="I496" i="1"/>
  <c r="P495" i="1"/>
  <c r="O495" i="1"/>
  <c r="R496" i="1" l="1"/>
  <c r="S496" i="1" s="1"/>
  <c r="Q497" i="1"/>
  <c r="I497" i="1"/>
  <c r="P496" i="1"/>
  <c r="O496" i="1"/>
  <c r="R497" i="1" l="1"/>
  <c r="S497" i="1" s="1"/>
  <c r="Q498" i="1"/>
  <c r="I498" i="1"/>
  <c r="P497" i="1"/>
  <c r="O497" i="1"/>
  <c r="R498" i="1" l="1"/>
  <c r="S498" i="1" s="1"/>
  <c r="Q499" i="1"/>
  <c r="I499" i="1"/>
  <c r="P498" i="1"/>
  <c r="O498" i="1"/>
  <c r="R499" i="1" l="1"/>
  <c r="S499" i="1" s="1"/>
  <c r="Q500" i="1"/>
  <c r="P499" i="1"/>
  <c r="O499" i="1"/>
  <c r="I500" i="1"/>
  <c r="R500" i="1" l="1"/>
  <c r="S500" i="1" s="1"/>
  <c r="Q501" i="1"/>
  <c r="I501" i="1"/>
  <c r="P500" i="1"/>
  <c r="O500" i="1"/>
  <c r="R501" i="1" l="1"/>
  <c r="S501" i="1" s="1"/>
  <c r="Q502" i="1"/>
  <c r="I502" i="1"/>
  <c r="P501" i="1"/>
  <c r="O501" i="1"/>
  <c r="R502" i="1" l="1"/>
  <c r="S502" i="1" s="1"/>
  <c r="Q503" i="1"/>
  <c r="I503" i="1"/>
  <c r="P502" i="1"/>
  <c r="O502" i="1"/>
  <c r="R503" i="1" l="1"/>
  <c r="S503" i="1" s="1"/>
  <c r="Q504" i="1"/>
  <c r="I504" i="1"/>
  <c r="P503" i="1"/>
  <c r="O503" i="1"/>
  <c r="R504" i="1" l="1"/>
  <c r="S504" i="1" s="1"/>
  <c r="Q505" i="1"/>
  <c r="I505" i="1"/>
  <c r="P504" i="1"/>
  <c r="O504" i="1"/>
  <c r="R505" i="1" l="1"/>
  <c r="S505" i="1" s="1"/>
  <c r="Q506" i="1"/>
  <c r="P505" i="1"/>
  <c r="O505" i="1"/>
  <c r="I506" i="1"/>
  <c r="R506" i="1" l="1"/>
  <c r="S506" i="1" s="1"/>
  <c r="Q507" i="1"/>
  <c r="P506" i="1"/>
  <c r="O506" i="1"/>
  <c r="I507" i="1"/>
  <c r="R507" i="1" l="1"/>
  <c r="S507" i="1" s="1"/>
  <c r="Q508" i="1"/>
  <c r="I508" i="1"/>
  <c r="P507" i="1"/>
  <c r="O507" i="1"/>
  <c r="R508" i="1" l="1"/>
  <c r="S508" i="1" s="1"/>
  <c r="Q509" i="1"/>
  <c r="I509" i="1"/>
  <c r="P508" i="1"/>
  <c r="O508" i="1"/>
  <c r="R509" i="1" l="1"/>
  <c r="S509" i="1" s="1"/>
  <c r="Q510" i="1"/>
  <c r="P509" i="1"/>
  <c r="O509" i="1"/>
  <c r="I510" i="1"/>
  <c r="R510" i="1" l="1"/>
  <c r="S510" i="1" s="1"/>
  <c r="Q511" i="1"/>
  <c r="I511" i="1"/>
  <c r="P510" i="1"/>
  <c r="O510" i="1"/>
  <c r="R511" i="1" l="1"/>
  <c r="S511" i="1" s="1"/>
  <c r="Q512" i="1"/>
  <c r="P511" i="1"/>
  <c r="O511" i="1"/>
  <c r="I512" i="1"/>
  <c r="R512" i="1" l="1"/>
  <c r="S512" i="1" s="1"/>
  <c r="Q513" i="1"/>
  <c r="I513" i="1"/>
  <c r="P512" i="1"/>
  <c r="O512" i="1"/>
  <c r="R513" i="1" l="1"/>
  <c r="S513" i="1" s="1"/>
  <c r="Q514" i="1"/>
  <c r="I514" i="1"/>
  <c r="P513" i="1"/>
  <c r="O513" i="1"/>
  <c r="R514" i="1" l="1"/>
  <c r="S514" i="1" s="1"/>
  <c r="Q515" i="1"/>
  <c r="P514" i="1"/>
  <c r="O514" i="1"/>
  <c r="I515" i="1"/>
  <c r="R515" i="1" l="1"/>
  <c r="S515" i="1" s="1"/>
  <c r="Q516" i="1"/>
  <c r="I516" i="1"/>
  <c r="P515" i="1"/>
  <c r="O515" i="1"/>
  <c r="R516" i="1" l="1"/>
  <c r="S516" i="1" s="1"/>
  <c r="Q517" i="1"/>
  <c r="I517" i="1"/>
  <c r="P516" i="1"/>
  <c r="O516" i="1"/>
  <c r="R517" i="1" l="1"/>
  <c r="S517" i="1" s="1"/>
  <c r="Q518" i="1"/>
  <c r="I518" i="1"/>
  <c r="P517" i="1"/>
  <c r="O517" i="1"/>
  <c r="R518" i="1" l="1"/>
  <c r="S518" i="1" s="1"/>
  <c r="Q519" i="1"/>
  <c r="P518" i="1"/>
  <c r="O518" i="1"/>
  <c r="I519" i="1"/>
  <c r="R519" i="1" l="1"/>
  <c r="S519" i="1" s="1"/>
  <c r="Q520" i="1"/>
  <c r="I520" i="1"/>
  <c r="P519" i="1"/>
  <c r="O519" i="1"/>
  <c r="R520" i="1" l="1"/>
  <c r="S520" i="1" s="1"/>
  <c r="Q521" i="1"/>
  <c r="I521" i="1"/>
  <c r="P520" i="1"/>
  <c r="O520" i="1"/>
  <c r="R521" i="1" l="1"/>
  <c r="S521" i="1" s="1"/>
  <c r="Q522" i="1"/>
  <c r="I522" i="1"/>
  <c r="P521" i="1"/>
  <c r="O521" i="1"/>
  <c r="R522" i="1" l="1"/>
  <c r="S522" i="1" s="1"/>
  <c r="Q523" i="1"/>
  <c r="I523" i="1"/>
  <c r="P522" i="1"/>
  <c r="O522" i="1"/>
  <c r="R523" i="1" l="1"/>
  <c r="S523" i="1" s="1"/>
  <c r="Q524" i="1"/>
  <c r="P523" i="1"/>
  <c r="O523" i="1"/>
  <c r="I524" i="1"/>
  <c r="R524" i="1" l="1"/>
  <c r="S524" i="1" s="1"/>
  <c r="Q525" i="1"/>
  <c r="P524" i="1"/>
  <c r="O524" i="1"/>
  <c r="I525" i="1"/>
  <c r="R525" i="1" l="1"/>
  <c r="S525" i="1" s="1"/>
  <c r="Q526" i="1"/>
  <c r="I526" i="1"/>
  <c r="P525" i="1"/>
  <c r="O525" i="1"/>
  <c r="R526" i="1" l="1"/>
  <c r="S526" i="1" s="1"/>
  <c r="Q527" i="1"/>
  <c r="P526" i="1"/>
  <c r="O526" i="1"/>
  <c r="I527" i="1"/>
  <c r="R527" i="1" l="1"/>
  <c r="S527" i="1" s="1"/>
  <c r="Q528" i="1"/>
  <c r="I528" i="1"/>
  <c r="P527" i="1"/>
  <c r="O527" i="1"/>
  <c r="R528" i="1" l="1"/>
  <c r="S528" i="1" s="1"/>
  <c r="Q529" i="1"/>
  <c r="I529" i="1"/>
  <c r="P528" i="1"/>
  <c r="O528" i="1"/>
  <c r="R529" i="1" l="1"/>
  <c r="S529" i="1" s="1"/>
  <c r="Q530" i="1"/>
  <c r="P529" i="1"/>
  <c r="O529" i="1"/>
  <c r="I530" i="1"/>
  <c r="R530" i="1" l="1"/>
  <c r="S530" i="1" s="1"/>
  <c r="Q531" i="1"/>
  <c r="I531" i="1"/>
  <c r="P530" i="1"/>
  <c r="O530" i="1"/>
  <c r="R531" i="1" l="1"/>
  <c r="S531" i="1" s="1"/>
  <c r="Q532" i="1"/>
  <c r="P531" i="1"/>
  <c r="O531" i="1"/>
  <c r="I532" i="1"/>
  <c r="R532" i="1" l="1"/>
  <c r="S532" i="1" s="1"/>
  <c r="Q533" i="1"/>
  <c r="P532" i="1"/>
  <c r="O532" i="1"/>
  <c r="I533" i="1"/>
  <c r="R533" i="1" l="1"/>
  <c r="S533" i="1" s="1"/>
  <c r="Q534" i="1"/>
  <c r="I534" i="1"/>
  <c r="P533" i="1"/>
  <c r="O533" i="1"/>
  <c r="R534" i="1" l="1"/>
  <c r="S534" i="1" s="1"/>
  <c r="Q535" i="1"/>
  <c r="I535" i="1"/>
  <c r="P534" i="1"/>
  <c r="O534" i="1"/>
  <c r="R535" i="1" l="1"/>
  <c r="S535" i="1" s="1"/>
  <c r="Q536" i="1"/>
  <c r="I536" i="1"/>
  <c r="P535" i="1"/>
  <c r="O535" i="1"/>
  <c r="R536" i="1" l="1"/>
  <c r="S536" i="1" s="1"/>
  <c r="Q537" i="1"/>
  <c r="P536" i="1"/>
  <c r="O536" i="1"/>
  <c r="I537" i="1"/>
  <c r="R537" i="1" l="1"/>
  <c r="S537" i="1" s="1"/>
  <c r="Q538" i="1"/>
  <c r="I538" i="1"/>
  <c r="P537" i="1"/>
  <c r="O537" i="1"/>
  <c r="R538" i="1" l="1"/>
  <c r="S538" i="1" s="1"/>
  <c r="Q539" i="1"/>
  <c r="I539" i="1"/>
  <c r="P538" i="1"/>
  <c r="O538" i="1"/>
  <c r="R539" i="1" l="1"/>
  <c r="S539" i="1" s="1"/>
  <c r="Q540" i="1"/>
  <c r="P539" i="1"/>
  <c r="O539" i="1"/>
  <c r="I540" i="1"/>
  <c r="R540" i="1" l="1"/>
  <c r="S540" i="1" s="1"/>
  <c r="Q541" i="1"/>
  <c r="I541" i="1"/>
  <c r="P540" i="1"/>
  <c r="O540" i="1"/>
  <c r="R541" i="1" l="1"/>
  <c r="S541" i="1" s="1"/>
  <c r="Q542" i="1"/>
  <c r="P541" i="1"/>
  <c r="O541" i="1"/>
  <c r="I542" i="1"/>
  <c r="R542" i="1" l="1"/>
  <c r="S542" i="1" s="1"/>
  <c r="Q543" i="1"/>
  <c r="I543" i="1"/>
  <c r="P542" i="1"/>
  <c r="O542" i="1"/>
  <c r="R543" i="1" l="1"/>
  <c r="S543" i="1" s="1"/>
  <c r="Q544" i="1"/>
  <c r="P543" i="1"/>
  <c r="O543" i="1"/>
  <c r="I544" i="1"/>
  <c r="R544" i="1" l="1"/>
  <c r="S544" i="1" s="1"/>
  <c r="Q545" i="1"/>
  <c r="I545" i="1"/>
  <c r="P544" i="1"/>
  <c r="O544" i="1"/>
  <c r="R545" i="1" l="1"/>
  <c r="S545" i="1" s="1"/>
  <c r="Q546" i="1"/>
  <c r="I546" i="1"/>
  <c r="P545" i="1"/>
  <c r="O545" i="1"/>
  <c r="R546" i="1" l="1"/>
  <c r="S546" i="1" s="1"/>
  <c r="Q547" i="1"/>
  <c r="I547" i="1"/>
  <c r="P546" i="1"/>
  <c r="O546" i="1"/>
  <c r="Q548" i="1" l="1"/>
  <c r="R547" i="1"/>
  <c r="S547" i="1" s="1"/>
  <c r="I548" i="1"/>
  <c r="P547" i="1"/>
  <c r="O547" i="1"/>
  <c r="R548" i="1" l="1"/>
  <c r="S548" i="1" s="1"/>
  <c r="Q549" i="1"/>
  <c r="I549" i="1"/>
  <c r="P548" i="1"/>
  <c r="O548" i="1"/>
  <c r="Q550" i="1" l="1"/>
  <c r="R549" i="1"/>
  <c r="S549" i="1" s="1"/>
  <c r="P549" i="1"/>
  <c r="O549" i="1"/>
  <c r="I550" i="1"/>
  <c r="Q551" i="1" l="1"/>
  <c r="R550" i="1"/>
  <c r="S550" i="1" s="1"/>
  <c r="I551" i="1"/>
  <c r="P550" i="1"/>
  <c r="O550" i="1"/>
  <c r="R551" i="1" l="1"/>
  <c r="S551" i="1" s="1"/>
  <c r="Q552" i="1"/>
  <c r="P551" i="1"/>
  <c r="O551" i="1"/>
  <c r="I552" i="1"/>
  <c r="R552" i="1" l="1"/>
  <c r="S552" i="1" s="1"/>
  <c r="Q553" i="1"/>
  <c r="I553" i="1"/>
  <c r="P552" i="1"/>
  <c r="O552" i="1"/>
  <c r="R553" i="1" l="1"/>
  <c r="S553" i="1" s="1"/>
  <c r="Q554" i="1"/>
  <c r="I554" i="1"/>
  <c r="P553" i="1"/>
  <c r="O553" i="1"/>
  <c r="Q555" i="1" l="1"/>
  <c r="R554" i="1"/>
  <c r="S554" i="1" s="1"/>
  <c r="I555" i="1"/>
  <c r="O554" i="1"/>
  <c r="P554" i="1"/>
  <c r="Q556" i="1" l="1"/>
  <c r="R555" i="1"/>
  <c r="S555" i="1" s="1"/>
  <c r="I556" i="1"/>
  <c r="P555" i="1"/>
  <c r="O555" i="1"/>
  <c r="Q557" i="1" l="1"/>
  <c r="R556" i="1"/>
  <c r="S556" i="1" s="1"/>
  <c r="I557" i="1"/>
  <c r="P556" i="1"/>
  <c r="O556" i="1"/>
  <c r="R557" i="1" l="1"/>
  <c r="S557" i="1" s="1"/>
  <c r="Q558" i="1"/>
  <c r="I558" i="1"/>
  <c r="P557" i="1"/>
  <c r="O557" i="1"/>
  <c r="R558" i="1" l="1"/>
  <c r="S558" i="1" s="1"/>
  <c r="Q559" i="1"/>
  <c r="I559" i="1"/>
  <c r="P558" i="1"/>
  <c r="O558" i="1"/>
  <c r="R559" i="1" l="1"/>
  <c r="S559" i="1" s="1"/>
  <c r="Q560" i="1"/>
  <c r="I560" i="1"/>
  <c r="P559" i="1"/>
  <c r="O559" i="1"/>
  <c r="Q561" i="1" l="1"/>
  <c r="R560" i="1"/>
  <c r="S560" i="1" s="1"/>
  <c r="I561" i="1"/>
  <c r="P560" i="1"/>
  <c r="O560" i="1"/>
  <c r="R561" i="1" l="1"/>
  <c r="S561" i="1" s="1"/>
  <c r="Q562" i="1"/>
  <c r="I562" i="1"/>
  <c r="P561" i="1"/>
  <c r="O561" i="1"/>
  <c r="Q563" i="1" l="1"/>
  <c r="R562" i="1"/>
  <c r="S562" i="1" s="1"/>
  <c r="I563" i="1"/>
  <c r="P562" i="1"/>
  <c r="O562" i="1"/>
  <c r="Q564" i="1" l="1"/>
  <c r="R563" i="1"/>
  <c r="S563" i="1" s="1"/>
  <c r="I564" i="1"/>
  <c r="P563" i="1"/>
  <c r="O563" i="1"/>
  <c r="Q565" i="1" l="1"/>
  <c r="R564" i="1"/>
  <c r="S564" i="1" s="1"/>
  <c r="I565" i="1"/>
  <c r="P564" i="1"/>
  <c r="O564" i="1"/>
  <c r="Q566" i="1" l="1"/>
  <c r="R565" i="1"/>
  <c r="S565" i="1" s="1"/>
  <c r="I566" i="1"/>
  <c r="P565" i="1"/>
  <c r="O565" i="1"/>
  <c r="Q567" i="1" l="1"/>
  <c r="R566" i="1"/>
  <c r="S566" i="1" s="1"/>
  <c r="I567" i="1"/>
  <c r="P566" i="1"/>
  <c r="O566" i="1"/>
  <c r="R567" i="1" l="1"/>
  <c r="S567" i="1" s="1"/>
  <c r="Q568" i="1"/>
  <c r="I568" i="1"/>
  <c r="P567" i="1"/>
  <c r="O567" i="1"/>
  <c r="Q569" i="1" l="1"/>
  <c r="R568" i="1"/>
  <c r="S568" i="1" s="1"/>
  <c r="I569" i="1"/>
  <c r="P568" i="1"/>
  <c r="O568" i="1"/>
  <c r="R569" i="1" l="1"/>
  <c r="S569" i="1" s="1"/>
  <c r="Q570" i="1"/>
  <c r="I570" i="1"/>
  <c r="P569" i="1"/>
  <c r="O569" i="1"/>
  <c r="R570" i="1" l="1"/>
  <c r="S570" i="1" s="1"/>
  <c r="Q571" i="1"/>
  <c r="I571" i="1"/>
  <c r="P570" i="1"/>
  <c r="O570" i="1"/>
  <c r="Q572" i="1" l="1"/>
  <c r="R571" i="1"/>
  <c r="S571" i="1" s="1"/>
  <c r="I572" i="1"/>
  <c r="P571" i="1"/>
  <c r="O571" i="1"/>
  <c r="R572" i="1" l="1"/>
  <c r="S572" i="1" s="1"/>
  <c r="Q573" i="1"/>
  <c r="I573" i="1"/>
  <c r="P572" i="1"/>
  <c r="O572" i="1"/>
  <c r="R573" i="1" l="1"/>
  <c r="S573" i="1" s="1"/>
  <c r="Q574" i="1"/>
  <c r="I574" i="1"/>
  <c r="P573" i="1"/>
  <c r="O573" i="1"/>
  <c r="R574" i="1" l="1"/>
  <c r="S574" i="1" s="1"/>
  <c r="Q575" i="1"/>
  <c r="I575" i="1"/>
  <c r="P574" i="1"/>
  <c r="O574" i="1"/>
  <c r="R575" i="1" l="1"/>
  <c r="S575" i="1" s="1"/>
  <c r="Q576" i="1"/>
  <c r="I576" i="1"/>
  <c r="P575" i="1"/>
  <c r="O575" i="1"/>
  <c r="R576" i="1" l="1"/>
  <c r="S576" i="1" s="1"/>
  <c r="Q577" i="1"/>
  <c r="I577" i="1"/>
  <c r="P576" i="1"/>
  <c r="O576" i="1"/>
  <c r="Q578" i="1" l="1"/>
  <c r="R577" i="1"/>
  <c r="S577" i="1" s="1"/>
  <c r="I578" i="1"/>
  <c r="P577" i="1"/>
  <c r="O577" i="1"/>
  <c r="R578" i="1" l="1"/>
  <c r="S578" i="1" s="1"/>
  <c r="Q579" i="1"/>
  <c r="I579" i="1"/>
  <c r="P578" i="1"/>
  <c r="O578" i="1"/>
  <c r="Q580" i="1" l="1"/>
  <c r="R579" i="1"/>
  <c r="S579" i="1" s="1"/>
  <c r="I580" i="1"/>
  <c r="P579" i="1"/>
  <c r="O579" i="1"/>
  <c r="R580" i="1" l="1"/>
  <c r="S580" i="1" s="1"/>
  <c r="Q581" i="1"/>
  <c r="I581" i="1"/>
  <c r="P580" i="1"/>
  <c r="O580" i="1"/>
  <c r="Q582" i="1" l="1"/>
  <c r="R581" i="1"/>
  <c r="S581" i="1" s="1"/>
  <c r="I582" i="1"/>
  <c r="O581" i="1"/>
  <c r="P581" i="1"/>
  <c r="Q583" i="1" l="1"/>
  <c r="R582" i="1"/>
  <c r="S582" i="1" s="1"/>
  <c r="I583" i="1"/>
  <c r="P582" i="1"/>
  <c r="O582" i="1"/>
  <c r="R583" i="1" l="1"/>
  <c r="S583" i="1" s="1"/>
  <c r="Q584" i="1"/>
  <c r="I584" i="1"/>
  <c r="P583" i="1"/>
  <c r="O583" i="1"/>
  <c r="R584" i="1" l="1"/>
  <c r="S584" i="1" s="1"/>
  <c r="Q585" i="1"/>
  <c r="I585" i="1"/>
  <c r="P584" i="1"/>
  <c r="O584" i="1"/>
  <c r="R585" i="1" l="1"/>
  <c r="S585" i="1" s="1"/>
  <c r="Q586" i="1"/>
  <c r="I586" i="1"/>
  <c r="P585" i="1"/>
  <c r="O585" i="1"/>
  <c r="R586" i="1" l="1"/>
  <c r="S586" i="1" s="1"/>
  <c r="Q587" i="1"/>
  <c r="I587" i="1"/>
  <c r="P586" i="1"/>
  <c r="O586" i="1"/>
  <c r="R587" i="1" l="1"/>
  <c r="S587" i="1" s="1"/>
  <c r="Q588" i="1"/>
  <c r="I588" i="1"/>
  <c r="P587" i="1"/>
  <c r="O587" i="1"/>
  <c r="R588" i="1" l="1"/>
  <c r="S588" i="1" s="1"/>
  <c r="Q589" i="1"/>
  <c r="I589" i="1"/>
  <c r="P588" i="1"/>
  <c r="O588" i="1"/>
  <c r="R589" i="1" l="1"/>
  <c r="S589" i="1" s="1"/>
  <c r="Q590" i="1"/>
  <c r="I590" i="1"/>
  <c r="P589" i="1"/>
  <c r="O589" i="1"/>
  <c r="R590" i="1" l="1"/>
  <c r="S590" i="1" s="1"/>
  <c r="Q591" i="1"/>
  <c r="I591" i="1"/>
  <c r="P590" i="1"/>
  <c r="O590" i="1"/>
  <c r="R591" i="1" l="1"/>
  <c r="S591" i="1" s="1"/>
  <c r="Q592" i="1"/>
  <c r="I592" i="1"/>
  <c r="P591" i="1"/>
  <c r="O591" i="1"/>
  <c r="R592" i="1" l="1"/>
  <c r="S592" i="1" s="1"/>
  <c r="Q593" i="1"/>
  <c r="I593" i="1"/>
  <c r="P592" i="1"/>
  <c r="O592" i="1"/>
  <c r="R593" i="1" l="1"/>
  <c r="S593" i="1" s="1"/>
  <c r="Q594" i="1"/>
  <c r="I594" i="1"/>
  <c r="P593" i="1"/>
  <c r="O593" i="1"/>
  <c r="R594" i="1" l="1"/>
  <c r="S594" i="1" s="1"/>
  <c r="Q595" i="1"/>
  <c r="I595" i="1"/>
  <c r="P594" i="1"/>
  <c r="O594" i="1"/>
  <c r="R595" i="1" l="1"/>
  <c r="S595" i="1" s="1"/>
  <c r="Q596" i="1"/>
  <c r="I596" i="1"/>
  <c r="P595" i="1"/>
  <c r="O595" i="1"/>
  <c r="R596" i="1" l="1"/>
  <c r="S596" i="1" s="1"/>
  <c r="Q597" i="1"/>
  <c r="I597" i="1"/>
  <c r="P596" i="1"/>
  <c r="O596" i="1"/>
  <c r="R597" i="1" l="1"/>
  <c r="S597" i="1" s="1"/>
  <c r="Q598" i="1"/>
  <c r="I598" i="1"/>
  <c r="P597" i="1"/>
  <c r="O597" i="1"/>
  <c r="R598" i="1" l="1"/>
  <c r="S598" i="1" s="1"/>
  <c r="Q599" i="1"/>
  <c r="I599" i="1"/>
  <c r="P598" i="1"/>
  <c r="O598" i="1"/>
  <c r="R599" i="1" l="1"/>
  <c r="S599" i="1" s="1"/>
  <c r="Q600" i="1"/>
  <c r="I600" i="1"/>
  <c r="P599" i="1"/>
  <c r="O599" i="1"/>
  <c r="R600" i="1" l="1"/>
  <c r="S600" i="1" s="1"/>
  <c r="Q601" i="1"/>
  <c r="I601" i="1"/>
  <c r="P600" i="1"/>
  <c r="O600" i="1"/>
  <c r="R601" i="1" l="1"/>
  <c r="S601" i="1" s="1"/>
  <c r="Q602" i="1"/>
  <c r="I602" i="1"/>
  <c r="P601" i="1"/>
  <c r="O601" i="1"/>
  <c r="R602" i="1" l="1"/>
  <c r="S602" i="1" s="1"/>
  <c r="Q603" i="1"/>
  <c r="I603" i="1"/>
  <c r="P602" i="1"/>
  <c r="O602" i="1"/>
  <c r="R603" i="1" l="1"/>
  <c r="S603" i="1" s="1"/>
  <c r="Q604" i="1"/>
  <c r="I604" i="1"/>
  <c r="P603" i="1"/>
  <c r="O603" i="1"/>
  <c r="R604" i="1" l="1"/>
  <c r="S604" i="1" s="1"/>
  <c r="Q605" i="1"/>
  <c r="I605" i="1"/>
  <c r="P604" i="1"/>
  <c r="O604" i="1"/>
  <c r="R605" i="1" l="1"/>
  <c r="S605" i="1" s="1"/>
  <c r="Q606" i="1"/>
  <c r="I606" i="1"/>
  <c r="P605" i="1"/>
  <c r="O605" i="1"/>
  <c r="R606" i="1" l="1"/>
  <c r="S606" i="1" s="1"/>
  <c r="Q607" i="1"/>
  <c r="I607" i="1"/>
  <c r="P606" i="1"/>
  <c r="O606" i="1"/>
  <c r="R607" i="1" l="1"/>
  <c r="S607" i="1" s="1"/>
  <c r="Q608" i="1"/>
  <c r="I608" i="1"/>
  <c r="P607" i="1"/>
  <c r="O607" i="1"/>
  <c r="R608" i="1" l="1"/>
  <c r="S608" i="1" s="1"/>
  <c r="Q609" i="1"/>
  <c r="I609" i="1"/>
  <c r="P608" i="1"/>
  <c r="O608" i="1"/>
  <c r="R609" i="1" l="1"/>
  <c r="S609" i="1" s="1"/>
  <c r="Q610" i="1"/>
  <c r="I610" i="1"/>
  <c r="P609" i="1"/>
  <c r="O609" i="1"/>
  <c r="R610" i="1" l="1"/>
  <c r="S610" i="1" s="1"/>
  <c r="Q611" i="1"/>
  <c r="I611" i="1"/>
  <c r="P610" i="1"/>
  <c r="O610" i="1"/>
  <c r="R611" i="1" l="1"/>
  <c r="S611" i="1" s="1"/>
  <c r="Q612" i="1"/>
  <c r="I612" i="1"/>
  <c r="P611" i="1"/>
  <c r="O611" i="1"/>
  <c r="R612" i="1" l="1"/>
  <c r="S612" i="1" s="1"/>
  <c r="Q613" i="1"/>
  <c r="I613" i="1"/>
  <c r="P612" i="1"/>
  <c r="O612" i="1"/>
  <c r="R613" i="1" l="1"/>
  <c r="S613" i="1" s="1"/>
  <c r="Q614" i="1"/>
  <c r="I614" i="1"/>
  <c r="P613" i="1"/>
  <c r="O613" i="1"/>
  <c r="R614" i="1" l="1"/>
  <c r="S614" i="1" s="1"/>
  <c r="Q615" i="1"/>
  <c r="I615" i="1"/>
  <c r="P614" i="1"/>
  <c r="O614" i="1"/>
  <c r="R615" i="1" l="1"/>
  <c r="S615" i="1" s="1"/>
  <c r="Q616" i="1"/>
  <c r="I616" i="1"/>
  <c r="P615" i="1"/>
  <c r="O615" i="1"/>
  <c r="R616" i="1" l="1"/>
  <c r="S616" i="1" s="1"/>
  <c r="Q617" i="1"/>
  <c r="I617" i="1"/>
  <c r="P616" i="1"/>
  <c r="O616" i="1"/>
  <c r="R617" i="1" l="1"/>
  <c r="S617" i="1" s="1"/>
  <c r="Q618" i="1"/>
  <c r="I618" i="1"/>
  <c r="P617" i="1"/>
  <c r="O617" i="1"/>
  <c r="R618" i="1" l="1"/>
  <c r="S618" i="1" s="1"/>
  <c r="Q619" i="1"/>
  <c r="I619" i="1"/>
  <c r="P618" i="1"/>
  <c r="O618" i="1"/>
  <c r="R619" i="1" l="1"/>
  <c r="S619" i="1" s="1"/>
  <c r="Q620" i="1"/>
  <c r="I620" i="1"/>
  <c r="P619" i="1"/>
  <c r="O619" i="1"/>
  <c r="R620" i="1" l="1"/>
  <c r="S620" i="1" s="1"/>
  <c r="Q621" i="1"/>
  <c r="I621" i="1"/>
  <c r="P620" i="1"/>
  <c r="O620" i="1"/>
  <c r="R621" i="1" l="1"/>
  <c r="S621" i="1" s="1"/>
  <c r="Q622" i="1"/>
  <c r="I622" i="1"/>
  <c r="P621" i="1"/>
  <c r="O621" i="1"/>
  <c r="R622" i="1" l="1"/>
  <c r="S622" i="1" s="1"/>
  <c r="Q623" i="1"/>
  <c r="I623" i="1"/>
  <c r="P622" i="1"/>
  <c r="O622" i="1"/>
  <c r="R623" i="1" l="1"/>
  <c r="S623" i="1" s="1"/>
  <c r="Q624" i="1"/>
  <c r="I624" i="1"/>
  <c r="P623" i="1"/>
  <c r="O623" i="1"/>
  <c r="R624" i="1" l="1"/>
  <c r="S624" i="1" s="1"/>
  <c r="Q625" i="1"/>
  <c r="I625" i="1"/>
  <c r="P624" i="1"/>
  <c r="O624" i="1"/>
  <c r="R625" i="1" l="1"/>
  <c r="S625" i="1" s="1"/>
  <c r="Q626" i="1"/>
  <c r="I626" i="1"/>
  <c r="P625" i="1"/>
  <c r="O625" i="1"/>
  <c r="R626" i="1" l="1"/>
  <c r="S626" i="1" s="1"/>
  <c r="Q627" i="1"/>
  <c r="I627" i="1"/>
  <c r="P626" i="1"/>
  <c r="O626" i="1"/>
  <c r="R627" i="1" l="1"/>
  <c r="S627" i="1" s="1"/>
  <c r="Q628" i="1"/>
  <c r="I628" i="1"/>
  <c r="P627" i="1"/>
  <c r="O627" i="1"/>
  <c r="R628" i="1" l="1"/>
  <c r="S628" i="1" s="1"/>
  <c r="Q629" i="1"/>
  <c r="I629" i="1"/>
  <c r="P628" i="1"/>
  <c r="O628" i="1"/>
  <c r="R629" i="1" l="1"/>
  <c r="S629" i="1" s="1"/>
  <c r="Q630" i="1"/>
  <c r="I630" i="1"/>
  <c r="P629" i="1"/>
  <c r="O629" i="1"/>
  <c r="R630" i="1" l="1"/>
  <c r="S630" i="1" s="1"/>
  <c r="Q631" i="1"/>
  <c r="I631" i="1"/>
  <c r="P630" i="1"/>
  <c r="O630" i="1"/>
  <c r="R631" i="1" l="1"/>
  <c r="S631" i="1" s="1"/>
  <c r="Q632" i="1"/>
  <c r="I632" i="1"/>
  <c r="P631" i="1"/>
  <c r="O631" i="1"/>
  <c r="R632" i="1" l="1"/>
  <c r="S632" i="1" s="1"/>
  <c r="Q633" i="1"/>
  <c r="I633" i="1"/>
  <c r="P632" i="1"/>
  <c r="O632" i="1"/>
  <c r="R633" i="1" l="1"/>
  <c r="S633" i="1" s="1"/>
  <c r="Q634" i="1"/>
  <c r="I634" i="1"/>
  <c r="P633" i="1"/>
  <c r="O633" i="1"/>
  <c r="R634" i="1" l="1"/>
  <c r="S634" i="1" s="1"/>
  <c r="Q635" i="1"/>
  <c r="I635" i="1"/>
  <c r="P634" i="1"/>
  <c r="O634" i="1"/>
  <c r="R635" i="1" l="1"/>
  <c r="S635" i="1" s="1"/>
  <c r="Q636" i="1"/>
  <c r="I636" i="1"/>
  <c r="P635" i="1"/>
  <c r="O635" i="1"/>
  <c r="R636" i="1" l="1"/>
  <c r="S636" i="1" s="1"/>
  <c r="Q637" i="1"/>
  <c r="I637" i="1"/>
  <c r="P636" i="1"/>
  <c r="O636" i="1"/>
  <c r="R637" i="1" l="1"/>
  <c r="S637" i="1" s="1"/>
  <c r="Q638" i="1"/>
  <c r="I638" i="1"/>
  <c r="P637" i="1"/>
  <c r="O637" i="1"/>
  <c r="R638" i="1" l="1"/>
  <c r="S638" i="1" s="1"/>
  <c r="Q639" i="1"/>
  <c r="I639" i="1"/>
  <c r="P638" i="1"/>
  <c r="O638" i="1"/>
  <c r="R639" i="1" l="1"/>
  <c r="S639" i="1" s="1"/>
  <c r="Q640" i="1"/>
  <c r="I640" i="1"/>
  <c r="P639" i="1"/>
  <c r="O639" i="1"/>
  <c r="R640" i="1" l="1"/>
  <c r="S640" i="1" s="1"/>
  <c r="Q641" i="1"/>
  <c r="I641" i="1"/>
  <c r="P640" i="1"/>
  <c r="O640" i="1"/>
  <c r="R641" i="1" l="1"/>
  <c r="S641" i="1" s="1"/>
  <c r="Q642" i="1"/>
  <c r="I642" i="1"/>
  <c r="P641" i="1"/>
  <c r="O641" i="1"/>
  <c r="R642" i="1" l="1"/>
  <c r="S642" i="1" s="1"/>
  <c r="Q643" i="1"/>
  <c r="I643" i="1"/>
  <c r="P642" i="1"/>
  <c r="O642" i="1"/>
  <c r="R643" i="1" l="1"/>
  <c r="S643" i="1" s="1"/>
  <c r="Q644" i="1"/>
  <c r="I644" i="1"/>
  <c r="P643" i="1"/>
  <c r="O643" i="1"/>
  <c r="R644" i="1" l="1"/>
  <c r="S644" i="1" s="1"/>
  <c r="Q645" i="1"/>
  <c r="I645" i="1"/>
  <c r="P644" i="1"/>
  <c r="O644" i="1"/>
  <c r="R645" i="1" l="1"/>
  <c r="S645" i="1" s="1"/>
  <c r="Q646" i="1"/>
  <c r="I646" i="1"/>
  <c r="P645" i="1"/>
  <c r="O645" i="1"/>
  <c r="R646" i="1" l="1"/>
  <c r="S646" i="1" s="1"/>
  <c r="Q647" i="1"/>
  <c r="I647" i="1"/>
  <c r="P646" i="1"/>
  <c r="O646" i="1"/>
  <c r="R647" i="1" l="1"/>
  <c r="S647" i="1" s="1"/>
  <c r="Q648" i="1"/>
  <c r="I648" i="1"/>
  <c r="P647" i="1"/>
  <c r="O647" i="1"/>
  <c r="R648" i="1" l="1"/>
  <c r="S648" i="1" s="1"/>
  <c r="Q649" i="1"/>
  <c r="I649" i="1"/>
  <c r="P648" i="1"/>
  <c r="O648" i="1"/>
  <c r="R649" i="1" l="1"/>
  <c r="S649" i="1" s="1"/>
  <c r="Q650" i="1"/>
  <c r="I650" i="1"/>
  <c r="P649" i="1"/>
  <c r="O649" i="1"/>
  <c r="R650" i="1" l="1"/>
  <c r="S650" i="1" s="1"/>
  <c r="Q651" i="1"/>
  <c r="I651" i="1"/>
  <c r="P650" i="1"/>
  <c r="O650" i="1"/>
  <c r="R651" i="1" l="1"/>
  <c r="S651" i="1" s="1"/>
  <c r="Q652" i="1"/>
  <c r="I652" i="1"/>
  <c r="P651" i="1"/>
  <c r="O651" i="1"/>
  <c r="R652" i="1" l="1"/>
  <c r="S652" i="1" s="1"/>
  <c r="Q653" i="1"/>
  <c r="I653" i="1"/>
  <c r="P652" i="1"/>
  <c r="O652" i="1"/>
  <c r="R653" i="1" l="1"/>
  <c r="S653" i="1" s="1"/>
  <c r="Q654" i="1"/>
  <c r="I654" i="1"/>
  <c r="P653" i="1"/>
  <c r="O653" i="1"/>
  <c r="R654" i="1" l="1"/>
  <c r="S654" i="1" s="1"/>
  <c r="Q655" i="1"/>
  <c r="I655" i="1"/>
  <c r="P654" i="1"/>
  <c r="O654" i="1"/>
  <c r="R655" i="1" l="1"/>
  <c r="S655" i="1" s="1"/>
  <c r="Q656" i="1"/>
  <c r="I656" i="1"/>
  <c r="P655" i="1"/>
  <c r="O655" i="1"/>
  <c r="R656" i="1" l="1"/>
  <c r="S656" i="1" s="1"/>
  <c r="Q657" i="1"/>
  <c r="I657" i="1"/>
  <c r="P656" i="1"/>
  <c r="O656" i="1"/>
  <c r="R657" i="1" l="1"/>
  <c r="S657" i="1" s="1"/>
  <c r="Q658" i="1"/>
  <c r="I658" i="1"/>
  <c r="P657" i="1"/>
  <c r="O657" i="1"/>
  <c r="R658" i="1" l="1"/>
  <c r="S658" i="1" s="1"/>
  <c r="Q659" i="1"/>
  <c r="I659" i="1"/>
  <c r="P658" i="1"/>
  <c r="O658" i="1"/>
  <c r="R659" i="1" l="1"/>
  <c r="S659" i="1" s="1"/>
  <c r="Q660" i="1"/>
  <c r="I660" i="1"/>
  <c r="P659" i="1"/>
  <c r="O659" i="1"/>
  <c r="R660" i="1" l="1"/>
  <c r="S660" i="1" s="1"/>
  <c r="Q661" i="1"/>
  <c r="I661" i="1"/>
  <c r="P660" i="1"/>
  <c r="O660" i="1"/>
  <c r="R661" i="1" l="1"/>
  <c r="S661" i="1" s="1"/>
  <c r="Q662" i="1"/>
  <c r="I662" i="1"/>
  <c r="P661" i="1"/>
  <c r="O661" i="1"/>
  <c r="R662" i="1" l="1"/>
  <c r="S662" i="1" s="1"/>
  <c r="Q663" i="1"/>
  <c r="I663" i="1"/>
  <c r="P662" i="1"/>
  <c r="O662" i="1"/>
  <c r="R663" i="1" l="1"/>
  <c r="S663" i="1" s="1"/>
  <c r="Q664" i="1"/>
  <c r="I664" i="1"/>
  <c r="P663" i="1"/>
  <c r="O663" i="1"/>
  <c r="R664" i="1" l="1"/>
  <c r="S664" i="1" s="1"/>
  <c r="Q665" i="1"/>
  <c r="I665" i="1"/>
  <c r="P664" i="1"/>
  <c r="O664" i="1"/>
  <c r="R665" i="1" l="1"/>
  <c r="S665" i="1" s="1"/>
  <c r="Q666" i="1"/>
  <c r="I666" i="1"/>
  <c r="P665" i="1"/>
  <c r="O665" i="1"/>
  <c r="R666" i="1" l="1"/>
  <c r="S666" i="1" s="1"/>
  <c r="Q667" i="1"/>
  <c r="I667" i="1"/>
  <c r="P666" i="1"/>
  <c r="O666" i="1"/>
  <c r="R667" i="1" l="1"/>
  <c r="S667" i="1" s="1"/>
  <c r="Q668" i="1"/>
  <c r="I668" i="1"/>
  <c r="P667" i="1"/>
  <c r="O667" i="1"/>
  <c r="R668" i="1" l="1"/>
  <c r="S668" i="1" s="1"/>
  <c r="Q669" i="1"/>
  <c r="I669" i="1"/>
  <c r="P668" i="1"/>
  <c r="O668" i="1"/>
  <c r="R669" i="1" l="1"/>
  <c r="S669" i="1" s="1"/>
  <c r="Q670" i="1"/>
  <c r="I670" i="1"/>
  <c r="P669" i="1"/>
  <c r="O669" i="1"/>
  <c r="R670" i="1" l="1"/>
  <c r="S670" i="1" s="1"/>
  <c r="Q671" i="1"/>
  <c r="I671" i="1"/>
  <c r="P670" i="1"/>
  <c r="O670" i="1"/>
  <c r="R671" i="1" l="1"/>
  <c r="S671" i="1" s="1"/>
  <c r="Q672" i="1"/>
  <c r="I672" i="1"/>
  <c r="P671" i="1"/>
  <c r="O671" i="1"/>
  <c r="R672" i="1" l="1"/>
  <c r="S672" i="1" s="1"/>
  <c r="Q673" i="1"/>
  <c r="I673" i="1"/>
  <c r="P672" i="1"/>
  <c r="O672" i="1"/>
  <c r="R673" i="1" l="1"/>
  <c r="S673" i="1" s="1"/>
  <c r="Q674" i="1"/>
  <c r="I674" i="1"/>
  <c r="P673" i="1"/>
  <c r="O673" i="1"/>
  <c r="R674" i="1" l="1"/>
  <c r="S674" i="1" s="1"/>
  <c r="Q675" i="1"/>
  <c r="I675" i="1"/>
  <c r="P674" i="1"/>
  <c r="O674" i="1"/>
  <c r="R675" i="1" l="1"/>
  <c r="S675" i="1" s="1"/>
  <c r="Q676" i="1"/>
  <c r="I676" i="1"/>
  <c r="P675" i="1"/>
  <c r="O675" i="1"/>
  <c r="R676" i="1" l="1"/>
  <c r="S676" i="1" s="1"/>
  <c r="Q677" i="1"/>
  <c r="I677" i="1"/>
  <c r="P676" i="1"/>
  <c r="O676" i="1"/>
  <c r="R677" i="1" l="1"/>
  <c r="S677" i="1" s="1"/>
  <c r="Q678" i="1"/>
  <c r="I678" i="1"/>
  <c r="P677" i="1"/>
  <c r="O677" i="1"/>
  <c r="R678" i="1" l="1"/>
  <c r="S678" i="1" s="1"/>
  <c r="Q679" i="1"/>
  <c r="I679" i="1"/>
  <c r="P678" i="1"/>
  <c r="O678" i="1"/>
  <c r="R679" i="1" l="1"/>
  <c r="S679" i="1" s="1"/>
  <c r="Q680" i="1"/>
  <c r="I680" i="1"/>
  <c r="P679" i="1"/>
  <c r="O679" i="1"/>
  <c r="R680" i="1" l="1"/>
  <c r="S680" i="1" s="1"/>
  <c r="Q681" i="1"/>
  <c r="I681" i="1"/>
  <c r="P680" i="1"/>
  <c r="O680" i="1"/>
  <c r="R681" i="1" l="1"/>
  <c r="S681" i="1" s="1"/>
  <c r="Q682" i="1"/>
  <c r="I682" i="1"/>
  <c r="P681" i="1"/>
  <c r="O681" i="1"/>
  <c r="R682" i="1" l="1"/>
  <c r="S682" i="1" s="1"/>
  <c r="Q683" i="1"/>
  <c r="I683" i="1"/>
  <c r="P682" i="1"/>
  <c r="O682" i="1"/>
  <c r="R683" i="1" l="1"/>
  <c r="S683" i="1" s="1"/>
  <c r="Q684" i="1"/>
  <c r="I684" i="1"/>
  <c r="P683" i="1"/>
  <c r="O683" i="1"/>
  <c r="R684" i="1" l="1"/>
  <c r="S684" i="1" s="1"/>
  <c r="Q685" i="1"/>
  <c r="I685" i="1"/>
  <c r="P684" i="1"/>
  <c r="O684" i="1"/>
  <c r="R685" i="1" l="1"/>
  <c r="S685" i="1" s="1"/>
  <c r="Q686" i="1"/>
  <c r="I686" i="1"/>
  <c r="P685" i="1"/>
  <c r="O685" i="1"/>
  <c r="R686" i="1" l="1"/>
  <c r="S686" i="1" s="1"/>
  <c r="Q687" i="1"/>
  <c r="I687" i="1"/>
  <c r="P686" i="1"/>
  <c r="O686" i="1"/>
  <c r="R687" i="1" l="1"/>
  <c r="S687" i="1" s="1"/>
  <c r="Q688" i="1"/>
  <c r="I688" i="1"/>
  <c r="P687" i="1"/>
  <c r="O687" i="1"/>
  <c r="R688" i="1" l="1"/>
  <c r="S688" i="1" s="1"/>
  <c r="Q689" i="1"/>
  <c r="I689" i="1"/>
  <c r="P688" i="1"/>
  <c r="O688" i="1"/>
  <c r="R689" i="1" l="1"/>
  <c r="S689" i="1" s="1"/>
  <c r="Q690" i="1"/>
  <c r="I690" i="1"/>
  <c r="P689" i="1"/>
  <c r="O689" i="1"/>
  <c r="R690" i="1" l="1"/>
  <c r="S690" i="1" s="1"/>
  <c r="Q691" i="1"/>
  <c r="I691" i="1"/>
  <c r="P690" i="1"/>
  <c r="O690" i="1"/>
  <c r="R691" i="1" l="1"/>
  <c r="S691" i="1" s="1"/>
  <c r="Q692" i="1"/>
  <c r="I692" i="1"/>
  <c r="P691" i="1"/>
  <c r="O691" i="1"/>
  <c r="R692" i="1" l="1"/>
  <c r="S692" i="1" s="1"/>
  <c r="Q693" i="1"/>
  <c r="I693" i="1"/>
  <c r="P692" i="1"/>
  <c r="O692" i="1"/>
  <c r="R693" i="1" l="1"/>
  <c r="S693" i="1" s="1"/>
  <c r="Q694" i="1"/>
  <c r="I694" i="1"/>
  <c r="P693" i="1"/>
  <c r="O693" i="1"/>
  <c r="R694" i="1" l="1"/>
  <c r="S694" i="1" s="1"/>
  <c r="Q695" i="1"/>
  <c r="I695" i="1"/>
  <c r="P694" i="1"/>
  <c r="O694" i="1"/>
  <c r="R695" i="1" l="1"/>
  <c r="S695" i="1" s="1"/>
  <c r="Q696" i="1"/>
  <c r="I696" i="1"/>
  <c r="P695" i="1"/>
  <c r="O695" i="1"/>
  <c r="R696" i="1" l="1"/>
  <c r="S696" i="1" s="1"/>
  <c r="Q697" i="1"/>
  <c r="I697" i="1"/>
  <c r="P696" i="1"/>
  <c r="O696" i="1"/>
  <c r="R697" i="1" l="1"/>
  <c r="S697" i="1" s="1"/>
  <c r="Q698" i="1"/>
  <c r="I698" i="1"/>
  <c r="P697" i="1"/>
  <c r="O697" i="1"/>
  <c r="R698" i="1" l="1"/>
  <c r="S698" i="1" s="1"/>
  <c r="Q699" i="1"/>
  <c r="I699" i="1"/>
  <c r="P698" i="1"/>
  <c r="O698" i="1"/>
  <c r="R699" i="1" l="1"/>
  <c r="S699" i="1" s="1"/>
  <c r="Q700" i="1"/>
  <c r="I700" i="1"/>
  <c r="P699" i="1"/>
  <c r="O699" i="1"/>
  <c r="R700" i="1" l="1"/>
  <c r="S700" i="1" s="1"/>
  <c r="Q701" i="1"/>
  <c r="I701" i="1"/>
  <c r="P700" i="1"/>
  <c r="O700" i="1"/>
  <c r="R701" i="1" l="1"/>
  <c r="S701" i="1" s="1"/>
  <c r="Q702" i="1"/>
  <c r="I702" i="1"/>
  <c r="P701" i="1"/>
  <c r="O701" i="1"/>
  <c r="R702" i="1" l="1"/>
  <c r="S702" i="1" s="1"/>
  <c r="Q703" i="1"/>
  <c r="I703" i="1"/>
  <c r="O702" i="1"/>
  <c r="P702" i="1"/>
  <c r="R703" i="1" l="1"/>
  <c r="S703" i="1" s="1"/>
  <c r="Q704" i="1"/>
  <c r="I704" i="1"/>
  <c r="P703" i="1"/>
  <c r="O703" i="1"/>
  <c r="R704" i="1" l="1"/>
  <c r="S704" i="1" s="1"/>
  <c r="Q705" i="1"/>
  <c r="I705" i="1"/>
  <c r="P704" i="1"/>
  <c r="O704" i="1"/>
  <c r="R705" i="1" l="1"/>
  <c r="S705" i="1" s="1"/>
  <c r="Q706" i="1"/>
  <c r="I706" i="1"/>
  <c r="P705" i="1"/>
  <c r="O705" i="1"/>
  <c r="R706" i="1" l="1"/>
  <c r="S706" i="1" s="1"/>
  <c r="Q707" i="1"/>
  <c r="I707" i="1"/>
  <c r="P706" i="1"/>
  <c r="O706" i="1"/>
  <c r="R707" i="1" l="1"/>
  <c r="S707" i="1" s="1"/>
  <c r="Q708" i="1"/>
  <c r="I708" i="1"/>
  <c r="P707" i="1"/>
  <c r="O707" i="1"/>
  <c r="R708" i="1" l="1"/>
  <c r="S708" i="1" s="1"/>
  <c r="Q709" i="1"/>
  <c r="I709" i="1"/>
  <c r="P708" i="1"/>
  <c r="O708" i="1"/>
  <c r="R709" i="1" l="1"/>
  <c r="S709" i="1" s="1"/>
  <c r="Q710" i="1"/>
  <c r="I710" i="1"/>
  <c r="P709" i="1"/>
  <c r="O709" i="1"/>
  <c r="R710" i="1" l="1"/>
  <c r="S710" i="1" s="1"/>
  <c r="Q711" i="1"/>
  <c r="I711" i="1"/>
  <c r="P710" i="1"/>
  <c r="O710" i="1"/>
  <c r="R711" i="1" l="1"/>
  <c r="S711" i="1" s="1"/>
  <c r="Q712" i="1"/>
  <c r="I712" i="1"/>
  <c r="P711" i="1"/>
  <c r="O711" i="1"/>
  <c r="R712" i="1" l="1"/>
  <c r="S712" i="1" s="1"/>
  <c r="Q713" i="1"/>
  <c r="I713" i="1"/>
  <c r="P712" i="1"/>
  <c r="O712" i="1"/>
  <c r="R713" i="1" l="1"/>
  <c r="S713" i="1" s="1"/>
  <c r="Q714" i="1"/>
  <c r="I714" i="1"/>
  <c r="P713" i="1"/>
  <c r="O713" i="1"/>
  <c r="R714" i="1" l="1"/>
  <c r="S714" i="1" s="1"/>
  <c r="Q715" i="1"/>
  <c r="I715" i="1"/>
  <c r="P714" i="1"/>
  <c r="O714" i="1"/>
  <c r="R715" i="1" l="1"/>
  <c r="S715" i="1" s="1"/>
  <c r="Q716" i="1"/>
  <c r="I716" i="1"/>
  <c r="P715" i="1"/>
  <c r="O715" i="1"/>
  <c r="R716" i="1" l="1"/>
  <c r="S716" i="1" s="1"/>
  <c r="Q717" i="1"/>
  <c r="I717" i="1"/>
  <c r="P716" i="1"/>
  <c r="O716" i="1"/>
  <c r="R717" i="1" l="1"/>
  <c r="S717" i="1" s="1"/>
  <c r="Q718" i="1"/>
  <c r="I718" i="1"/>
  <c r="P717" i="1"/>
  <c r="O717" i="1"/>
  <c r="R718" i="1" l="1"/>
  <c r="S718" i="1" s="1"/>
  <c r="Q719" i="1"/>
  <c r="I719" i="1"/>
  <c r="P718" i="1"/>
  <c r="O718" i="1"/>
  <c r="R719" i="1" l="1"/>
  <c r="S719" i="1" s="1"/>
  <c r="Q720" i="1"/>
  <c r="I720" i="1"/>
  <c r="P719" i="1"/>
  <c r="O719" i="1"/>
  <c r="R720" i="1" l="1"/>
  <c r="S720" i="1" s="1"/>
  <c r="Q721" i="1"/>
  <c r="I721" i="1"/>
  <c r="P720" i="1"/>
  <c r="O720" i="1"/>
  <c r="R721" i="1" l="1"/>
  <c r="S721" i="1" s="1"/>
  <c r="Q722" i="1"/>
  <c r="I722" i="1"/>
  <c r="P721" i="1"/>
  <c r="O721" i="1"/>
  <c r="R722" i="1" l="1"/>
  <c r="S722" i="1" s="1"/>
  <c r="Q723" i="1"/>
  <c r="I723" i="1"/>
  <c r="P722" i="1"/>
  <c r="O722" i="1"/>
  <c r="R723" i="1" l="1"/>
  <c r="S723" i="1" s="1"/>
  <c r="Q724" i="1"/>
  <c r="I724" i="1"/>
  <c r="P723" i="1"/>
  <c r="O723" i="1"/>
  <c r="R724" i="1" l="1"/>
  <c r="S724" i="1" s="1"/>
  <c r="Q725" i="1"/>
  <c r="I725" i="1"/>
  <c r="P724" i="1"/>
  <c r="O724" i="1"/>
  <c r="R725" i="1" l="1"/>
  <c r="S725" i="1" s="1"/>
  <c r="Q726" i="1"/>
  <c r="I726" i="1"/>
  <c r="P725" i="1"/>
  <c r="O725" i="1"/>
  <c r="R726" i="1" l="1"/>
  <c r="S726" i="1" s="1"/>
  <c r="Q727" i="1"/>
  <c r="I727" i="1"/>
  <c r="P726" i="1"/>
  <c r="O726" i="1"/>
  <c r="R727" i="1" l="1"/>
  <c r="S727" i="1" s="1"/>
  <c r="Q728" i="1"/>
  <c r="I728" i="1"/>
  <c r="P727" i="1"/>
  <c r="O727" i="1"/>
  <c r="R728" i="1" l="1"/>
  <c r="S728" i="1" s="1"/>
  <c r="Q729" i="1"/>
  <c r="I729" i="1"/>
  <c r="P728" i="1"/>
  <c r="O728" i="1"/>
  <c r="R729" i="1" l="1"/>
  <c r="S729" i="1" s="1"/>
  <c r="Q730" i="1"/>
  <c r="I730" i="1"/>
  <c r="P729" i="1"/>
  <c r="O729" i="1"/>
  <c r="R730" i="1" l="1"/>
  <c r="S730" i="1" s="1"/>
  <c r="Q731" i="1"/>
  <c r="I731" i="1"/>
  <c r="P730" i="1"/>
  <c r="O730" i="1"/>
  <c r="R731" i="1" l="1"/>
  <c r="S731" i="1" s="1"/>
  <c r="Q732" i="1"/>
  <c r="I732" i="1"/>
  <c r="P731" i="1"/>
  <c r="O731" i="1"/>
  <c r="R732" i="1" l="1"/>
  <c r="S732" i="1" s="1"/>
  <c r="Q733" i="1"/>
  <c r="I733" i="1"/>
  <c r="P732" i="1"/>
  <c r="O732" i="1"/>
  <c r="R733" i="1" l="1"/>
  <c r="S733" i="1" s="1"/>
  <c r="Q734" i="1"/>
  <c r="I734" i="1"/>
  <c r="P733" i="1"/>
  <c r="O733" i="1"/>
  <c r="R734" i="1" l="1"/>
  <c r="S734" i="1" s="1"/>
  <c r="Q735" i="1"/>
  <c r="I735" i="1"/>
  <c r="P734" i="1"/>
  <c r="O734" i="1"/>
  <c r="R735" i="1" l="1"/>
  <c r="S735" i="1" s="1"/>
  <c r="Q736" i="1"/>
  <c r="I736" i="1"/>
  <c r="P735" i="1"/>
  <c r="O735" i="1"/>
  <c r="R736" i="1" l="1"/>
  <c r="S736" i="1" s="1"/>
  <c r="Q737" i="1"/>
  <c r="I737" i="1"/>
  <c r="P736" i="1"/>
  <c r="O736" i="1"/>
  <c r="R737" i="1" l="1"/>
  <c r="S737" i="1" s="1"/>
  <c r="Q738" i="1"/>
  <c r="I738" i="1"/>
  <c r="P737" i="1"/>
  <c r="O737" i="1"/>
  <c r="R738" i="1" l="1"/>
  <c r="S738" i="1" s="1"/>
  <c r="Q739" i="1"/>
  <c r="I739" i="1"/>
  <c r="P738" i="1"/>
  <c r="O738" i="1"/>
  <c r="R739" i="1" l="1"/>
  <c r="S739" i="1" s="1"/>
  <c r="Q740" i="1"/>
  <c r="I740" i="1"/>
  <c r="P739" i="1"/>
  <c r="O739" i="1"/>
  <c r="R740" i="1" l="1"/>
  <c r="S740" i="1" s="1"/>
  <c r="Q741" i="1"/>
  <c r="I741" i="1"/>
  <c r="P740" i="1"/>
  <c r="O740" i="1"/>
  <c r="R741" i="1" l="1"/>
  <c r="S741" i="1" s="1"/>
  <c r="Q742" i="1"/>
  <c r="I742" i="1"/>
  <c r="P741" i="1"/>
  <c r="O741" i="1"/>
  <c r="R742" i="1" l="1"/>
  <c r="S742" i="1" s="1"/>
  <c r="Q743" i="1"/>
  <c r="I743" i="1"/>
  <c r="P742" i="1"/>
  <c r="O742" i="1"/>
  <c r="R743" i="1" l="1"/>
  <c r="S743" i="1" s="1"/>
  <c r="Q744" i="1"/>
  <c r="I744" i="1"/>
  <c r="P743" i="1"/>
  <c r="O743" i="1"/>
  <c r="R744" i="1" l="1"/>
  <c r="S744" i="1" s="1"/>
  <c r="Q745" i="1"/>
  <c r="I745" i="1"/>
  <c r="P744" i="1"/>
  <c r="O744" i="1"/>
  <c r="R745" i="1" l="1"/>
  <c r="S745" i="1" s="1"/>
  <c r="Q746" i="1"/>
  <c r="I746" i="1"/>
  <c r="P745" i="1"/>
  <c r="O745" i="1"/>
  <c r="R746" i="1" l="1"/>
  <c r="S746" i="1" s="1"/>
  <c r="Q747" i="1"/>
  <c r="I747" i="1"/>
  <c r="P746" i="1"/>
  <c r="O746" i="1"/>
  <c r="R747" i="1" l="1"/>
  <c r="S747" i="1" s="1"/>
  <c r="Q748" i="1"/>
  <c r="I748" i="1"/>
  <c r="P747" i="1"/>
  <c r="O747" i="1"/>
  <c r="R748" i="1" l="1"/>
  <c r="S748" i="1" s="1"/>
  <c r="Q749" i="1"/>
  <c r="I749" i="1"/>
  <c r="P748" i="1"/>
  <c r="O748" i="1"/>
  <c r="R749" i="1" l="1"/>
  <c r="S749" i="1" s="1"/>
  <c r="Q750" i="1"/>
  <c r="I750" i="1"/>
  <c r="P749" i="1"/>
  <c r="O749" i="1"/>
  <c r="R750" i="1" l="1"/>
  <c r="S750" i="1" s="1"/>
  <c r="Q751" i="1"/>
  <c r="I751" i="1"/>
  <c r="P750" i="1"/>
  <c r="O750" i="1"/>
  <c r="R751" i="1" l="1"/>
  <c r="S751" i="1" s="1"/>
  <c r="Q752" i="1"/>
  <c r="I752" i="1"/>
  <c r="P751" i="1"/>
  <c r="O751" i="1"/>
  <c r="R752" i="1" l="1"/>
  <c r="S752" i="1" s="1"/>
  <c r="Q753" i="1"/>
  <c r="I753" i="1"/>
  <c r="P752" i="1"/>
  <c r="O752" i="1"/>
  <c r="R753" i="1" l="1"/>
  <c r="S753" i="1" s="1"/>
  <c r="Q754" i="1"/>
  <c r="I754" i="1"/>
  <c r="P753" i="1"/>
  <c r="O753" i="1"/>
  <c r="R754" i="1" l="1"/>
  <c r="S754" i="1" s="1"/>
  <c r="Q755" i="1"/>
  <c r="I755" i="1"/>
  <c r="P754" i="1"/>
  <c r="O754" i="1"/>
  <c r="R755" i="1" l="1"/>
  <c r="S755" i="1" s="1"/>
  <c r="Q756" i="1"/>
  <c r="I756" i="1"/>
  <c r="P755" i="1"/>
  <c r="O755" i="1"/>
  <c r="R756" i="1" l="1"/>
  <c r="S756" i="1" s="1"/>
  <c r="Q757" i="1"/>
  <c r="I757" i="1"/>
  <c r="P756" i="1"/>
  <c r="O756" i="1"/>
  <c r="R757" i="1" l="1"/>
  <c r="S757" i="1" s="1"/>
  <c r="Q758" i="1"/>
  <c r="I758" i="1"/>
  <c r="P757" i="1"/>
  <c r="O757" i="1"/>
  <c r="R758" i="1" l="1"/>
  <c r="S758" i="1" s="1"/>
  <c r="Q759" i="1"/>
  <c r="I759" i="1"/>
  <c r="P758" i="1"/>
  <c r="O758" i="1"/>
  <c r="R759" i="1" l="1"/>
  <c r="S759" i="1" s="1"/>
  <c r="Q760" i="1"/>
  <c r="I760" i="1"/>
  <c r="P759" i="1"/>
  <c r="O759" i="1"/>
  <c r="R760" i="1" l="1"/>
  <c r="S760" i="1" s="1"/>
  <c r="Q761" i="1"/>
  <c r="I761" i="1"/>
  <c r="P760" i="1"/>
  <c r="O760" i="1"/>
  <c r="R761" i="1" l="1"/>
  <c r="S761" i="1" s="1"/>
  <c r="Q762" i="1"/>
  <c r="I762" i="1"/>
  <c r="P761" i="1"/>
  <c r="O761" i="1"/>
  <c r="R762" i="1" l="1"/>
  <c r="S762" i="1" s="1"/>
  <c r="Q763" i="1"/>
  <c r="I763" i="1"/>
  <c r="P762" i="1"/>
  <c r="O762" i="1"/>
  <c r="R763" i="1" l="1"/>
  <c r="S763" i="1" s="1"/>
  <c r="Q764" i="1"/>
  <c r="I764" i="1"/>
  <c r="P763" i="1"/>
  <c r="O763" i="1"/>
  <c r="R764" i="1" l="1"/>
  <c r="S764" i="1" s="1"/>
  <c r="Q765" i="1"/>
  <c r="I765" i="1"/>
  <c r="P764" i="1"/>
  <c r="O764" i="1"/>
  <c r="R765" i="1" l="1"/>
  <c r="S765" i="1" s="1"/>
  <c r="Q766" i="1"/>
  <c r="I766" i="1"/>
  <c r="P765" i="1"/>
  <c r="O765" i="1"/>
  <c r="R766" i="1" l="1"/>
  <c r="S766" i="1" s="1"/>
  <c r="Q767" i="1"/>
  <c r="I767" i="1"/>
  <c r="P766" i="1"/>
  <c r="O766" i="1"/>
  <c r="R767" i="1" l="1"/>
  <c r="S767" i="1" s="1"/>
  <c r="Q768" i="1"/>
  <c r="I768" i="1"/>
  <c r="P767" i="1"/>
  <c r="O767" i="1"/>
  <c r="R768" i="1" l="1"/>
  <c r="S768" i="1" s="1"/>
  <c r="Q769" i="1"/>
  <c r="I769" i="1"/>
  <c r="P768" i="1"/>
  <c r="O768" i="1"/>
  <c r="R769" i="1" l="1"/>
  <c r="S769" i="1" s="1"/>
  <c r="Q770" i="1"/>
  <c r="I770" i="1"/>
  <c r="P769" i="1"/>
  <c r="O769" i="1"/>
  <c r="R770" i="1" l="1"/>
  <c r="S770" i="1" s="1"/>
  <c r="Q771" i="1"/>
  <c r="I771" i="1"/>
  <c r="P770" i="1"/>
  <c r="O770" i="1"/>
  <c r="R771" i="1" l="1"/>
  <c r="S771" i="1" s="1"/>
  <c r="Q772" i="1"/>
  <c r="I772" i="1"/>
  <c r="P771" i="1"/>
  <c r="O771" i="1"/>
  <c r="R772" i="1" l="1"/>
  <c r="S772" i="1" s="1"/>
  <c r="Q773" i="1"/>
  <c r="I773" i="1"/>
  <c r="P772" i="1"/>
  <c r="O772" i="1"/>
  <c r="R773" i="1" l="1"/>
  <c r="S773" i="1" s="1"/>
  <c r="Q774" i="1"/>
  <c r="I774" i="1"/>
  <c r="P773" i="1"/>
  <c r="O773" i="1"/>
  <c r="R774" i="1" l="1"/>
  <c r="S774" i="1" s="1"/>
  <c r="Q775" i="1"/>
  <c r="I775" i="1"/>
  <c r="P774" i="1"/>
  <c r="O774" i="1"/>
  <c r="R775" i="1" l="1"/>
  <c r="S775" i="1" s="1"/>
  <c r="Q776" i="1"/>
  <c r="I776" i="1"/>
  <c r="P775" i="1"/>
  <c r="O775" i="1"/>
  <c r="R776" i="1" l="1"/>
  <c r="S776" i="1" s="1"/>
  <c r="Q777" i="1"/>
  <c r="I777" i="1"/>
  <c r="P776" i="1"/>
  <c r="O776" i="1"/>
  <c r="R777" i="1" l="1"/>
  <c r="S777" i="1" s="1"/>
  <c r="Q778" i="1"/>
  <c r="I778" i="1"/>
  <c r="P777" i="1"/>
  <c r="O777" i="1"/>
  <c r="R778" i="1" l="1"/>
  <c r="S778" i="1" s="1"/>
  <c r="Q779" i="1"/>
  <c r="I779" i="1"/>
  <c r="P778" i="1"/>
  <c r="O778" i="1"/>
  <c r="R779" i="1" l="1"/>
  <c r="S779" i="1" s="1"/>
  <c r="Q780" i="1"/>
  <c r="I780" i="1"/>
  <c r="P779" i="1"/>
  <c r="O779" i="1"/>
  <c r="Q781" i="1" l="1"/>
  <c r="R780" i="1"/>
  <c r="S780" i="1" s="1"/>
  <c r="I781" i="1"/>
  <c r="P780" i="1"/>
  <c r="O780" i="1"/>
  <c r="R781" i="1" l="1"/>
  <c r="S781" i="1" s="1"/>
  <c r="Q782" i="1"/>
  <c r="I782" i="1"/>
  <c r="P781" i="1"/>
  <c r="O781" i="1"/>
  <c r="R782" i="1" l="1"/>
  <c r="S782" i="1" s="1"/>
  <c r="Q783" i="1"/>
  <c r="I783" i="1"/>
  <c r="P782" i="1"/>
  <c r="O782" i="1"/>
  <c r="R783" i="1" l="1"/>
  <c r="S783" i="1" s="1"/>
  <c r="Q784" i="1"/>
  <c r="I784" i="1"/>
  <c r="P783" i="1"/>
  <c r="O783" i="1"/>
  <c r="R784" i="1" l="1"/>
  <c r="S784" i="1" s="1"/>
  <c r="Q785" i="1"/>
  <c r="I785" i="1"/>
  <c r="P784" i="1"/>
  <c r="O784" i="1"/>
  <c r="R785" i="1" l="1"/>
  <c r="S785" i="1" s="1"/>
  <c r="Q786" i="1"/>
  <c r="I786" i="1"/>
  <c r="P785" i="1"/>
  <c r="O785" i="1"/>
  <c r="R786" i="1" l="1"/>
  <c r="S786" i="1" s="1"/>
  <c r="Q787" i="1"/>
  <c r="I787" i="1"/>
  <c r="P786" i="1"/>
  <c r="O786" i="1"/>
  <c r="R787" i="1" l="1"/>
  <c r="S787" i="1" s="1"/>
  <c r="Q788" i="1"/>
  <c r="I788" i="1"/>
  <c r="P787" i="1"/>
  <c r="O787" i="1"/>
  <c r="R788" i="1" l="1"/>
  <c r="S788" i="1" s="1"/>
  <c r="Q789" i="1"/>
  <c r="I789" i="1"/>
  <c r="P788" i="1"/>
  <c r="O788" i="1"/>
  <c r="R789" i="1" l="1"/>
  <c r="S789" i="1" s="1"/>
  <c r="Q790" i="1"/>
  <c r="I790" i="1"/>
  <c r="P789" i="1"/>
  <c r="O789" i="1"/>
  <c r="R790" i="1" l="1"/>
  <c r="S790" i="1" s="1"/>
  <c r="Q791" i="1"/>
  <c r="I791" i="1"/>
  <c r="P790" i="1"/>
  <c r="O790" i="1"/>
  <c r="R791" i="1" l="1"/>
  <c r="S791" i="1" s="1"/>
  <c r="Q792" i="1"/>
  <c r="I792" i="1"/>
  <c r="P791" i="1"/>
  <c r="O791" i="1"/>
  <c r="R792" i="1" l="1"/>
  <c r="S792" i="1" s="1"/>
  <c r="Q793" i="1"/>
  <c r="I793" i="1"/>
  <c r="P792" i="1"/>
  <c r="O792" i="1"/>
  <c r="R793" i="1" l="1"/>
  <c r="S793" i="1" s="1"/>
  <c r="Q794" i="1"/>
  <c r="I794" i="1"/>
  <c r="P793" i="1"/>
  <c r="O793" i="1"/>
  <c r="R794" i="1" l="1"/>
  <c r="S794" i="1" s="1"/>
  <c r="Q795" i="1"/>
  <c r="I795" i="1"/>
  <c r="P794" i="1"/>
  <c r="O794" i="1"/>
  <c r="R795" i="1" l="1"/>
  <c r="S795" i="1" s="1"/>
  <c r="Q796" i="1"/>
  <c r="I796" i="1"/>
  <c r="P795" i="1"/>
  <c r="O795" i="1"/>
  <c r="R796" i="1" l="1"/>
  <c r="S796" i="1" s="1"/>
  <c r="Q797" i="1"/>
  <c r="I797" i="1"/>
  <c r="P796" i="1"/>
  <c r="O796" i="1"/>
  <c r="R797" i="1" l="1"/>
  <c r="S797" i="1" s="1"/>
  <c r="Q798" i="1"/>
  <c r="I798" i="1"/>
  <c r="P797" i="1"/>
  <c r="O797" i="1"/>
  <c r="R798" i="1" l="1"/>
  <c r="S798" i="1" s="1"/>
  <c r="Q799" i="1"/>
  <c r="I799" i="1"/>
  <c r="P798" i="1"/>
  <c r="O798" i="1"/>
  <c r="R799" i="1" l="1"/>
  <c r="S799" i="1" s="1"/>
  <c r="Q800" i="1"/>
  <c r="I800" i="1"/>
  <c r="P799" i="1"/>
  <c r="O799" i="1"/>
  <c r="R800" i="1" l="1"/>
  <c r="S800" i="1" s="1"/>
  <c r="Q801" i="1"/>
  <c r="I801" i="1"/>
  <c r="P800" i="1"/>
  <c r="O800" i="1"/>
  <c r="R801" i="1" l="1"/>
  <c r="S801" i="1" s="1"/>
  <c r="Q802" i="1"/>
  <c r="I802" i="1"/>
  <c r="P801" i="1"/>
  <c r="O801" i="1"/>
  <c r="R802" i="1" l="1"/>
  <c r="S802" i="1" s="1"/>
  <c r="Q803" i="1"/>
  <c r="I803" i="1"/>
  <c r="P802" i="1"/>
  <c r="O802" i="1"/>
  <c r="R803" i="1" l="1"/>
  <c r="S803" i="1" s="1"/>
  <c r="Q804" i="1"/>
  <c r="I804" i="1"/>
  <c r="P803" i="1"/>
  <c r="O803" i="1"/>
  <c r="R804" i="1" l="1"/>
  <c r="S804" i="1" s="1"/>
  <c r="Q805" i="1"/>
  <c r="I805" i="1"/>
  <c r="P804" i="1"/>
  <c r="O804" i="1"/>
  <c r="R805" i="1" l="1"/>
  <c r="S805" i="1" s="1"/>
  <c r="Q806" i="1"/>
  <c r="I806" i="1"/>
  <c r="P805" i="1"/>
  <c r="O805" i="1"/>
  <c r="R806" i="1" l="1"/>
  <c r="S806" i="1" s="1"/>
  <c r="Q807" i="1"/>
  <c r="I807" i="1"/>
  <c r="P806" i="1"/>
  <c r="O806" i="1"/>
  <c r="R807" i="1" l="1"/>
  <c r="S807" i="1" s="1"/>
  <c r="Q808" i="1"/>
  <c r="I808" i="1"/>
  <c r="P807" i="1"/>
  <c r="O807" i="1"/>
  <c r="R808" i="1" l="1"/>
  <c r="S808" i="1" s="1"/>
  <c r="Q809" i="1"/>
  <c r="I809" i="1"/>
  <c r="P808" i="1"/>
  <c r="O808" i="1"/>
  <c r="R809" i="1" l="1"/>
  <c r="S809" i="1" s="1"/>
  <c r="Q810" i="1"/>
  <c r="I810" i="1"/>
  <c r="P809" i="1"/>
  <c r="O809" i="1"/>
  <c r="R810" i="1" l="1"/>
  <c r="S810" i="1" s="1"/>
  <c r="Q811" i="1"/>
  <c r="I811" i="1"/>
  <c r="P810" i="1"/>
  <c r="O810" i="1"/>
  <c r="R811" i="1" l="1"/>
  <c r="S811" i="1" s="1"/>
  <c r="Q812" i="1"/>
  <c r="I812" i="1"/>
  <c r="P811" i="1"/>
  <c r="O811" i="1"/>
  <c r="R812" i="1" l="1"/>
  <c r="S812" i="1" s="1"/>
  <c r="Q813" i="1"/>
  <c r="I813" i="1"/>
  <c r="P812" i="1"/>
  <c r="O812" i="1"/>
  <c r="R813" i="1" l="1"/>
  <c r="S813" i="1" s="1"/>
  <c r="Q814" i="1"/>
  <c r="I814" i="1"/>
  <c r="P813" i="1"/>
  <c r="O813" i="1"/>
  <c r="R814" i="1" l="1"/>
  <c r="S814" i="1" s="1"/>
  <c r="Q815" i="1"/>
  <c r="I815" i="1"/>
  <c r="P814" i="1"/>
  <c r="O814" i="1"/>
  <c r="R815" i="1" l="1"/>
  <c r="S815" i="1" s="1"/>
  <c r="P815" i="1"/>
  <c r="O815" i="1"/>
</calcChain>
</file>

<file path=xl/sharedStrings.xml><?xml version="1.0" encoding="utf-8"?>
<sst xmlns="http://schemas.openxmlformats.org/spreadsheetml/2006/main" count="3977" uniqueCount="1674">
  <si>
    <t xml:space="preserve">Assumption model </t>
  </si>
  <si>
    <t>Scenario Selector</t>
  </si>
  <si>
    <t>Year</t>
  </si>
  <si>
    <t>Aggregates</t>
  </si>
  <si>
    <t>Asphalt</t>
  </si>
  <si>
    <t>Concrete</t>
  </si>
  <si>
    <t>Calcium</t>
  </si>
  <si>
    <t>Total Revenue</t>
  </si>
  <si>
    <t>REVENUE GROWTH ASSUMPTIONS BY ASPHALT  (by Segment, Multi-Stage)</t>
  </si>
  <si>
    <t>4,000.7</t>
  </si>
  <si>
    <t>777.8</t>
  </si>
  <si>
    <t>766.8</t>
  </si>
  <si>
    <t>6.9</t>
  </si>
  <si>
    <t>5,552.2</t>
  </si>
  <si>
    <t>Revenue Growth</t>
  </si>
  <si>
    <t>FY2026F</t>
  </si>
  <si>
    <t>FY2027F</t>
  </si>
  <si>
    <t>FY2028F</t>
  </si>
  <si>
    <t>FY2029F</t>
  </si>
  <si>
    <t>FY2030F</t>
  </si>
  <si>
    <t>4,731.1*</t>
  </si>
  <si>
    <t>990.2</t>
  </si>
  <si>
    <t>1,593.9</t>
  </si>
  <si>
    <t>included in Aggregates*</t>
  </si>
  <si>
    <t>7,315.2</t>
  </si>
  <si>
    <t>Active (auto-selected via CHOOSE)</t>
  </si>
  <si>
    <t>5,391.9*</t>
  </si>
  <si>
    <t>1,140.7</t>
  </si>
  <si>
    <t>1,249.3</t>
  </si>
  <si>
    <t>7,781.9</t>
  </si>
  <si>
    <t>Base Case</t>
  </si>
  <si>
    <t>5,518.6</t>
  </si>
  <si>
    <t>1,245.6</t>
  </si>
  <si>
    <t>653.5</t>
  </si>
  <si>
    <t>included in Aggregates</t>
  </si>
  <si>
    <t>7,417.7</t>
  </si>
  <si>
    <t>Downside Case</t>
  </si>
  <si>
    <t>5,800.1</t>
  </si>
  <si>
    <t>1,294.4</t>
  </si>
  <si>
    <t>846.6</t>
  </si>
  <si>
    <t>7,941.1</t>
  </si>
  <si>
    <t>Upside Case</t>
  </si>
  <si>
    <t>REVENUE GROWTH ASSUMPTIONS BY AGGREGATES  (by Segment, Multi-Stage)</t>
  </si>
  <si>
    <t>REVENUE GROWTH ASSUMPTIONS BY CONCRETE (by Segment, Multi-Stage)</t>
  </si>
  <si>
    <t xml:space="preserve">REVENUE BUILD BY SEGMENT  </t>
  </si>
  <si>
    <t>($mm unless noted)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</si>
  <si>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</si>
  <si>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</si>
  <si>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</si>
  <si>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</si>
  <si>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</si>
  <si>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</si>
  <si>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</si>
  <si>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</si>
  <si>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</si>
  <si>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</si>
  <si>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Aggregates Revenue</t>
  </si>
  <si>
    <t>Crushed stone, sand &amp; gravel</t>
  </si>
  <si>
    <t xml:space="preserve">  YoY Growth</t>
  </si>
  <si>
    <t>Vol × Price; infra + private</t>
  </si>
  <si>
    <t>Income Statement</t>
  </si>
  <si>
    <t>Asphalt Revenue</t>
  </si>
  <si>
    <t>Liquid asphalt + mix plant</t>
  </si>
  <si>
    <t>Revenue</t>
  </si>
  <si>
    <t>Linked to road-paving spend</t>
  </si>
  <si>
    <t>Cost of Revenues</t>
  </si>
  <si>
    <t>Concrete / RMX Revenue</t>
  </si>
  <si>
    <t>Ready-mix (divested FY2024)</t>
  </si>
  <si>
    <t>Gross Profit</t>
  </si>
  <si>
    <t>SG&amp;A</t>
  </si>
  <si>
    <t>Other Operating (Income) / Expense</t>
  </si>
  <si>
    <t>EBITDA</t>
  </si>
  <si>
    <t>EBIT</t>
  </si>
  <si>
    <t>Net Income</t>
  </si>
  <si>
    <t>INCOME STATEMENT</t>
  </si>
  <si>
    <t>MODEL ASSUMPTIONS</t>
  </si>
  <si>
    <t>FY2021</t>
  </si>
  <si>
    <t>FY2022</t>
  </si>
  <si>
    <t>FY2023</t>
  </si>
  <si>
    <t>FY2024</t>
  </si>
  <si>
    <t>FY2025</t>
  </si>
  <si>
    <t>Assumption</t>
  </si>
  <si>
    <t>Value</t>
  </si>
  <si>
    <t>Source</t>
  </si>
  <si>
    <t>Effective Tax Rate</t>
  </si>
  <si>
    <t>5Y avg actual (FY21-25)</t>
  </si>
  <si>
    <t>D&amp;A % of Revenue</t>
  </si>
  <si>
    <t>5Y avg actual (info only)</t>
  </si>
  <si>
    <t>% of Revenue</t>
  </si>
  <si>
    <t>SG&amp;A % of Revenue</t>
  </si>
  <si>
    <t>Capex % of Revenue</t>
  </si>
  <si>
    <t>Interest Rate on Debt</t>
  </si>
  <si>
    <t>Avg interest / opening debt (FY22-25)</t>
  </si>
  <si>
    <t>Total Debt ($M)</t>
  </si>
  <si>
    <t>FY2025 closing debt from debt schedule</t>
  </si>
  <si>
    <t>DSO (days)</t>
  </si>
  <si>
    <t>DIO (days)</t>
  </si>
  <si>
    <t>DPO (days)</t>
  </si>
  <si>
    <t>Terminal Growth Rate (g)</t>
  </si>
  <si>
    <t>Scenario-linked</t>
  </si>
  <si>
    <t>WACC</t>
  </si>
  <si>
    <t>From DCF-Summary</t>
  </si>
  <si>
    <t>Depreciation &amp; Amortization</t>
  </si>
  <si>
    <t>Cost of Equity (Ke)</t>
  </si>
  <si>
    <t>Risk-Free Rate (Rf)</t>
  </si>
  <si>
    <t>10Y UST</t>
  </si>
  <si>
    <t xml:space="preserve">  % EBITDA Margin</t>
  </si>
  <si>
    <t>Equity Beta (β)</t>
  </si>
  <si>
    <t>Regression</t>
  </si>
  <si>
    <t>Equity Risk Premium</t>
  </si>
  <si>
    <t>Market consensus</t>
  </si>
  <si>
    <t>Interest Expense</t>
  </si>
  <si>
    <t>Pre-Tax Cost of Debt (Kd)</t>
  </si>
  <si>
    <t>Weighted avg</t>
  </si>
  <si>
    <t>Other Non-Operating Items</t>
  </si>
  <si>
    <t>Net Debt ($M)</t>
  </si>
  <si>
    <t>From 6. Multiple Valuation</t>
  </si>
  <si>
    <t>Pre-Tax Income</t>
  </si>
  <si>
    <t>Shares Outstanding (M)</t>
  </si>
  <si>
    <t>Income Taxes</t>
  </si>
  <si>
    <t>Current Share Price ($)</t>
  </si>
  <si>
    <t xml:space="preserve">  Effective Tax Rate</t>
  </si>
  <si>
    <t xml:space="preserve">  % Net Margin</t>
  </si>
  <si>
    <t>BALANCE SHEET</t>
  </si>
  <si>
    <t>Cash &amp; ST Investments</t>
  </si>
  <si>
    <t>Accounts Receivable</t>
  </si>
  <si>
    <t>Inventory</t>
  </si>
  <si>
    <t>Asset Held for Sale</t>
  </si>
  <si>
    <t>-</t>
  </si>
  <si>
    <t>Other Current Assets</t>
  </si>
  <si>
    <t>Total Current Assets</t>
  </si>
  <si>
    <t>Long-Term Investment</t>
  </si>
  <si>
    <t>Net Property, Plant &amp; Equipment</t>
  </si>
  <si>
    <t>Goodwill</t>
  </si>
  <si>
    <t>Other Intangibles, net</t>
  </si>
  <si>
    <t>Other Non-Current Assets</t>
  </si>
  <si>
    <t>Total Assets</t>
  </si>
  <si>
    <t>Accounts Payable</t>
  </si>
  <si>
    <t>Accured Expenses - Short term</t>
  </si>
  <si>
    <t>Short-Term Debt</t>
  </si>
  <si>
    <t>Other Current Liabilities</t>
  </si>
  <si>
    <t>Operating Lease Liabilities - Current</t>
  </si>
  <si>
    <t>Total Current Liabilities</t>
  </si>
  <si>
    <t>Long-Term Debt</t>
  </si>
  <si>
    <t>Deferred Tax Liabilities</t>
  </si>
  <si>
    <t>Other Non-Current Liabilities</t>
  </si>
  <si>
    <t>Total Non-current Liabilities</t>
  </si>
  <si>
    <t>Total Liabilities</t>
  </si>
  <si>
    <t>Common Equity Attribute to Parent</t>
  </si>
  <si>
    <t>% EBITDA</t>
  </si>
  <si>
    <t>Minority Interest</t>
  </si>
  <si>
    <t>Total Shareholders' Equity</t>
  </si>
  <si>
    <t>Total Liabilities &amp; Equity</t>
  </si>
  <si>
    <t>Balance Check (TA − TL&amp;E)</t>
  </si>
  <si>
    <t xml:space="preserve">  Debt / Equity</t>
  </si>
  <si>
    <t>CASH FLOW STATEMENT</t>
  </si>
  <si>
    <t>CASH FROM OPERATIONS</t>
  </si>
  <si>
    <t xml:space="preserve">  (+) Depreciation &amp; Amortization</t>
  </si>
  <si>
    <t xml:space="preserve">  (−) Change in Net Working Capital</t>
  </si>
  <si>
    <t>Cash from Operations (CFO)</t>
  </si>
  <si>
    <t>CASH FROM INVESTING</t>
  </si>
  <si>
    <t xml:space="preserve">  (−) Capital Expenditures</t>
  </si>
  <si>
    <t xml:space="preserve">  (−) Acquisitions, net</t>
  </si>
  <si>
    <t>Cash from Investing (CFI)</t>
  </si>
  <si>
    <t>CASH FROM FINANCING</t>
  </si>
  <si>
    <t>Other Financing Activities</t>
  </si>
  <si>
    <t xml:space="preserve">  (−) Dividends Paid</t>
  </si>
  <si>
    <t>% net income</t>
  </si>
  <si>
    <t xml:space="preserve">  (−) Share Buybacks / (Issuances)</t>
  </si>
  <si>
    <t xml:space="preserve">  (+) Net Debt Issuance / (Repayment)</t>
  </si>
  <si>
    <t>Cash from Financing (CFF)</t>
  </si>
  <si>
    <t>Net Change in Cash</t>
  </si>
  <si>
    <t>Beginning Cash</t>
  </si>
  <si>
    <t>Ending Cash</t>
  </si>
  <si>
    <t>FREE CASH FLOW (FCFF)</t>
  </si>
  <si>
    <t xml:space="preserve">  % FCFF Margin</t>
  </si>
  <si>
    <t>FREE CASH FLOW TO EQUITY (FCFE)</t>
  </si>
  <si>
    <t>WORKING CAPITAL SCHEDULE</t>
  </si>
  <si>
    <t>EFFICIENCY DRIVERS</t>
  </si>
  <si>
    <t>Days Sales Outstanding (DSO)</t>
  </si>
  <si>
    <t>Days Inventory Outstanding (DIO)</t>
  </si>
  <si>
    <t>Days Payable Outstanding (DPO)</t>
  </si>
  <si>
    <t>Cash Conversion Cycle (days)</t>
  </si>
  <si>
    <t>WORKING CAPITAL ITEMS</t>
  </si>
  <si>
    <t>(−) Accounts Payable</t>
  </si>
  <si>
    <t>Net Working Capital</t>
  </si>
  <si>
    <t>Δ Net Working Capital</t>
  </si>
  <si>
    <t xml:space="preserve">  NWC % of Revenue</t>
  </si>
  <si>
    <t>PP&amp;E &amp; CAPEX SCHEDULE</t>
  </si>
  <si>
    <t>PP&amp;E, net (Opening)</t>
  </si>
  <si>
    <t xml:space="preserve">  (+) Capital Expenditures</t>
  </si>
  <si>
    <t xml:space="preserve">  (−) Depreciation &amp; Amortization</t>
  </si>
  <si>
    <t>Other PP&amp;E Movements</t>
  </si>
  <si>
    <t>PP&amp;E, net (Closing)</t>
  </si>
  <si>
    <t xml:space="preserve">  Capex / Revenue</t>
  </si>
  <si>
    <t xml:space="preserve">  D&amp;A / Revenue</t>
  </si>
  <si>
    <t xml:space="preserve">  Capex / D&amp;A</t>
  </si>
  <si>
    <t xml:space="preserve">Debt Schedule </t>
  </si>
  <si>
    <t>Debt Policy Assumptions</t>
  </si>
  <si>
    <t>Opening Total Debt</t>
  </si>
  <si>
    <t>Forecast Net Debt Issuance / (Repayment)</t>
  </si>
  <si>
    <t>Public-company base case: no forced debt sweep; debt held broadly stable</t>
  </si>
  <si>
    <t>Net Debt Issuance / (Repayment)</t>
  </si>
  <si>
    <t>Forecast Buyback Policy</t>
  </si>
  <si>
    <t>None forecast</t>
  </si>
  <si>
    <t>Conservative base case: dividends forecast, buybacks not explicitly modeled</t>
  </si>
  <si>
    <t>Total Debt (Closing)</t>
  </si>
  <si>
    <t>Short-Term Debt % of Total Debt</t>
  </si>
  <si>
    <t>Short-Term Debt Outstanding</t>
  </si>
  <si>
    <t>Long-Term Debt Outstanding</t>
  </si>
  <si>
    <t>p</t>
  </si>
  <si>
    <t>Sheet 1: Share Price Analysis</t>
  </si>
  <si>
    <t>General Information</t>
  </si>
  <si>
    <t>Market Stats</t>
  </si>
  <si>
    <t>Analysis Company</t>
  </si>
  <si>
    <t>Vulcan Materials (VMC)</t>
  </si>
  <si>
    <t>Current Price</t>
  </si>
  <si>
    <t>Ticker</t>
  </si>
  <si>
    <t>VMC.N</t>
  </si>
  <si>
    <t>Market Cap</t>
  </si>
  <si>
    <t>37,510,000,000</t>
  </si>
  <si>
    <t>Benchmark</t>
  </si>
  <si>
    <t>SPY500</t>
  </si>
  <si>
    <t>52W High</t>
  </si>
  <si>
    <t>Sector Benchmark</t>
  </si>
  <si>
    <t>XLB</t>
  </si>
  <si>
    <t>52W Low</t>
  </si>
  <si>
    <t>End date</t>
  </si>
  <si>
    <t>Average Daily Return</t>
  </si>
  <si>
    <t>Start date</t>
  </si>
  <si>
    <t>Risk Free Rate</t>
  </si>
  <si>
    <t>Trading days</t>
  </si>
  <si>
    <t>Alpha</t>
  </si>
  <si>
    <t>Metrics</t>
  </si>
  <si>
    <t>VMC</t>
  </si>
  <si>
    <t>SPY</t>
  </si>
  <si>
    <t>Annualized Return</t>
  </si>
  <si>
    <t>Annualized Volatility</t>
  </si>
  <si>
    <t>Total Return</t>
  </si>
  <si>
    <t>Beta vs SPY</t>
  </si>
  <si>
    <t>Beta vs XLB</t>
  </si>
  <si>
    <t>Sharpe Ratio</t>
  </si>
  <si>
    <t>Max Drawdown</t>
  </si>
  <si>
    <t>Date</t>
  </si>
  <si>
    <t>VMC Adj Close</t>
  </si>
  <si>
    <t>SPY Adj Close</t>
  </si>
  <si>
    <t>XLB Adj Close</t>
  </si>
  <si>
    <t>VMC % Change</t>
  </si>
  <si>
    <t>SPY &amp; Change</t>
  </si>
  <si>
    <t>XLB % Change</t>
  </si>
  <si>
    <t>Cummulative Return VMC</t>
  </si>
  <si>
    <t>Cummulative SPY return</t>
  </si>
  <si>
    <t>Cummulative Return XLB</t>
  </si>
  <si>
    <t>VMC Normalized</t>
  </si>
  <si>
    <t>SPY Normalized</t>
  </si>
  <si>
    <t>XLB Normalized</t>
  </si>
  <si>
    <t>VMC Relative vs SPY</t>
  </si>
  <si>
    <t>VMC Relative vs XLB</t>
  </si>
  <si>
    <t>VMC Wealth Index</t>
  </si>
  <si>
    <t>VMC Running Peak</t>
  </si>
  <si>
    <t>VMC Drawdown</t>
  </si>
  <si>
    <t>VMC EMA200</t>
  </si>
  <si>
    <t>VMC EMA50</t>
  </si>
  <si>
    <t>Sheet2_Financial_Analyst</t>
  </si>
  <si>
    <t>Horizental Analysis</t>
  </si>
  <si>
    <t>2022 YoY</t>
  </si>
  <si>
    <t>2023 YoY</t>
  </si>
  <si>
    <t>2024 YoY</t>
  </si>
  <si>
    <t>2025 YoY</t>
  </si>
  <si>
    <t>4Y CAGR</t>
  </si>
  <si>
    <t>Company</t>
  </si>
  <si>
    <t>MLM</t>
  </si>
  <si>
    <t>EXP</t>
  </si>
  <si>
    <t>CRH</t>
  </si>
  <si>
    <t>KNF</t>
  </si>
  <si>
    <t>CX</t>
  </si>
  <si>
    <t>EBITDA Margin</t>
  </si>
  <si>
    <t>Metric</t>
  </si>
  <si>
    <t>Not Meaningful</t>
  </si>
  <si>
    <t>EBIT Margin</t>
  </si>
  <si>
    <t>Net Margin</t>
  </si>
  <si>
    <t>Debt/Equity</t>
  </si>
  <si>
    <t>Balance Sheet</t>
  </si>
  <si>
    <t>Debt/Assets</t>
  </si>
  <si>
    <t>Interest Coverage</t>
  </si>
  <si>
    <t>Receivables</t>
  </si>
  <si>
    <t>Current Assets</t>
  </si>
  <si>
    <t>PP&amp;E, net</t>
  </si>
  <si>
    <t>Payables</t>
  </si>
  <si>
    <t>Current Liabilities</t>
  </si>
  <si>
    <t>Total Debt</t>
  </si>
  <si>
    <t>Total Equity</t>
  </si>
  <si>
    <t>Working Capital</t>
  </si>
  <si>
    <t>Cash Flow</t>
  </si>
  <si>
    <t>Operating Cash Flow</t>
  </si>
  <si>
    <t>Capital Expenditures</t>
  </si>
  <si>
    <t>Free Cash Flow</t>
  </si>
  <si>
    <t xml:space="preserve">Vertical Analysis </t>
  </si>
  <si>
    <t>Income Staetement ( % of Revenue)</t>
  </si>
  <si>
    <t>Peer Vertical Analysis (FY2025)</t>
  </si>
  <si>
    <t>Metrics / Year</t>
  </si>
  <si>
    <t>Net Income Margin</t>
  </si>
  <si>
    <t>Ratio Analysis</t>
  </si>
  <si>
    <t>Y2025</t>
  </si>
  <si>
    <t>Median</t>
  </si>
  <si>
    <t>VMC Rank</t>
  </si>
  <si>
    <t xml:space="preserve">Liquidity </t>
  </si>
  <si>
    <t>FY Mar-25</t>
  </si>
  <si>
    <t>Current Ratio</t>
  </si>
  <si>
    <t>Quick Ratio</t>
  </si>
  <si>
    <t>Cash Ratio</t>
  </si>
  <si>
    <t>Operating Cash Flow Ratio</t>
  </si>
  <si>
    <t>Profitability</t>
  </si>
  <si>
    <t>Net Profit Margin</t>
  </si>
  <si>
    <t>Operating Profit Margin</t>
  </si>
  <si>
    <t>ROIC</t>
  </si>
  <si>
    <t>ROA</t>
  </si>
  <si>
    <t>ROE</t>
  </si>
  <si>
    <t>Solvency</t>
  </si>
  <si>
    <t xml:space="preserve">Debt-to-Equity Ratio </t>
  </si>
  <si>
    <t>Debt-to-Asset Ratio</t>
  </si>
  <si>
    <t>Debt-to-Capital</t>
  </si>
  <si>
    <t xml:space="preserve">Interest Coverage Ratio </t>
  </si>
  <si>
    <t>Efficiency</t>
  </si>
  <si>
    <t>Asset Turnover</t>
  </si>
  <si>
    <t>Fixed Asset Turnover</t>
  </si>
  <si>
    <t>Receivables Days</t>
  </si>
  <si>
    <t>Inventory Days</t>
  </si>
  <si>
    <t>Payable Days</t>
  </si>
  <si>
    <t>Sheet 3 – Credit Analysis | Vulcan Materials Company (VMC)</t>
  </si>
  <si>
    <t>1. CREDIT OVERVIEW</t>
  </si>
  <si>
    <t>Assessment</t>
  </si>
  <si>
    <t>Rating</t>
  </si>
  <si>
    <t>Score</t>
  </si>
  <si>
    <t>Scale</t>
  </si>
  <si>
    <t>Justification</t>
  </si>
  <si>
    <t>Business Risk</t>
  </si>
  <si>
    <t>Low</t>
  </si>
  <si>
    <t>1–5</t>
  </si>
  <si>
    <t>Dominant #2 position in US aggregates; irreplaceable, permitted reserves; long asset life; essential-use product with no substitutes</t>
  </si>
  <si>
    <t>Financial Risk</t>
  </si>
  <si>
    <t>Low-Moderate</t>
  </si>
  <si>
    <t>Debt/EBITDA 1.9x; Net Debt/EBITDA 1.8x; EBITDA/Interest 9.5x; CFO/Debt 41.5% — well within IG thresholds</t>
  </si>
  <si>
    <t>Liquidity Risk</t>
  </si>
  <si>
    <t>Strong</t>
  </si>
  <si>
    <t>Current Ratio 2.7x; Quick Ratio 2.0x; $183mm cash + $1.6B undrawn revolver; minimal near-term maturities</t>
  </si>
  <si>
    <t>Cyclicality</t>
  </si>
  <si>
    <t>Moderate</t>
  </si>
  <si>
    <t>Construction-driven demand is cyclical, but mitigated by infrastructure/public spending and pricing power</t>
  </si>
  <si>
    <t>Industry Position</t>
  </si>
  <si>
    <t>Strong - #2 US Aggregates</t>
  </si>
  <si>
    <t>#2 US aggregates producer; 28.7% EBITDA margin (above median); vertically integrated operations across 25+ states</t>
  </si>
  <si>
    <t>Overall Credit View</t>
  </si>
  <si>
    <t>Investment Grade</t>
  </si>
  <si>
    <t>Avg: 1.8</t>
  </si>
  <si>
    <t>IG: ≤ 2.5</t>
  </si>
  <si>
    <t>Composite score supports strong Investment Grade profile (BBB+ / Baa1 equivalent)</t>
  </si>
  <si>
    <t>2. CAPITAL STRUCTURE SNAPSHOT</t>
  </si>
  <si>
    <t>Financial Risk - Moderate</t>
  </si>
  <si>
    <t>($mm)</t>
  </si>
  <si>
    <t>Driver</t>
  </si>
  <si>
    <t>Evidence</t>
  </si>
  <si>
    <t>Credit implication</t>
  </si>
  <si>
    <t>Cash &amp; Equivalents</t>
  </si>
  <si>
    <t>Leverage</t>
  </si>
  <si>
    <t>Total Debt / EBITDA fell from 2.8x to 1.9x; Net Debt / EBITDA improved from 2.6x to 1.8x</t>
  </si>
  <si>
    <t>Manageable leverage profile</t>
  </si>
  <si>
    <t>Coverage</t>
  </si>
  <si>
    <t>EBITDA / Interest remained 9.5x–10.6x; EBIT / Interest 6.1x–7.3x</t>
  </si>
  <si>
    <t>Strong debt servicing capacity</t>
  </si>
  <si>
    <t>CFO / Total Debt improved to 41.5%; FCF / Total Debt rose to 26.0%</t>
  </si>
  <si>
    <t>Solid deleveraging and repayment capacity</t>
  </si>
  <si>
    <t>Net Debt</t>
  </si>
  <si>
    <t>Liquidity Risk - Strong</t>
  </si>
  <si>
    <t>Total Capital (Debt + Equity)</t>
  </si>
  <si>
    <t>Liquidity profile</t>
  </si>
  <si>
    <t>Current Ratio 1.8x–3.2x; Quick Ratio 1.3x–2.4x</t>
  </si>
  <si>
    <t>Comfortable short-term coverage</t>
  </si>
  <si>
    <t>Enterprise Value</t>
  </si>
  <si>
    <t>Near-term debt</t>
  </si>
  <si>
    <t>Short-term debt low in most years; 2025 at $6.2mm</t>
  </si>
  <si>
    <t>Limited refinancing pressure</t>
  </si>
  <si>
    <t>Debt / Capital</t>
  </si>
  <si>
    <t>Cash flow support</t>
  </si>
  <si>
    <t>CFO / Total Debt up to 41.5%</t>
  </si>
  <si>
    <t>Strong liquidity support</t>
  </si>
  <si>
    <t>Equity / Capital</t>
  </si>
  <si>
    <t>Cyclicality - Moderate</t>
  </si>
  <si>
    <t>3. HISTORICAL CREDIT METRICS</t>
  </si>
  <si>
    <t>Implication</t>
  </si>
  <si>
    <t>End-market exposure</t>
  </si>
  <si>
    <t>Construction-driven demand; ~60% private / ~40% public mix</t>
  </si>
  <si>
    <t>Volume sensitive to economic cycle; residential &amp; non-res exposure</t>
  </si>
  <si>
    <t>Total Debt / EBITDA</t>
  </si>
  <si>
    <t>Demand support</t>
  </si>
  <si>
    <t>Infrastructure Investment &amp; Jobs Act (IIJA) provides $550B+ in federal spending</t>
  </si>
  <si>
    <t>Multi-year public demand floor; partial downside buffer in downturns</t>
  </si>
  <si>
    <t>Net Debt / EBITDA</t>
  </si>
  <si>
    <t>Earnings resilience</t>
  </si>
  <si>
    <t>EBITDA margin expanded 280bps (2021–2025) despite volume swings; pricing power intact</t>
  </si>
  <si>
    <t>Cyclicality moderated by pricing discipline, cost control, and project mix shift</t>
  </si>
  <si>
    <t>Debt / Equity</t>
  </si>
  <si>
    <t>Business Risk - Low</t>
  </si>
  <si>
    <t>Market position</t>
  </si>
  <si>
    <t>#2 US aggregates producer; operations in 25+ states with irreplaceable, permitted reserves</t>
  </si>
  <si>
    <t>High barriers to entry; durable competitive advantage</t>
  </si>
  <si>
    <t>Product essentiality</t>
  </si>
  <si>
    <t>Aggregates are essential inputs for construction with no viable substitutes</t>
  </si>
  <si>
    <t>Demand is non-discretionary; pricing resilience in downturns</t>
  </si>
  <si>
    <t>EBITDA / Interest Expense</t>
  </si>
  <si>
    <t>Margin profile</t>
  </si>
  <si>
    <t>EBITDA margin expanded from 25.8% (2021) to 28.7% (2025); above peer median</t>
  </si>
  <si>
    <t>Improving profitability supports cash generation and credit quality</t>
  </si>
  <si>
    <t>EBIT / Interest Expense</t>
  </si>
  <si>
    <t>Geographic diversity</t>
  </si>
  <si>
    <t>Operations across Sun Belt and high-growth US regions; local market dominance</t>
  </si>
  <si>
    <t>Reduces concentration risk; benefits from regional growth tailwinds</t>
  </si>
  <si>
    <t>Revenue visibility</t>
  </si>
  <si>
    <t>Long-term infrastructure projects (IIJA) provide multi-year demand pipeline</t>
  </si>
  <si>
    <t>Enhanced earnings predictability and reduced downside volatility</t>
  </si>
  <si>
    <t>Cash Flow Credit Metrics</t>
  </si>
  <si>
    <t>CFO / Total Debt</t>
  </si>
  <si>
    <t>Industry Position - Strong</t>
  </si>
  <si>
    <t>FCF / Total Debt</t>
  </si>
  <si>
    <t>FCF Yield on Net Debt</t>
  </si>
  <si>
    <t>Competitive rank</t>
  </si>
  <si>
    <t>#2 in US aggregates behind Martin Marietta (MLM); top-3 nationally in asphalt and concrete</t>
  </si>
  <si>
    <t>Scale advantage enables pricing discipline and cost efficiency</t>
  </si>
  <si>
    <t>Peer comparison</t>
  </si>
  <si>
    <t>EBITDA margin 28.7% vs. peer median 24.3%; ROIC 9.2% ranks 3rd of 6 peers</t>
  </si>
  <si>
    <t>Above-average returns signal superior operational execution</t>
  </si>
  <si>
    <t>Liquidity</t>
  </si>
  <si>
    <t>Barriers to entry</t>
  </si>
  <si>
    <t>Permitting new quarries takes 7–10+ years; proximity to end-markets critical due to high transport cost</t>
  </si>
  <si>
    <t>Near-unassailable local market positions; limited new entrant threat</t>
  </si>
  <si>
    <t>Growth strategy</t>
  </si>
  <si>
    <t>Disciplined bolt-on M&amp;A (e.g., US Concrete); rapid post-acquisition deleveraging</t>
  </si>
  <si>
    <t>Accretive growth without compromising credit profile</t>
  </si>
  <si>
    <t>Debt/Capital 33.8% (2025); 5th lowest among 6 peers — conservative capital structure</t>
  </si>
  <si>
    <t>Lower leverage supports credit ratings and financial flexibility</t>
  </si>
  <si>
    <t>4. DEBT CAPACITY ANALYSIS</t>
  </si>
  <si>
    <t>LTM 2025</t>
  </si>
  <si>
    <t>LTM EBITDA</t>
  </si>
  <si>
    <t>Target Leverage Multiple (Debt/EBITDA)</t>
  </si>
  <si>
    <t>Implied Debt Capacity</t>
  </si>
  <si>
    <t>Current Gross Debt</t>
  </si>
  <si>
    <t>Incremental Debt Capacity</t>
  </si>
  <si>
    <t>Pro Forma Debt / EBITDA at Target</t>
  </si>
  <si>
    <t>Revolver Availability</t>
  </si>
  <si>
    <t>5. INTEREST RATE SENSITIVITY</t>
  </si>
  <si>
    <t>Current</t>
  </si>
  <si>
    <t>+100 bps</t>
  </si>
  <si>
    <t>+200 bps</t>
  </si>
  <si>
    <t>Current Interest Expense</t>
  </si>
  <si>
    <t>Incremental Interest (+bps x Debt)</t>
  </si>
  <si>
    <t>Pro Forma Interest Expense</t>
  </si>
  <si>
    <t>EBITDA / Pro Forma Interest</t>
  </si>
  <si>
    <t>EBIT / Pro Forma Interest</t>
  </si>
  <si>
    <t>Change in Coverage vs Current</t>
  </si>
  <si>
    <t>—</t>
  </si>
  <si>
    <t>6. DOWNSIDE STRESS TEST</t>
  </si>
  <si>
    <t>Scenario Assumptions</t>
  </si>
  <si>
    <t>Downside</t>
  </si>
  <si>
    <t>Severe</t>
  </si>
  <si>
    <t>Revenue Shock (%)</t>
  </si>
  <si>
    <t>EBITDA Margin Change (pp)</t>
  </si>
  <si>
    <t>Capex Change (%)</t>
  </si>
  <si>
    <t>Interest Rate Change (bps)</t>
  </si>
  <si>
    <t>Scenario Outputs</t>
  </si>
  <si>
    <t>Stressed Revenue</t>
  </si>
  <si>
    <t>EBITDA Margin (Stressed)</t>
  </si>
  <si>
    <t>Stressed EBITDA</t>
  </si>
  <si>
    <t>Stressed Interest Expense</t>
  </si>
  <si>
    <t>Stressed Capex</t>
  </si>
  <si>
    <t>EBITDA / Interest Coverage</t>
  </si>
  <si>
    <t>7. CREDIT CONCLUSION</t>
  </si>
  <si>
    <t>Commentary</t>
  </si>
  <si>
    <t>Key Strengths</t>
  </si>
  <si>
    <t>#2 US aggregates producer; low-cost, irreplaceable reserves; strong FCF generation ($1.1B LTM); conservative leverage at 1.9x Net Debt/EBITDA</t>
  </si>
  <si>
    <t>Key Risks</t>
  </si>
  <si>
    <t>Cyclical exposure to construction/infrastructure spending; acquisition-driven growth can temporarily elevate leverage; asset-heavy model limits turnover</t>
  </si>
  <si>
    <t>BS Flexibility</t>
  </si>
  <si>
    <t>~$2.5B incremental debt capacity at 3.0x target; $1.6B undrawn revolver; equity cushion at 66% of capital; active deleveraging trend from 2021-2025</t>
  </si>
  <si>
    <t>Downside Resilience</t>
  </si>
  <si>
    <t>Even in severe scenario (-25% revenue, -700bp margin), coverage remains 3.9x and FCF stays positive at $488M; no covenant breach risk</t>
  </si>
  <si>
    <t>Overall Credit Assessment</t>
  </si>
  <si>
    <t>INVESTMENT GRADE — Strong BBB+ / Baa1 profile</t>
  </si>
  <si>
    <t>VMC's credit profile is underpinned by dominant market position, essential-use product, expanding margins, and conservative financial policy. The company maintains substantial headroom under stress scenarios.</t>
  </si>
  <si>
    <t>Sheet 4 – ESG Score Analysis | Vulcan Materials Company (VMC)</t>
  </si>
  <si>
    <t>Pillar</t>
  </si>
  <si>
    <t>Environmental</t>
  </si>
  <si>
    <t>1. ESG Conclusion &amp; Investment Implications</t>
  </si>
  <si>
    <t>Social</t>
  </si>
  <si>
    <t>Mid-quality absolute ESG; strong relative to U.S. construction materials peers. Env. and social acceptable; governance is the clear weak spot.</t>
  </si>
  <si>
    <t>Governance</t>
  </si>
  <si>
    <t>Finding</t>
  </si>
  <si>
    <t>ESG Score</t>
  </si>
  <si>
    <t>Combined</t>
  </si>
  <si>
    <t>Overall ESG</t>
  </si>
  <si>
    <t>49 (C+)</t>
  </si>
  <si>
    <t>Neutral to slightly positive for base-case</t>
  </si>
  <si>
    <t>Governance Risk</t>
  </si>
  <si>
    <t>21.0 (D+)</t>
  </si>
  <si>
    <t>Qualitative discount; monitor board improvements</t>
  </si>
  <si>
    <t>Env. Strength</t>
  </si>
  <si>
    <t>55.2 (B-)</t>
  </si>
  <si>
    <t>Supports carbon transition readiness</t>
  </si>
  <si>
    <t>Social Resilience</t>
  </si>
  <si>
    <t>61.0 (B)</t>
  </si>
  <si>
    <t>Helps social license and permitting</t>
  </si>
  <si>
    <t>Controversies</t>
  </si>
  <si>
    <t>68.2 (B+)</t>
  </si>
  <si>
    <t>FY24 drop; watch for recurrence</t>
  </si>
  <si>
    <t>Peer Rank</t>
  </si>
  <si>
    <t>#3 of 6</t>
  </si>
  <si>
    <t>Better than MLM/KNF/EXP; trails CRH, CX</t>
  </si>
  <si>
    <t>Net Impact</t>
  </si>
  <si>
    <t>Gov. discount partially offset by social/env strengths</t>
  </si>
  <si>
    <t>Env.</t>
  </si>
  <si>
    <t>Gov.</t>
  </si>
  <si>
    <t>2. ESG Snapshot</t>
  </si>
  <si>
    <t>FY2020</t>
  </si>
  <si>
    <t>Grade</t>
  </si>
  <si>
    <t>Weight</t>
  </si>
  <si>
    <t>Read-through</t>
  </si>
  <si>
    <t>C+</t>
  </si>
  <si>
    <t>Moderate overall profile</t>
  </si>
  <si>
    <t>B+</t>
  </si>
  <si>
    <t>Safety event drove FY24 drop</t>
  </si>
  <si>
    <t>ESG Combined</t>
  </si>
  <si>
    <t>Combined = headline ESG</t>
  </si>
  <si>
    <t>Env. Pillar</t>
  </si>
  <si>
    <t>B-</t>
  </si>
  <si>
    <t>Best-performing pillar</t>
  </si>
  <si>
    <t>Social Pillar</t>
  </si>
  <si>
    <t>B</t>
  </si>
  <si>
    <t>Resilient; community 87.7</t>
  </si>
  <si>
    <t>Gov. Pillar</t>
  </si>
  <si>
    <t>D+</t>
  </si>
  <si>
    <t>Structural weakness; main drag</t>
  </si>
  <si>
    <t>3. Historical ESG Scorecard (FY2020–FY2024)</t>
  </si>
  <si>
    <t>5Y Avg</t>
  </si>
  <si>
    <t>YoY Δ</t>
  </si>
  <si>
    <t>Trend</t>
  </si>
  <si>
    <t>Stable</t>
  </si>
  <si>
    <t>Deteriorating</t>
  </si>
  <si>
    <t>Improving</t>
  </si>
  <si>
    <t>Diagnostic:</t>
  </si>
  <si>
    <t>Strongest: Social | Weakest: Governance | Sharpest decline: Controversies (−31.8) | Current ESG below 5Y avg</t>
  </si>
  <si>
    <t>4. FY2024 vs FY2023 Pillar Attribution</t>
  </si>
  <si>
    <t>Category</t>
  </si>
  <si>
    <t>Attribution</t>
  </si>
  <si>
    <t>ESG</t>
  </si>
  <si>
    <t>Resource Use</t>
  </si>
  <si>
    <t>Emissions</t>
  </si>
  <si>
    <t>Env. Innovation</t>
  </si>
  <si>
    <t>Workforce</t>
  </si>
  <si>
    <t>Human Rights</t>
  </si>
  <si>
    <t>Community</t>
  </si>
  <si>
    <t>Product Resp.</t>
  </si>
  <si>
    <t>Management</t>
  </si>
  <si>
    <t>Shareholders</t>
  </si>
  <si>
    <t>CSR Strategy</t>
  </si>
  <si>
    <t>Key detractors:</t>
  </si>
  <si>
    <t>Shareholders (−43.3 YoY, −2.1 attrib.) and Env. Innovation (−31.6 YoY, −3.8 attrib.)</t>
  </si>
  <si>
    <t>5. Material ESG Risks &amp; Opportunities</t>
  </si>
  <si>
    <t>Issue</t>
  </si>
  <si>
    <t>FY24 Score</t>
  </si>
  <si>
    <t>Impact</t>
  </si>
  <si>
    <t>Analyst View</t>
  </si>
  <si>
    <t>Weak Governance Score</t>
  </si>
  <si>
    <t>Risk premium / capital allocation</t>
  </si>
  <si>
    <t>Primary ESG constraint; temper premium</t>
  </si>
  <si>
    <t>Env. Innovation Decline</t>
  </si>
  <si>
    <t>Strategic capex / sustainability</t>
  </si>
  <si>
    <t>Negative for premium-multiple narrative</t>
  </si>
  <si>
    <t>Safety Controversy</t>
  </si>
  <si>
    <t>n/a</t>
  </si>
  <si>
    <t>Operating cost / downtime</t>
  </si>
  <si>
    <t>Monitor; not thesis-changing alone</t>
  </si>
  <si>
    <t>Strong Emissions Profile</t>
  </si>
  <si>
    <t>Carbon transition readiness</t>
  </si>
  <si>
    <t>Supports sustainability narrative</t>
  </si>
  <si>
    <t>Strong Community Score</t>
  </si>
  <si>
    <t>Social license to operate</t>
  </si>
  <si>
    <t>Partially offsets governance discount</t>
  </si>
  <si>
    <t>Controversies:</t>
  </si>
  <si>
    <t>No controversial business flags | No UN Global Compact violations | FY24: MSHA safety order | FY22: Mexican mine shutdown</t>
  </si>
  <si>
    <t>6. Peer ESG Comparison</t>
  </si>
  <si>
    <t>Rank</t>
  </si>
  <si>
    <t>CRH PLC</t>
  </si>
  <si>
    <t>A+</t>
  </si>
  <si>
    <t>A</t>
  </si>
  <si>
    <t>Cemex SAB de CV</t>
  </si>
  <si>
    <t>A-</t>
  </si>
  <si>
    <t>Vulcan Materials Co</t>
  </si>
  <si>
    <t>Martin Marietta</t>
  </si>
  <si>
    <t>C</t>
  </si>
  <si>
    <t>Knife River Corp</t>
  </si>
  <si>
    <t>D</t>
  </si>
  <si>
    <t>Eagle Materials Inc</t>
  </si>
  <si>
    <t>C-</t>
  </si>
  <si>
    <t>Sheet 5 – Macro-Economics &amp; Industry Analysis | Vulcan Materials Company (VMC)</t>
  </si>
  <si>
    <t>A. Industry Overview — US Aggregates &amp; Construction Materials</t>
  </si>
  <si>
    <t>A1. Market Summary</t>
  </si>
  <si>
    <t>US Aggregates Market Size (2024)</t>
  </si>
  <si>
    <t>USGS / IBISWorld</t>
  </si>
  <si>
    <t>Industry Cycle Position (2025)</t>
  </si>
  <si>
    <t>Mid-Cycle / Recovery</t>
  </si>
  <si>
    <t>IIJA tailwinds offset residential weakness</t>
  </si>
  <si>
    <t>3Y Revenue CAGR (FY2022–FY2025)</t>
  </si>
  <si>
    <t>Calculated from 9.1</t>
  </si>
  <si>
    <t>5Y Revenue CAGR (FY2021–FY2025)</t>
  </si>
  <si>
    <t>A2. Porter's Five Forces</t>
  </si>
  <si>
    <t>Score (1–5)</t>
  </si>
  <si>
    <t>Threat of New Entrants</t>
  </si>
  <si>
    <t>High capex + 5–10yr permitting; reserve scarcity</t>
  </si>
  <si>
    <t>Supplier Power</t>
  </si>
  <si>
    <t>VMC owns quarries; diesel ~8% COGS is key input</t>
  </si>
  <si>
    <t>Buyer Power</t>
  </si>
  <si>
    <t>Fragmented contractors; public-sector bidding limits pricing</t>
  </si>
  <si>
    <t>Threat of Substitutes</t>
  </si>
  <si>
    <t>No viable substitute for road/bridge base (&lt;5% recycled)</t>
  </si>
  <si>
    <t>Competitive Rivalry</t>
  </si>
  <si>
    <t>Effective duopoly with MLM; rational pricing discipline</t>
  </si>
  <si>
    <t>A3. Industry Structure</t>
  </si>
  <si>
    <t>US Aggregate Consumption (2024)</t>
  </si>
  <si>
    <t>~2.6 Bt</t>
  </si>
  <si>
    <t>USGS — 23% below pre-GFC peak</t>
  </si>
  <si>
    <t>Volume CAGR (2014–2024)</t>
  </si>
  <si>
    <t>~1.0–1.4%</t>
  </si>
  <si>
    <t>Crushed stone 1.4%; Sand 0.7%</t>
  </si>
  <si>
    <t>Value CAGR (ASP, 2014–2024)</t>
  </si>
  <si>
    <t>~5.5%</t>
  </si>
  <si>
    <t>ASP: $9.26→$15.88/ton (USGS)</t>
  </si>
  <si>
    <t>Forecast CAGR (2025–2033)</t>
  </si>
  <si>
    <t>~3.4–6.4%</t>
  </si>
  <si>
    <t>Range across research sources</t>
  </si>
  <si>
    <t>Infrastructure End-Use Share</t>
  </si>
  <si>
    <t>~38%</t>
  </si>
  <si>
    <t>Roads/bridges = ~70% of crushed stone</t>
  </si>
  <si>
    <t>Non-Residential Share</t>
  </si>
  <si>
    <t>~55%+</t>
  </si>
  <si>
    <t>Infra + commercial/industrial</t>
  </si>
  <si>
    <t>Residential Share</t>
  </si>
  <si>
    <t>~25%</t>
  </si>
  <si>
    <t>Smallest; fastest-growing (5.1% CAGR)</t>
  </si>
  <si>
    <t>B. Growth Drivers &amp; Headwinds — VMC</t>
  </si>
  <si>
    <t>B1. Growth Drivers</t>
  </si>
  <si>
    <t>B2. Headwinds / Risks</t>
  </si>
  <si>
    <t>IIJA &amp; Infrastructure</t>
  </si>
  <si>
    <t>$550B+ federal program; ~30% VMC volumes</t>
  </si>
  <si>
    <t>Residential Slowdown</t>
  </si>
  <si>
    <t>Starts -5% in 2024; ~20% VMC volumes</t>
  </si>
  <si>
    <t>Pricing Power</t>
  </si>
  <si>
    <t>ASP +14%/+12%/+6% (2022–24); reserve scarcity</t>
  </si>
  <si>
    <t>Energy Cost Inflation</t>
  </si>
  <si>
    <t>Diesel ~8% COGS; $0.10/gal = ~$6M EBITDA hit</t>
  </si>
  <si>
    <t>Reshoring / CHIPS Act</t>
  </si>
  <si>
    <t>Record industrial construction; fabs &amp; EV plants</t>
  </si>
  <si>
    <t>Interest Rate Sensitivity</t>
  </si>
  <si>
    <t>Municipal bond costs limit project starts</t>
  </si>
  <si>
    <t>M&amp;A Bolt-ons</t>
  </si>
  <si>
    <t>~25 quarry acquisitions 2019–24; Sun Belt focus</t>
  </si>
  <si>
    <t>Weather &amp; Seasonality</t>
  </si>
  <si>
    <t>1 lost workday ≈ $15M revenue</t>
  </si>
  <si>
    <t>Margin Expansion</t>
  </si>
  <si>
    <t>EBITDA/ton improving via SAP, AI dispatch, leverage</t>
  </si>
  <si>
    <t>Permitting / Environmental</t>
  </si>
  <si>
    <t>Avg permit &gt;7 yrs; limits greenfield response</t>
  </si>
  <si>
    <t>C. Regulatory &amp; Technology Risk</t>
  </si>
  <si>
    <t>Risk</t>
  </si>
  <si>
    <t>Probability</t>
  </si>
  <si>
    <t>Revenue at Risk</t>
  </si>
  <si>
    <t>Time Horizon</t>
  </si>
  <si>
    <t>Mitigation</t>
  </si>
  <si>
    <t>IIJA Funding Delays</t>
  </si>
  <si>
    <t>M</t>
  </si>
  <si>
    <t>~$0.5–1.0B</t>
  </si>
  <si>
    <t>2025–27</t>
  </si>
  <si>
    <t>Multi-year highway bill + state match = 2yr buffer</t>
  </si>
  <si>
    <t>EPA Quarry Discharge Rules</t>
  </si>
  <si>
    <t>~$0.2–0.4B</t>
  </si>
  <si>
    <t>2026–28</t>
  </si>
  <si>
    <t>Proactive compliance; NSSGA lobbying</t>
  </si>
  <si>
    <t>Carbon Pricing / Emissions</t>
  </si>
  <si>
    <t>L</t>
  </si>
  <si>
    <t>~$0.1–0.3B</t>
  </si>
  <si>
    <t>2028+</t>
  </si>
  <si>
    <t>Low-emission vs cement; net-zero 2050 target</t>
  </si>
  <si>
    <t>AI / Automation Disruption</t>
  </si>
  <si>
    <t>&lt;$0.1B</t>
  </si>
  <si>
    <t>VMC investing; reduces costs not revenue</t>
  </si>
  <si>
    <t>Diesel / Energy Shock</t>
  </si>
  <si>
    <t>H</t>
  </si>
  <si>
    <t>~$0.3–0.5B</t>
  </si>
  <si>
    <t>Immediate</t>
  </si>
  <si>
    <t>Fleet electrification; hedging; ASP surcharges</t>
  </si>
  <si>
    <t>Permitting Reform Reversal</t>
  </si>
  <si>
    <t>2026+</t>
  </si>
  <si>
    <t>Reserve runway 65+ yrs; existing permits sufficient</t>
  </si>
  <si>
    <t>D. Competitive Landscape</t>
  </si>
  <si>
    <t>Revenue ($mm)</t>
  </si>
  <si>
    <t>Interest Cov.</t>
  </si>
  <si>
    <t>Competitive Position</t>
  </si>
  <si>
    <t>VMC (Vulcan Materials)</t>
  </si>
  <si>
    <t>No.2 US crushed stone; 25+ states; vertically integrated</t>
  </si>
  <si>
    <t>MLM (Martin Marietta)</t>
  </si>
  <si>
    <t>No.1 US crushed stone; duopoly with VMC; SE/SW focus</t>
  </si>
  <si>
    <t>CRH plc</t>
  </si>
  <si>
    <t>Global diversified; US via Oldcastle; strong ESG (A)</t>
  </si>
  <si>
    <t>CEMEX (CX)</t>
  </si>
  <si>
    <t>Global cement/aggregates; Mexico-heavy</t>
  </si>
  <si>
    <t>EXP (Eagle Materials)</t>
  </si>
  <si>
    <t>Smaller; cement + gypsum; highest ROIC in group</t>
  </si>
  <si>
    <t>KNF (Knife River)</t>
  </si>
  <si>
    <t>Recently spun-off; NW/Mountain; contracting + aggregates</t>
  </si>
  <si>
    <t>E. Macro-Economic Correlation Analysis (20-Year, 2005–2024)</t>
  </si>
  <si>
    <t>E1. Historical Data Panel</t>
  </si>
  <si>
    <t>Hwy &amp; Street ($B)</t>
  </si>
  <si>
    <t>VMC Revenue ($mm)</t>
  </si>
  <si>
    <t>Pvt Nonres ($B)</t>
  </si>
  <si>
    <t>VMC Price ($)</t>
  </si>
  <si>
    <t>VMC Rev ($mm)</t>
  </si>
  <si>
    <t>Public Constr ($B)</t>
  </si>
  <si>
    <t>Hsg Starts (000s)</t>
  </si>
  <si>
    <t>Mortgage Rate (%)</t>
  </si>
  <si>
    <t>Diesel ($/gal)</t>
  </si>
  <si>
    <t>E2. Correlation Matrix</t>
  </si>
  <si>
    <t>Indicator</t>
  </si>
  <si>
    <t>r vs. Price</t>
  </si>
  <si>
    <t>r vs. Revenue</t>
  </si>
  <si>
    <t>R-Squared (Revenue)</t>
  </si>
  <si>
    <t>Hwy &amp; Street Constr. Spending</t>
  </si>
  <si>
    <t>Total Public Constr. Spending</t>
  </si>
  <si>
    <t>Private Nonres. Constr. Spending</t>
  </si>
  <si>
    <t>Housing Starts</t>
  </si>
  <si>
    <t>30-Year Mortgage Rate</t>
  </si>
  <si>
    <t>On-Highway Diesel Price</t>
  </si>
  <si>
    <t>F. Forward-Looking Macro Scenarios &amp; VMC Implications</t>
  </si>
  <si>
    <t>Scenario</t>
  </si>
  <si>
    <t>Public Spend</t>
  </si>
  <si>
    <t>Pvt Nonres</t>
  </si>
  <si>
    <t>VMC Rev Impact</t>
  </si>
  <si>
    <t>VMC Price Signal</t>
  </si>
  <si>
    <t>Bull: IIJA Acceleration + Soft Landing</t>
  </si>
  <si>
    <t>0,4</t>
  </si>
  <si>
    <t>+8–10% YoY</t>
  </si>
  <si>
    <t>+5–7% YoY</t>
  </si>
  <si>
    <t>1,450–1,550k</t>
  </si>
  <si>
    <t>+6–10%</t>
  </si>
  <si>
    <t>Upside</t>
  </si>
  <si>
    <t>Base: Steady Disbursement + Flat Rates</t>
  </si>
  <si>
    <t>+3–5% YoY</t>
  </si>
  <si>
    <t>0–3% YoY</t>
  </si>
  <si>
    <t>1,350–1,400k</t>
  </si>
  <si>
    <t>+2–5%</t>
  </si>
  <si>
    <t>Bear: Fiscal Pullback + Rate Overshoot</t>
  </si>
  <si>
    <t>-2–0% YoY</t>
  </si>
  <si>
    <t>-5–0% YoY</t>
  </si>
  <si>
    <t>1,100–1,200k</t>
  </si>
  <si>
    <t>-5–0%</t>
  </si>
  <si>
    <t>Tail: Recession + Construction Freeze</t>
  </si>
  <si>
    <t>-5–10% YoY</t>
  </si>
  <si>
    <t>-10–15% YoY</t>
  </si>
  <si>
    <t>&lt;1,000k</t>
  </si>
  <si>
    <t>-10–15%</t>
  </si>
  <si>
    <t>Rationale:</t>
  </si>
  <si>
    <t>Bull: IIJA multi-year highway bill enters peak disbursement 2025–27; reshoring/CHIPS pulls forward industrial capex; Fed rate cuts support housing recovery.</t>
  </si>
  <si>
    <t>Base: Public infrastructure grows at legislated pace; private nonresidential flat as reshoring tailwind offsets rate drag; housing stuck at 6%+ mortgage rates.</t>
  </si>
  <si>
    <t>Bear: Federal budget gridlock slows IIJA; rates above 7% choke private construction; housing drops to GFC-recovery levels. VMC's infra tilt limits downside vs. peers.</t>
  </si>
  <si>
    <t>Tail: Broad recession compresses all segments. Precedent: 2008–09 saw VMC rev -26% peak-to-trough. Current balance sheet (2.3x net debt/EBITDA) is much stronger.</t>
  </si>
  <si>
    <t>G. VMC Sensitivity to Macro Factors</t>
  </si>
  <si>
    <t>Factor</t>
  </si>
  <si>
    <t>Sensitivity</t>
  </si>
  <si>
    <t>Transmission Channel</t>
  </si>
  <si>
    <t>Lag</t>
  </si>
  <si>
    <t>Direction</t>
  </si>
  <si>
    <t>Magnitude</t>
  </si>
  <si>
    <t>Federal Infrastructure Spend (IIJA)</t>
  </si>
  <si>
    <t>High</t>
  </si>
  <si>
    <t>Direct: ~40% of VMC volumes tied to public highway/bridge projects</t>
  </si>
  <si>
    <t>6–12 mo</t>
  </si>
  <si>
    <t>Positive</t>
  </si>
  <si>
    <t>+1% public spend = +0.4% revenue</t>
  </si>
  <si>
    <t>Private Nonresidential Constr.</t>
  </si>
  <si>
    <t>Direct: commercial, industrial, manufacturing construction drives ~35% of volumes</t>
  </si>
  <si>
    <t>3–6 mo</t>
  </si>
  <si>
    <t>R-sq = 91%; strongest single predictor</t>
  </si>
  <si>
    <t>Indirect: residential is ~20% of volumes; VMC's Sun Belt exposure amplifies vs. national data</t>
  </si>
  <si>
    <t>0–3 mo</t>
  </si>
  <si>
    <t>+10% starts = +2% revenue</t>
  </si>
  <si>
    <t>Interest Rates / Mortgage Rate</t>
  </si>
  <si>
    <t>Indirect: affects housing + municipal bond-funded projects; offset by federal funding insensitivity</t>
  </si>
  <si>
    <t>6–18 mo</t>
  </si>
  <si>
    <t>Negative</t>
  </si>
  <si>
    <t>r = 0.12 vs. price; near-zero direct link</t>
  </si>
  <si>
    <t>Diesel / Energy Costs</t>
  </si>
  <si>
    <t>Low–Moderate</t>
  </si>
  <si>
    <t>Cost-side: diesel ~8% of COGS; +$0.10/gal = ~$6M EBITDA drag; partially passed through via ASP surcharges</t>
  </si>
  <si>
    <t>+$1/gal = ~$60M EBITDA headwind</t>
  </si>
  <si>
    <t>GDP Growth Rate</t>
  </si>
  <si>
    <t>Broad: construction spend is ~4–5% of GDP; recession risk compresses all segments simultaneously</t>
  </si>
  <si>
    <t>0–6 mo</t>
  </si>
  <si>
    <t>2008–09: GDP -2.5% drove VMC rev -26%</t>
  </si>
  <si>
    <t>Analyst Summary</t>
  </si>
  <si>
    <t>VMC is a direct play on U.S. construction capex. Over 20 years, highway spending and private nonresidential construction explain 85–91% of revenue variance. Housing, mortgage rates, and diesel are secondary. The IIJA disbursement cycle (2025–27 peak) is the single most important macro catalyst. In the base case, VMC revenues grow 2–5% driven by steady public-sector disbursement. The bull case requires both IIJA acceleration and private capex growth, which we assign 40% probability given the legislated spending timeline.</t>
  </si>
  <si>
    <t>E3. Normalized Index (2005 = 100)</t>
  </si>
  <si>
    <t>VMC Price</t>
  </si>
  <si>
    <t>VMC Revenue</t>
  </si>
  <si>
    <t>Hwy &amp; Street</t>
  </si>
  <si>
    <t>Public Constr</t>
  </si>
  <si>
    <t>Hsg Starts</t>
  </si>
  <si>
    <t>Mortgage Rate</t>
  </si>
  <si>
    <t>Diesel Price</t>
  </si>
  <si>
    <t>SHEET 6: MULTIPLE VALUATION</t>
  </si>
  <si>
    <t>A. Valuation Framework &amp; Multiple Selection</t>
  </si>
  <si>
    <t>Multiple</t>
  </si>
  <si>
    <t>Role</t>
  </si>
  <si>
    <t>Rationale</t>
  </si>
  <si>
    <t>EV / EBITDA</t>
  </si>
  <si>
    <t>Primary</t>
  </si>
  <si>
    <t>Best proxy for operating cash flow; normalizes D&amp;A across asset-heavy quarrying peers with different reserve lives</t>
  </si>
  <si>
    <t>EV / Revenue</t>
  </si>
  <si>
    <t>Secondary</t>
  </si>
  <si>
    <t>Captures pricing power and margin differences; less volatile than earnings; useful for cross-border peers (CRH, CX)</t>
  </si>
  <si>
    <t>P / E</t>
  </si>
  <si>
    <t>Cross-check</t>
  </si>
  <si>
    <t>Widely followed but distorted by D&amp;A, interest costs, and one-offs; used as market sentiment gauge only</t>
  </si>
  <si>
    <t>EV / EBIT</t>
  </si>
  <si>
    <t>Excluded</t>
  </si>
  <si>
    <t>Penalizes high-D&amp;A operators; reserve depletion and quarry amortization inflate D&amp;A beyond economic depreciation</t>
  </si>
  <si>
    <t>B. Peer Group Selection &amp; Justification</t>
  </si>
  <si>
    <t>Criteria: (1) U.S. construction aggregates/materials as primary business, (2) Publicly traded with comparable financial disclosure, (3) Revenue &gt;$2B to ensure scale comparability, (4) Aggregates or cement as core segment — excludes diversified industrials with minor materials exposure.</t>
  </si>
  <si>
    <t>Selection Rationale</t>
  </si>
  <si>
    <t>Inclusion</t>
  </si>
  <si>
    <t>Adjustment</t>
  </si>
  <si>
    <t>Subject company; #2 U.S. crushed stone</t>
  </si>
  <si>
    <t>Subject</t>
  </si>
  <si>
    <t>Martin Marietta Materials</t>
  </si>
  <si>
    <t xml:space="preserve"> Closest comp; #1 crushed stone; duopoly with VMC </t>
  </si>
  <si>
    <t>Core Peer</t>
  </si>
  <si>
    <t xml:space="preserve"> Global diversified; U.S. via Oldcastle; larger scale </t>
  </si>
  <si>
    <t>Discount for non-U.S. mix</t>
  </si>
  <si>
    <t>CEMEX SAB de CV</t>
  </si>
  <si>
    <t xml:space="preserve"> Global cement/aggregates; Mexico-heavy </t>
  </si>
  <si>
    <t>Extended Peer</t>
  </si>
  <si>
    <t>Discount for EM risk</t>
  </si>
  <si>
    <t xml:space="preserve"> Smaller; cement + gypsum; highest ROIC </t>
  </si>
  <si>
    <t>Premium for margin quality</t>
  </si>
  <si>
    <t xml:space="preserve"> Recently spun off; NW/Mountain; contracting mix </t>
  </si>
  <si>
    <t>Discount for limited history</t>
  </si>
  <si>
    <t>C. Current Peer Multiples (LTM)</t>
  </si>
  <si>
    <t>Mkt Cap ($mm)</t>
  </si>
  <si>
    <t>Net Debt ($mm)</t>
  </si>
  <si>
    <t>EV ($mm)</t>
  </si>
  <si>
    <t>EBITDA ($mm)</t>
  </si>
  <si>
    <t>Trailing P/E</t>
  </si>
  <si>
    <t>Forward P/E</t>
  </si>
  <si>
    <t>9,6x</t>
  </si>
  <si>
    <t>Min</t>
  </si>
  <si>
    <t>Max</t>
  </si>
  <si>
    <t>Peer Mean (ex-VMC)</t>
  </si>
  <si>
    <t>Peer Median (ex-VMC)</t>
  </si>
  <si>
    <t>D. VMC Historical EV/EBITDA (FY2021–FY2025)</t>
  </si>
  <si>
    <t>Period</t>
  </si>
  <si>
    <t>Share Price ($)</t>
  </si>
  <si>
    <t>Shares (mm)</t>
  </si>
  <si>
    <t>5-year average</t>
  </si>
  <si>
    <t xml:space="preserve">5-year median </t>
  </si>
  <si>
    <t>F. Target Price Derivation</t>
  </si>
  <si>
    <t>Key Assumptions</t>
  </si>
  <si>
    <t>Note</t>
  </si>
  <si>
    <t>Analysis Date</t>
  </si>
  <si>
    <t>VMC Share Price ($)</t>
  </si>
  <si>
    <t>Approx. closing price ~Mar 20, 2026</t>
  </si>
  <si>
    <t>Shares Outstanding (mm)</t>
  </si>
  <si>
    <t>Per CNBC, ~Mar 2026</t>
  </si>
  <si>
    <t>VMC Mkt Cap ($mm)</t>
  </si>
  <si>
    <t>VMC Net Debt ($mm)</t>
  </si>
  <si>
    <t>VMC Enterprise Value ($mm)</t>
  </si>
  <si>
    <t>VMC LTM EBITDA ($mm)</t>
  </si>
  <si>
    <t>VMC LTM Revenue ($mm)</t>
  </si>
  <si>
    <t>VMC LTM Net Income ($mm)</t>
  </si>
  <si>
    <t xml:space="preserve">Multiple-based valuation </t>
  </si>
  <si>
    <t>Method</t>
  </si>
  <si>
    <t>Base ($mm)</t>
  </si>
  <si>
    <t>Implied EV ($mm)</t>
  </si>
  <si>
    <t>– Net Debt ($mm)</t>
  </si>
  <si>
    <t>Equity ($mm)</t>
  </si>
  <si>
    <t>Price ($)</t>
  </si>
  <si>
    <t>EV/EBITDA - Peer</t>
  </si>
  <si>
    <t>EV/EBITDA - 5 Year</t>
  </si>
  <si>
    <t xml:space="preserve">EV / Revenue - Peer Median </t>
  </si>
  <si>
    <t>P/E - Peer median</t>
  </si>
  <si>
    <t>Implied Price Range</t>
  </si>
  <si>
    <t xml:space="preserve">High </t>
  </si>
  <si>
    <t>Midpoint</t>
  </si>
  <si>
    <t>Weighted Target Price</t>
  </si>
  <si>
    <t>Wt.</t>
  </si>
  <si>
    <t>EV/EBITDA Peer: 30%</t>
  </si>
  <si>
    <t>VMC 5Y EBITDA: 60%</t>
  </si>
  <si>
    <t>EV/Rev: 10%</t>
  </si>
  <si>
    <t>P/E: 20%</t>
  </si>
  <si>
    <t>G. Adjustments, Premium/Discount &amp; Conclusion</t>
  </si>
  <si>
    <t>Adjustment Factor</t>
  </si>
  <si>
    <t>Infrastructure Tailwind (IIJA)</t>
  </si>
  <si>
    <t>Premium</t>
  </si>
  <si>
    <t>+5–10%</t>
  </si>
  <si>
    <t>~$550B federal infra spending (2022-26); VMC Sun Belt footprint captures outsized share</t>
  </si>
  <si>
    <t>Aggregates Pricing Power</t>
  </si>
  <si>
    <t>+3–5%</t>
  </si>
  <si>
    <t>10%+ YoY pricing growth; local monopolies; pricing stickiness supports margin expansion</t>
  </si>
  <si>
    <t>Cyclical Risk (Housing Slowdown)</t>
  </si>
  <si>
    <t>Discount</t>
  </si>
  <si>
    <t>–3–5%</t>
  </si>
  <si>
    <t>Mortgage rates 6.5%+; residential starts soft; ~25% revenue residential-exposed</t>
  </si>
  <si>
    <t>Leverage &amp; Acquisition Risk</t>
  </si>
  <si>
    <t>Neutral</t>
  </si>
  <si>
    <t>Net Debt/EBITDA ~1.8x well within IG; recent M&amp;A on track for integration</t>
  </si>
  <si>
    <t>Permitting Moat / ESG</t>
  </si>
  <si>
    <t>+2–3%</t>
  </si>
  <si>
    <t>Avg permit &gt;7 yrs to obtain; creates irreplaceable local monopoly positions</t>
  </si>
  <si>
    <t>Net Qualitative Adjustment</t>
  </si>
  <si>
    <t>Net: premiums (~15%) less discounts (~7.5%), rounded</t>
  </si>
  <si>
    <t>CONCLUSION — Target Price Range (as of 04/03/2026)</t>
  </si>
  <si>
    <t>Primary Range (EV/EBITDA methods only)</t>
  </si>
  <si>
    <t>to</t>
  </si>
  <si>
    <t>Adjusted Low</t>
  </si>
  <si>
    <t>Adjusted High</t>
  </si>
  <si>
    <t>Target Midpoint</t>
  </si>
  <si>
    <t>Upside / (Downside) Weight Price</t>
  </si>
  <si>
    <t>Implied Rating</t>
  </si>
  <si>
    <t>SELL</t>
  </si>
  <si>
    <t>7. Dividend Discount Model (DDM) — Vulcan Materials Company (VMC)</t>
  </si>
  <si>
    <t>Model Objective &amp; Methodology</t>
  </si>
  <si>
    <t>Model</t>
  </si>
  <si>
    <t>3-Stage Dividend Discount Model</t>
  </si>
  <si>
    <t>Currency</t>
  </si>
  <si>
    <t>USD / share</t>
  </si>
  <si>
    <t>Valuation Date</t>
  </si>
  <si>
    <t>Fiscal Year Basis</t>
  </si>
  <si>
    <t>December fiscal year-end (FY2021 – FY2025)</t>
  </si>
  <si>
    <t>Purpose</t>
  </si>
  <si>
    <t>DDM is used as a secondary equity valuation cross-check given VMC is not primarily valued on dividend yield. Vulcan retains ~75% of earnings for growth capex and acquisitions; the model therefore complements the DCF (FCFF/FCFE) and multiple-based approaches.</t>
  </si>
  <si>
    <t>Historical Dividend &amp; Payout Profile</t>
  </si>
  <si>
    <t>Table 1 — Dividend History &amp; Payout Ratios</t>
  </si>
  <si>
    <t>5Y Avg / CAGR</t>
  </si>
  <si>
    <t>DPS ($)</t>
  </si>
  <si>
    <t>DPS Growth (%)</t>
  </si>
  <si>
    <t>EPS - Diluted ($)</t>
  </si>
  <si>
    <t>Dividends Paid</t>
  </si>
  <si>
    <t>Dividend Payout Ratio (Div / NI)</t>
  </si>
  <si>
    <t>Retention Ratio (1 – Payout)</t>
  </si>
  <si>
    <t>Table 2 — Cash Flow Coverage of Dividends</t>
  </si>
  <si>
    <t>Net Cash from Operations</t>
  </si>
  <si>
    <t>Free Cash Flow (OCF – Capex)</t>
  </si>
  <si>
    <t>FCF after Dividends</t>
  </si>
  <si>
    <t>Free Cash Flow to Equity (FCFE)</t>
  </si>
  <si>
    <t>Div / FCF</t>
  </si>
  <si>
    <t>Div / FCFE</t>
  </si>
  <si>
    <t>FCF Dividend Coverage (x)</t>
  </si>
  <si>
    <t>FCFE Dividend Coverage (x)</t>
  </si>
  <si>
    <t>Historical Conclusion</t>
  </si>
  <si>
    <t>1. VMC has delivered 17 consecutive annual dividend increases; the 5-year DPS CAGR of 7.3% reflects steady, disciplined growth well above inflation.</t>
  </si>
  <si>
    <t>2. The average payout ratio of 28.3% is deliberately conservative — VMC retains ~72% of earnings to fund organic growth capex and bolt-on acquisitions (e.g., Wake Stone Corp. in FY2025).</t>
  </si>
  <si>
    <t>3. Free cash flow comfortably covers dividends at 3.2x on average; even in FY2025 (heavy acquisition year), FCF coverage remained 4.4x, confirming strong dividend sustainability.</t>
  </si>
  <si>
    <t>4. FCFE coverage is volatile (0.8x–9.4x) due to lumpy M&amp;A-driven financing flows — this is structural for an aggregates roll-up, not a credit concern.</t>
  </si>
  <si>
    <t>5. Given the low payout and growth orientation, a DDM will structurally undervalue VMC; the model serves as a floor valuation and cross-check against the DCF.</t>
  </si>
  <si>
    <t>DDM Assumptions</t>
  </si>
  <si>
    <t>Cost of Equity (CAPM)</t>
  </si>
  <si>
    <t>Source / Justification</t>
  </si>
  <si>
    <t>Required Return Cross-Checks</t>
  </si>
  <si>
    <t>Method / Use</t>
  </si>
  <si>
    <t>10-Year US Treasury yield (Sheet 1)</t>
  </si>
  <si>
    <t>CAPM (selected)</t>
  </si>
  <si>
    <t>Primary Ke used in valuation</t>
  </si>
  <si>
    <t>Equity Risk Premium (ERP)</t>
  </si>
  <si>
    <t>Damodaran US ERP estimate, Jan 2026</t>
  </si>
  <si>
    <t>Market Return Proxy (Rf + ERP)</t>
  </si>
  <si>
    <t>Cross-check assuming beta of 1.0</t>
  </si>
  <si>
    <t>Beta vs S&amp;P 500 (β)</t>
  </si>
  <si>
    <t>3-year weekly regression vs SPY (Sheet 1)</t>
  </si>
  <si>
    <t>Dividend Yield + g</t>
  </si>
  <si>
    <t>Cross-check only; low for VMC because payout is conservative</t>
  </si>
  <si>
    <t>Cost of Equity (Ke = Rf + β × ERP)</t>
  </si>
  <si>
    <t>Selected Cost of Equity</t>
  </si>
  <si>
    <t>Retain CAPM as the valuation discount rate</t>
  </si>
  <si>
    <t>Growth &amp; Dividend Assumptions</t>
  </si>
  <si>
    <t>Forecast Diluted EPS Growth Stage 1 (Yr 1–2)</t>
  </si>
  <si>
    <t>Infrastructure tailwind (IIJA) + pricing power; above hist. 12.7% EPS CAGR in line with consensus</t>
  </si>
  <si>
    <t>Forecast Diluted EPS Growth Stage 2 (Yr 3–4)</t>
  </si>
  <si>
    <t>Normalizing growth as IIJA spending peaks; approaching mid-cycle</t>
  </si>
  <si>
    <t>Long-run US nominal GDP growth proxy (~2% real + ~1% inflation)</t>
  </si>
  <si>
    <t>Target Payout Ratio</t>
  </si>
  <si>
    <t>In line with 5-year historical average (28.3%); management guidance: modest annual increases</t>
  </si>
  <si>
    <t>Last Actual DPS (FY2025)</t>
  </si>
  <si>
    <t>Last Actual EPS Diluted (FY2025)</t>
  </si>
  <si>
    <t>DDM Forecast &amp; Valuation</t>
  </si>
  <si>
    <t>Base (FY25)</t>
  </si>
  <si>
    <t>2026E</t>
  </si>
  <si>
    <t>2027E</t>
  </si>
  <si>
    <t>2028E</t>
  </si>
  <si>
    <t>2029E</t>
  </si>
  <si>
    <t>2030E</t>
  </si>
  <si>
    <t>Terminal</t>
  </si>
  <si>
    <t>Year (n)</t>
  </si>
  <si>
    <t>Stage</t>
  </si>
  <si>
    <t>Stage 1</t>
  </si>
  <si>
    <t>Stage 2</t>
  </si>
  <si>
    <t>EPS Growth Rate</t>
  </si>
  <si>
    <t>Forecast EPS Diluted ($)</t>
  </si>
  <si>
    <t>Forecast DPS ($)</t>
  </si>
  <si>
    <t>Implied DPS Growth</t>
  </si>
  <si>
    <t>Discount Factor (1/(1+Ke)^n)</t>
  </si>
  <si>
    <t>PV of Forecast DPS ($)</t>
  </si>
  <si>
    <t>Terminal Value per Share</t>
  </si>
  <si>
    <t>PV of Terminal Value</t>
  </si>
  <si>
    <t>Valuation Summary</t>
  </si>
  <si>
    <t>Per Share ($)</t>
  </si>
  <si>
    <t>Sum of PV of Dividends (Yr 1–5)</t>
  </si>
  <si>
    <t>Implied Equity Value per Share</t>
  </si>
  <si>
    <t>Current Share Price</t>
  </si>
  <si>
    <t>Premium / (Discount) to Market</t>
  </si>
  <si>
    <t>Recommendation</t>
  </si>
  <si>
    <t>Value Composition</t>
  </si>
  <si>
    <t>PV of Dividends (Yr 1-5)</t>
  </si>
  <si>
    <t>Enterprise Value Bridge</t>
  </si>
  <si>
    <t>$mm</t>
  </si>
  <si>
    <t>Equity Value per Share</t>
  </si>
  <si>
    <t>x Shares Outstanding (mm)</t>
  </si>
  <si>
    <t>Equity Value ($mm)</t>
  </si>
  <si>
    <t>+ Net Debt ($mm)</t>
  </si>
  <si>
    <t>Enterprise Value ($mm)</t>
  </si>
  <si>
    <t>E</t>
  </si>
  <si>
    <t>Sensitivity Analysis</t>
  </si>
  <si>
    <t>Implied Share Price ($): Cost of Equity vs Terminal Growth Rate</t>
  </si>
  <si>
    <t>Ke \ g</t>
  </si>
  <si>
    <t>8. DCF Analysis  |  Normalized Equity Research Case</t>
  </si>
  <si>
    <t>Base case uses FY2024-FY2025 normalized operating assumptions with fixed base-case revenue growth; bear and bull cases flex the revenue path.</t>
  </si>
  <si>
    <t>Selected Operating Assumptions</t>
  </si>
  <si>
    <t>Valuation Inputs</t>
  </si>
  <si>
    <t>Valuation Bridge</t>
  </si>
  <si>
    <t>Case basis</t>
  </si>
  <si>
    <t>Normalized FY2024-FY2025</t>
  </si>
  <si>
    <t>Risk-free rate</t>
  </si>
  <si>
    <t>FCFF Valuation</t>
  </si>
  <si>
    <t>FCFE Valuation</t>
  </si>
  <si>
    <t>Cost of revenues %</t>
  </si>
  <si>
    <t>Equity risk premium</t>
  </si>
  <si>
    <t>Terminal Value</t>
  </si>
  <si>
    <t>SG&amp;A %</t>
  </si>
  <si>
    <t>Beta</t>
  </si>
  <si>
    <t>Other operating %</t>
  </si>
  <si>
    <t>Cost of equity (Ke)</t>
  </si>
  <si>
    <t>Equity Value</t>
  </si>
  <si>
    <t>D&amp;A %</t>
  </si>
  <si>
    <t>Pre-tax cost of debt</t>
  </si>
  <si>
    <t>Less Current Net Debt</t>
  </si>
  <si>
    <t>Implied Price / Share</t>
  </si>
  <si>
    <t>Capex %</t>
  </si>
  <si>
    <t>Selected WACC</t>
  </si>
  <si>
    <t>Upside / (Downside)</t>
  </si>
  <si>
    <t>Tax rate</t>
  </si>
  <si>
    <t>Shares outstanding (mm)</t>
  </si>
  <si>
    <t>FCFE vs FCFF Price Gap</t>
  </si>
  <si>
    <t>Current share price</t>
  </si>
  <si>
    <t>Current net debt ($mm)</t>
  </si>
  <si>
    <t>Gross debt used in FCFE ($mm)</t>
  </si>
  <si>
    <t>Terminal growth (g)</t>
  </si>
  <si>
    <t>Beginning cash ($mm)</t>
  </si>
  <si>
    <t>Revenue case shown below</t>
  </si>
  <si>
    <t>Base</t>
  </si>
  <si>
    <t>DDM implied price</t>
  </si>
  <si>
    <t>Scenario Analysis (Bear / Base / Bull)</t>
  </si>
  <si>
    <t>Capital structure</t>
  </si>
  <si>
    <t>Stable debt; no sponsor-style sweep</t>
  </si>
  <si>
    <t>Bear</t>
  </si>
  <si>
    <t>Bull</t>
  </si>
  <si>
    <t>2030 Revenue</t>
  </si>
  <si>
    <t>Revenue CAGR</t>
  </si>
  <si>
    <t>Base Case Detailed FCFF / FCFE Forecast</t>
  </si>
  <si>
    <t>FCFF Implied Price</t>
  </si>
  <si>
    <t>FCFE Implied Price</t>
  </si>
  <si>
    <t>Documentation Notes</t>
  </si>
  <si>
    <t>Operating assumptions are normalized to FY2024-FY2025 to reflect the current business mix after recent portfolio changes.</t>
  </si>
  <si>
    <t>YoY Growth</t>
  </si>
  <si>
    <t>This avoids understating value by blending current forecasts with older, less representative cost and capital-intensity years.</t>
  </si>
  <si>
    <t>FCFF is the primary valuation anchor; FCFE and DDM remain secondary cross-checks for an equity research report.</t>
  </si>
  <si>
    <t>Other Operating Expense</t>
  </si>
  <si>
    <t>Taxes</t>
  </si>
  <si>
    <t>Change in NWC</t>
  </si>
  <si>
    <t>FCFF</t>
  </si>
  <si>
    <t>FCFE</t>
  </si>
  <si>
    <t>Gross Debt</t>
  </si>
  <si>
    <t>Net Debt / (Cash)</t>
  </si>
  <si>
    <t>Discount Period</t>
  </si>
  <si>
    <t>FCFF Discount Factor</t>
  </si>
  <si>
    <t>PV of FCFF</t>
  </si>
  <si>
    <t>FCFE Discount Factor</t>
  </si>
  <si>
    <t>PV of FCFE</t>
  </si>
  <si>
    <t>FCFF Sensitivity: WACC vs Terminal Growth</t>
  </si>
  <si>
    <t>FCFE Sensitivity: Ke vs Terminal Growth</t>
  </si>
  <si>
    <t>Line Item</t>
  </si>
  <si>
    <t>Vulcan</t>
  </si>
  <si>
    <t>CRG</t>
  </si>
  <si>
    <t>Cash &amp; Short-Term Investments</t>
  </si>
  <si>
    <t>Trade Receivables</t>
  </si>
  <si>
    <t>Inventories</t>
  </si>
  <si>
    <t>PP&amp;E, Net</t>
  </si>
  <si>
    <t>Other Intangibles, Net</t>
  </si>
  <si>
    <t>Trade Payables</t>
  </si>
  <si>
    <t>Short-Term Debt &amp; Current Maturities</t>
  </si>
  <si>
    <t>Common Equity</t>
  </si>
  <si>
    <t>Total Debt (ST + LT)</t>
  </si>
  <si>
    <t>SG&amp;A Expenses</t>
  </si>
  <si>
    <t>Other Operating Expense/(Income)</t>
  </si>
  <si>
    <t>EBIT (Operating Profit)</t>
  </si>
  <si>
    <t>Net Cash from Operating Activities</t>
  </si>
  <si>
    <t>Acquisitions, Net</t>
  </si>
  <si>
    <t>Other Investing Activities</t>
  </si>
  <si>
    <t>Net Cash from Investing Activities</t>
  </si>
  <si>
    <t>Share Buybacks/(Issuances)</t>
  </si>
  <si>
    <t>Debt Issuance/(Reduction), Net</t>
  </si>
  <si>
    <t>Net Cash from Financing Activities</t>
  </si>
  <si>
    <t>Finished Goods Inventory</t>
  </si>
  <si>
    <t>Other Inventory Accounts</t>
  </si>
  <si>
    <t>Accum. Allowance for Doubtful Accts</t>
  </si>
  <si>
    <t>Full Time Employees</t>
  </si>
  <si>
    <t>5 Years of Vulcan Statement</t>
  </si>
  <si>
    <t>MLM TICKET</t>
  </si>
  <si>
    <t>KNF Ticket</t>
  </si>
  <si>
    <t>CX Ticket</t>
  </si>
  <si>
    <t>EXP Ticket</t>
  </si>
  <si>
    <t>Balance Sheet - Standardized (Currency: Standardized)</t>
  </si>
  <si>
    <t>Balance Sheet - Standardized (Currency: Standardized) - MLM Ticket</t>
  </si>
  <si>
    <t>Balance Sheet - Standardized (Currency: Standardized) - KNF Ticket</t>
  </si>
  <si>
    <t>Balance Sheet - Standardized (Currency: Standardized) - CRH Ticket</t>
  </si>
  <si>
    <t>Balance Sheet - Standardized (Currency: Standardized) - CX Ticket</t>
  </si>
  <si>
    <t>Balance Sheet - Standardized (Currency: Standardized) - EXP Ticket</t>
  </si>
  <si>
    <t>Field Name</t>
  </si>
  <si>
    <t>31-12-2025</t>
  </si>
  <si>
    <t>31-12-2024</t>
  </si>
  <si>
    <t>31-12-2023</t>
  </si>
  <si>
    <t>31-12-2022</t>
  </si>
  <si>
    <t>31-12-2021</t>
  </si>
  <si>
    <t>31-03-2025</t>
  </si>
  <si>
    <t>Cash &amp; Cash Equivalents</t>
  </si>
  <si>
    <t>Loans &amp; Receivables - Net - Short-Term</t>
  </si>
  <si>
    <t>Short-Term Investments - Total</t>
  </si>
  <si>
    <t>Trade Accounts &amp; Trade Notes Receivable - Net</t>
  </si>
  <si>
    <t>Financial Assets - Short-Term</t>
  </si>
  <si>
    <t>Trade Accounts &amp; Trade Notes Receivable - Gross</t>
  </si>
  <si>
    <t>Provision - Trade Accounts &amp; Trade Notes Receivable</t>
  </si>
  <si>
    <t>Receivables - Other - Total</t>
  </si>
  <si>
    <t>Income Tax - Receivables - Short-Term</t>
  </si>
  <si>
    <t>Inventories - Total</t>
  </si>
  <si>
    <t>Inventories - Raw Materials</t>
  </si>
  <si>
    <t>Inventories - Work in Progress</t>
  </si>
  <si>
    <t>Inventories - Finished Goods</t>
  </si>
  <si>
    <t>Assets Held for Sale/Discontinued Operations - Short-Term</t>
  </si>
  <si>
    <t>Prepaid Expenses - Short-Term</t>
  </si>
  <si>
    <t>Inventories - Other - Total</t>
  </si>
  <si>
    <t>Non-Current Assets</t>
  </si>
  <si>
    <t>Other Current Assets - Total</t>
  </si>
  <si>
    <t>Investments - Long-Term</t>
  </si>
  <si>
    <t>Restricted Accounts - Short-Term</t>
  </si>
  <si>
    <t>Financial Assets - Long-Term</t>
  </si>
  <si>
    <t>Investments - Available for Sale/Held to Maturity - Long-Term</t>
  </si>
  <si>
    <t>Investments in Associates, Joint Ventures and Unconsolidated Subsidiaries</t>
  </si>
  <si>
    <t>Property, Plant &amp; Equipment - Net - Total</t>
  </si>
  <si>
    <t>Receivables &amp; Loans - Long-Term</t>
  </si>
  <si>
    <t>Property, Plant &amp; Equipment - excluding Assets Leased Out - Net - Total</t>
  </si>
  <si>
    <t>Loans - Long-Term</t>
  </si>
  <si>
    <t>Property, Plant &amp; Equipment - Gross - Total</t>
  </si>
  <si>
    <t>Property, Plant &amp; Equipment - excluding Assets Leased Out - Gross</t>
  </si>
  <si>
    <t>Land &amp; Buildings - Gross</t>
  </si>
  <si>
    <t>Land &amp; Buildings - Net</t>
  </si>
  <si>
    <t>Land/Improvements - Gross</t>
  </si>
  <si>
    <t>Land/Improvements - Net</t>
  </si>
  <si>
    <t>Buildings - Gross</t>
  </si>
  <si>
    <t>Buildings - Net</t>
  </si>
  <si>
    <t>Plant, Machinery &amp; Equipment - Gross</t>
  </si>
  <si>
    <t>Plant, Machinery &amp; Equipment - Net</t>
  </si>
  <si>
    <t>Construction in Progress - Gross</t>
  </si>
  <si>
    <t>Construction in Progress - Net</t>
  </si>
  <si>
    <t>Right of Use Tangible Assets - Total - Gross</t>
  </si>
  <si>
    <t>Right of Use Tangible Assets - Total - Net</t>
  </si>
  <si>
    <t>Right of Use Tangible Assets - Operating Lease - Gross</t>
  </si>
  <si>
    <t>Right of Use Tangible Assets - Capital/Finance Lease - Net</t>
  </si>
  <si>
    <t>Property, Plant &amp; Equipment - Other - Gross</t>
  </si>
  <si>
    <t>Property, Plant &amp; Equipment - Other - Net</t>
  </si>
  <si>
    <t>Property, Plant &amp; Equipment - Accumulated Depreciation &amp; Impairment - Total</t>
  </si>
  <si>
    <t>Right of Use Tangible Assets - Capital/Finance Lease - Gross</t>
  </si>
  <si>
    <t>Other Non-Current Assets - Total</t>
  </si>
  <si>
    <t>Property, Plant &amp; Equipment - excluding Assets Leased Out - Accumulated Depreciation &amp; Impairment - Total</t>
  </si>
  <si>
    <t>Right of Use Tangible Assets - Operating Lease - Net</t>
  </si>
  <si>
    <t>Deferred Tax - Asset - Long-Term</t>
  </si>
  <si>
    <t>Intangible Assets - Total - Net</t>
  </si>
  <si>
    <t>Mining/Exploration Specific Assets - Gross</t>
  </si>
  <si>
    <t>Goodwill/Cost in Excess of Assets Purchased - Net</t>
  </si>
  <si>
    <t>Intangible Assets - excluding Goodwill - Net - Total</t>
  </si>
  <si>
    <t>Brands, Patents, Trademarks, Marketing &amp; Artistic Intangibles - Net</t>
  </si>
  <si>
    <t>Total Non-Current Assets</t>
  </si>
  <si>
    <t>Assets Held for Sale/Discontinued Operations - Long-Term</t>
  </si>
  <si>
    <t>Intangible Assets - Other - Net</t>
  </si>
  <si>
    <t>Licenses, Franchises, Copyrights, Property Rights, Prototypes, Contract Based, Models &amp; Designs - Net</t>
  </si>
  <si>
    <t>Trade Accounts Payable &amp; Accruals - Short-Term</t>
  </si>
  <si>
    <t>Intangible Assets - Gross - Total</t>
  </si>
  <si>
    <t>Trade Accounts &amp; Trade Notes Payable - Short-Term</t>
  </si>
  <si>
    <t>Goodwill/Cost in Excess of Assets Purchased - Gross</t>
  </si>
  <si>
    <t>Accrued Expenses - Short-Term</t>
  </si>
  <si>
    <t>Intangible Assets - excluding Goodwill - Gross</t>
  </si>
  <si>
    <t>Short-Term Debt &amp; Current Portion of Long-Term Debt</t>
  </si>
  <si>
    <t>Brands, Patents, Trademarks, Marketing &amp; Artistic Intangibles - Gross</t>
  </si>
  <si>
    <t>Current Portion of Long-Term Debt including Capitalized Leases</t>
  </si>
  <si>
    <t>Licenses, Franchises, Copyrights, Property Rights, Prototypes, Contract Based, Models &amp; Designs - Gross</t>
  </si>
  <si>
    <t>Current Portion of Long-Term Debt excluding Capitalized Leases</t>
  </si>
  <si>
    <t>Intangible Assets - Other - Gross - Total</t>
  </si>
  <si>
    <t>Capitalized Leases - Current Portion</t>
  </si>
  <si>
    <t>Intangible Assets - Accumulated Amortization &amp; Impairment - Total</t>
  </si>
  <si>
    <t>Short-Term Debt &amp; Notes Payable</t>
  </si>
  <si>
    <t>Liabilities Held for Sale/Discontinued Operations - Short-Term</t>
  </si>
  <si>
    <t>Goodwill - Accumulated Amortization &amp; Impairment</t>
  </si>
  <si>
    <t>Right of Use Tangible Assets - Total/Unspecified - Accumulated Depreciation</t>
  </si>
  <si>
    <t>Operating Lease Liabilities - Current Portion/Short-Term</t>
  </si>
  <si>
    <t>Income Taxes - Payable - Short-Term</t>
  </si>
  <si>
    <t>Intangible Assets - excluding Goodwill - Accumulated Amortization &amp; Impairment - Total</t>
  </si>
  <si>
    <t>Right of Use Tangible Assets - Operating Lease - Accumulated Depreciation</t>
  </si>
  <si>
    <t>Other Current Liabilities - Total</t>
  </si>
  <si>
    <t>Brands, Patents, Trademarks, Marketing &amp; Artistic Intangibles - Accumulated Amortization &amp; Impairment</t>
  </si>
  <si>
    <t>Property, Plant &amp; Equipment - Other - Accumulated Depreciation &amp; Impairment</t>
  </si>
  <si>
    <t>Deferred Income - Short-Term</t>
  </si>
  <si>
    <t>Provisions - Short-Term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</si>
  <si>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</si>
  <si>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</si>
  <si>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Non-Current Liabilities</t>
  </si>
  <si>
    <t>Debt - Long-Term - Total</t>
  </si>
  <si>
    <t>Long-Term Debt excluding Capitalized Leases</t>
  </si>
  <si>
    <t>Debt - Non-Convertible - Long-Term</t>
  </si>
  <si>
    <t>Deferred Tax &amp; Investment Tax Credits - Long-Term</t>
  </si>
  <si>
    <t>Capitalized Lease Obligations - Long-Term</t>
  </si>
  <si>
    <t>Deferred Tax - Liability - Long-Term</t>
  </si>
  <si>
    <t>Operating Lease Liabilities - Long-Term</t>
  </si>
  <si>
    <t>Other Non-Current Liabilities - Total</t>
  </si>
  <si>
    <t>Provisions - Long-Term</t>
  </si>
  <si>
    <t>Total Non-Current Liabilities</t>
  </si>
  <si>
    <t>Post Employment Benefits - Pension &amp; Other - Long-Term</t>
  </si>
  <si>
    <t>Dividends/Distributions Payable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</si>
  <si>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</si>
  <si>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</si>
  <si>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</si>
  <si>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</si>
  <si>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Asset Retirement Obligation - Long-Term</t>
  </si>
  <si>
    <t>Common Equity - Contributed</t>
  </si>
  <si>
    <t>Common Stock - Issued &amp; Paid</t>
  </si>
  <si>
    <t>Minority Interest - Non-Equity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</si>
  <si>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</si>
  <si>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</si>
  <si>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</si>
  <si>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</si>
  <si>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Common Equity - Total</t>
  </si>
  <si>
    <t>Preferred Shareholders Equity</t>
  </si>
  <si>
    <t>Hedging Reserves</t>
  </si>
  <si>
    <t>Preferred Stock - Non-Redeemable</t>
  </si>
  <si>
    <t>Total Shareholders' Equity - including Minority Interest &amp; Hybrid Debt</t>
  </si>
  <si>
    <t>Foreign Currency Translation Adjustment - Accumulated</t>
  </si>
  <si>
    <t>Total Liabilities &amp; Shareholders' Equity</t>
  </si>
  <si>
    <t>Comprehensive Income - Pension Liabilities</t>
  </si>
  <si>
    <t>Comprehensive Income - Other - Total</t>
  </si>
  <si>
    <t>Share/Per Share - Common</t>
  </si>
  <si>
    <t>Common Shares - Issued - Total</t>
  </si>
  <si>
    <t>Minority Interest - Equity</t>
  </si>
  <si>
    <t>Common Shares - Outstanding - Total</t>
  </si>
  <si>
    <t>Common Shares - Treasury - Total</t>
  </si>
  <si>
    <t>Preferred Stock - Convertible - Non-Redeemable</t>
  </si>
  <si>
    <t>Common Shares - Authorized - Issue Specific</t>
  </si>
  <si>
    <t>Common Shares - Issued - Issue Specific</t>
  </si>
  <si>
    <t>Common Shares - Outstanding - Issue Specific</t>
  </si>
  <si>
    <t>Deferred Revenue - Long-Term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</si>
  <si>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</si>
  <si>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</si>
  <si>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</si>
  <si>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</si>
  <si>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</si>
  <si>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</si>
  <si>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</si>
  <si>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</si>
  <si>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</si>
  <si>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Current Portion/Short-Term - Supplemental</t>
  </si>
  <si>
    <t>Common Shares - Issued - Issue Specific - DR</t>
  </si>
  <si>
    <t>Operating Lease Liabilities - Long-Term - Supplemental</t>
  </si>
  <si>
    <t>Common Shares - Outstanding - Issue Specific - DR</t>
  </si>
  <si>
    <t>Finance and Operating Lease Liabilities - Total</t>
  </si>
  <si>
    <t>Common Shares - Treasury - Issue Specific - DR</t>
  </si>
  <si>
    <t>Debt including Finance and Operating Lease Liabilities</t>
  </si>
  <si>
    <t>Common Shares - Issued - Issue Specific - CPO</t>
  </si>
  <si>
    <t>Long-Term &amp; Short-Term</t>
  </si>
  <si>
    <t>Common Shares - Outstanding - Issue Specific - CPO</t>
  </si>
  <si>
    <t>Investments - Total</t>
  </si>
  <si>
    <t>Common Shares - Treasury - Issue Specific - CPO</t>
  </si>
  <si>
    <t>Loans &amp; Receivables - Total</t>
  </si>
  <si>
    <t>Accounts &amp; Notes Receivable - Trade - Gross - Total</t>
  </si>
  <si>
    <t>Payables &amp; Accrued Expenses</t>
  </si>
  <si>
    <t>Trade Account Payables - Total</t>
  </si>
  <si>
    <t>Right of Use Tangible Assets - Capital/Finance Lease - Net - Supplemental</t>
  </si>
  <si>
    <t>Accrued Expenses</t>
  </si>
  <si>
    <t>Share/Per Share - Preferred</t>
  </si>
  <si>
    <t>Contract Assets - Short-Term - Unbilled Revenue in Excess of Advance Consideration &amp; Progress Billings</t>
  </si>
  <si>
    <t>Preferred Shares - Authorized - Issue Specific</t>
  </si>
  <si>
    <t>Debt Related</t>
  </si>
  <si>
    <t>Preferred Shares - Issued - Issue Specific</t>
  </si>
  <si>
    <t>Debt - Total</t>
  </si>
  <si>
    <t>Preferred Shares - Outstanding - Issue Specific</t>
  </si>
  <si>
    <t>Debt Maturity</t>
  </si>
  <si>
    <t>Preferred Shares - Treasury - Issue Specific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</si>
  <si>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</si>
  <si>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</si>
  <si>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</si>
  <si>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</si>
  <si>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</si>
  <si>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Assets Held for Sale/Discontinued Operations - Long-Term &amp; Short-Term</t>
  </si>
  <si>
    <t>Debt - Long-Term - Maturities - Year 5</t>
  </si>
  <si>
    <t>Other Assets - Total</t>
  </si>
  <si>
    <t>Debt - Long-Term - Maturities - Remaining</t>
  </si>
  <si>
    <t>Debt - Long-Term - Maturities - 2-3 Years</t>
  </si>
  <si>
    <t>Income Taxes - Payable - Long-Term &amp; Short-Term</t>
  </si>
  <si>
    <t>Debt - Long-Term - Maturities - 4-5 Years</t>
  </si>
  <si>
    <t>Dividends Payable</t>
  </si>
  <si>
    <t>Debt - Long-Term - Maturities - Year 6 &amp; Beyond</t>
  </si>
  <si>
    <t>Right of Use Tangible Assets - Total - Gross - Supplemental</t>
  </si>
  <si>
    <t>Weighted Average Leases</t>
  </si>
  <si>
    <t>Right of Use Tangible Assets - Operating Lease - Gross - Supplemental</t>
  </si>
  <si>
    <t>Wgt Avg Remaining Lease Term (Years)-Operating Lease-US GAAP</t>
  </si>
  <si>
    <t>Liabilities Held for Sale/Discontinued Operations - Long-term &amp; Short-Term</t>
  </si>
  <si>
    <t>Right of Use Tangible Assets - Capital/Finance Lease - Gross - Supplemental</t>
  </si>
  <si>
    <t>Weighted Average Discount Rate - Operating Lease - US GAAP</t>
  </si>
  <si>
    <t>Revolving Line of Credit - Outstanding - Supplemental</t>
  </si>
  <si>
    <t>Other</t>
  </si>
  <si>
    <t>Property, Plant &amp; Equipment - excluding Right of Use Tangible Assets &amp; Capital Leases - Gross</t>
  </si>
  <si>
    <t>Revolving Line of Credit - Unutilized/Unused Amount</t>
  </si>
  <si>
    <t>Contract Liabilities - Short-Term - Advance Consideration &amp; Progress Billings in Excess of Unbilled Revenue</t>
  </si>
  <si>
    <t>Revolving Line of Credit - Total Principal Amount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</si>
  <si>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</si>
  <si>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</si>
  <si>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</si>
  <si>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</si>
  <si>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</si>
  <si>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</si>
  <si>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</si>
  <si>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</si>
  <si>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</si>
  <si>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</si>
  <si>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</si>
  <si>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</si>
  <si>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Minority Interest - Total</t>
  </si>
  <si>
    <t>Capital Lease Maturity</t>
  </si>
  <si>
    <t>Total Book Capital</t>
  </si>
  <si>
    <t>Capital Lease Maturities - Total</t>
  </si>
  <si>
    <t>Total Capital</t>
  </si>
  <si>
    <t>Capital Lease Maturities - Due within 1 Year</t>
  </si>
  <si>
    <t>Total Long Term Capital</t>
  </si>
  <si>
    <t>Capital Lease Maturities - Due in Year 2</t>
  </si>
  <si>
    <t>Total Fixed Assets - Net</t>
  </si>
  <si>
    <t>Capital Lease Maturities - Due in Year 3</t>
  </si>
  <si>
    <t>Unearned Revenue - Total</t>
  </si>
  <si>
    <t>Capital Lease Maturities - Due in Year 4</t>
  </si>
  <si>
    <t>Capital Lease Maturities - Due in Year 5</t>
  </si>
  <si>
    <t>Working Capital - Non-Cash</t>
  </si>
  <si>
    <t>Capital Lease Maturities - Remaining Maturities</t>
  </si>
  <si>
    <t>Working Capital excluding Other Current Assets &amp; Liabilities</t>
  </si>
  <si>
    <t>Capital Lease Maturities - Interest Costs</t>
  </si>
  <si>
    <t>Book Value excluding Other Equity</t>
  </si>
  <si>
    <t>Capital Lease Maturities - Due in 2-3 Years</t>
  </si>
  <si>
    <t>Order Backlog</t>
  </si>
  <si>
    <t>Capital Lease Maturities - Due in 4-5 Years</t>
  </si>
  <si>
    <t>Capital Lease Maturities - Due in Year 6 &amp; Beyond</t>
  </si>
  <si>
    <t>Common Shareholders - Number</t>
  </si>
  <si>
    <t>Operating Lease Maturity</t>
  </si>
  <si>
    <t>Operating Lease Payments - Total</t>
  </si>
  <si>
    <t>Wgt Avg Remaining Lease Term (Years) - Finance Lease</t>
  </si>
  <si>
    <t>Operating Lease Payments - Due in Year 1</t>
  </si>
  <si>
    <t>Operating Lease Payments - Due in Year 2</t>
  </si>
  <si>
    <t>Weighted Average Discount Rate - Finance Lease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</si>
  <si>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</si>
  <si>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</si>
  <si>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</si>
  <si>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</si>
  <si>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</si>
  <si>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Employees</t>
  </si>
  <si>
    <t>Operating Lease Payments - Due in 2-3 Years</t>
  </si>
  <si>
    <t>Employees - Full-Time/Full-Time Equivalents - Period End</t>
  </si>
  <si>
    <t>Operating Lease Payments - Due in 4-5 Years</t>
  </si>
  <si>
    <t>Employees - Full-Time/Full-Time Equivalents - Current Date</t>
  </si>
  <si>
    <t>Operating Lease Payments - Due in Year 6 &amp; Beyond</t>
  </si>
  <si>
    <t>Total Indefinite-lived Intangible Assets - Net (excl Goodwill) - Supplemental</t>
  </si>
  <si>
    <t>Income Statement - Standardized (Currency: Standardized)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</si>
  <si>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</si>
  <si>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</si>
  <si>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</si>
  <si>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</si>
  <si>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</si>
  <si>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</si>
  <si>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</si>
  <si>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Gross Profit - Industrials/Property - Total</t>
  </si>
  <si>
    <t>Cost of Revenues - Unclassified</t>
  </si>
  <si>
    <t>Selling, General &amp; Administrative Expenses - Total</t>
  </si>
  <si>
    <t>Material Expenses</t>
  </si>
  <si>
    <t>Other Operating Expense/(Income) - Net</t>
  </si>
  <si>
    <t>Selling, General &amp; Administrative Expenses - Unclassified</t>
  </si>
  <si>
    <t>Ground leases/Rental Expenses in Cost of Revenues</t>
  </si>
  <si>
    <t>Other Operating Income - Total</t>
  </si>
  <si>
    <t>Labor &amp; Related Expenses including Stock-Based Compensation in Selling, General &amp; Administrative Expenses</t>
  </si>
  <si>
    <t>Non-Recurring Adjustments - Operating - Decrease/(Increase)</t>
  </si>
  <si>
    <t>Operating Expenses - Total</t>
  </si>
  <si>
    <t>Operating Profit</t>
  </si>
  <si>
    <t>Supplementary Adjustments - Operating - Decrease/(Increase)</t>
  </si>
  <si>
    <t>Operating Profit before Non-Recurring Income/Expense</t>
  </si>
  <si>
    <t>Amortization of Intangibles in Selling, General &amp; Administrative Expenses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</si>
  <si>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</si>
  <si>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</si>
  <si>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</si>
  <si>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</si>
  <si>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</si>
  <si>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Other Non-Operating Income/(Expense) - Total</t>
  </si>
  <si>
    <t>Non-Interest Financial Income/(Expense) - Total</t>
  </si>
  <si>
    <t>Normalized Pre-tax Profit</t>
  </si>
  <si>
    <t>Non-Interest Financial Income/(Expense) - Other - Net</t>
  </si>
  <si>
    <t>Interest Expense on Capital Financing - Gross</t>
  </si>
  <si>
    <t>Non-Recurring Income/Expense</t>
  </si>
  <si>
    <t>Foreign Exchange Gain/(Loss) - Non-Business</t>
  </si>
  <si>
    <t>Equity Earnings/(Loss) - before Taxes including Non-Recurring</t>
  </si>
  <si>
    <t>Non-Recurring Income/(Expense) - Total</t>
  </si>
  <si>
    <t>Interest Capitalized</t>
  </si>
  <si>
    <t>Accretion - Site Closure &amp; Reclamation Expenses</t>
  </si>
  <si>
    <t>Fair Value Adjustments - Financial Investments</t>
  </si>
  <si>
    <t>Sale of Tangible &amp; Intangible Fixed Assets - Gain/(Loss)</t>
  </si>
  <si>
    <t>Sale &amp; Acquisition of Group Companies - Gain/(Loss)</t>
  </si>
  <si>
    <t>Income before Taxes</t>
  </si>
  <si>
    <t>Valuation of Inventory - Gain/(Loss)</t>
  </si>
  <si>
    <t>Non-Recurring Income/(Expense) - Other - Total</t>
  </si>
  <si>
    <t>Income Taxes for the Year - Current</t>
  </si>
  <si>
    <t>Impairment - Tangible &amp; Intangible Fixed Assets</t>
  </si>
  <si>
    <t>Income Taxes - Domestic - Current</t>
  </si>
  <si>
    <t>Impairment - Fixed Assets</t>
  </si>
  <si>
    <t>Income Taxes - Deferred</t>
  </si>
  <si>
    <t>Income Taxes - Domestic - Deferred</t>
  </si>
  <si>
    <t>Restructuring Charges</t>
  </si>
  <si>
    <t>Net Income After Tax</t>
  </si>
  <si>
    <t>Net Income after Tax</t>
  </si>
  <si>
    <t>COVID-19 Non-Recurring Income/(Expense) - Total</t>
  </si>
  <si>
    <t>After Tax Income/Expense</t>
  </si>
  <si>
    <t>COVID-19 Non-Recurring Income/(Expense) - Other</t>
  </si>
  <si>
    <t>Income before Discontinued Operations &amp; Extraordinary Items</t>
  </si>
  <si>
    <t>Net Income before Minority Interest</t>
  </si>
  <si>
    <t>Income Taxes - Foreign - Current</t>
  </si>
  <si>
    <t>Net Income after Minority Interest</t>
  </si>
  <si>
    <t>Extraordinary Activities - after Tax - Gain/(Loss)</t>
  </si>
  <si>
    <t>Income Available to Common Shares</t>
  </si>
  <si>
    <t>Income Taxes - Foreign - Deferred</t>
  </si>
  <si>
    <t>Discontinued Operations - Net of Taxes - Total - Income/(Expense)</t>
  </si>
  <si>
    <t>Other Comprehensive Income</t>
  </si>
  <si>
    <t>Discontinued Operations - Net - Income/(Expense)</t>
  </si>
  <si>
    <t>Other Comprehensive Income - Starting Line</t>
  </si>
  <si>
    <t>Other Comprehensive Income - Pension Related</t>
  </si>
  <si>
    <t>Other Comprehensive Income - Net of Tax - Total</t>
  </si>
  <si>
    <t>Comprehensive Income before Minority Interest - Total</t>
  </si>
  <si>
    <t>Equity in Earnings/(Loss) of Affiliates (after Taxes)</t>
  </si>
  <si>
    <t>Comprehensive Income - Attributable to Parent Company Equity Holders - Total</t>
  </si>
  <si>
    <t>Other Comprehensive Income - Hedging Gain/(Loss)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</si>
  <si>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</si>
  <si>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</si>
  <si>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</si>
  <si>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</si>
  <si>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</si>
  <si>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</si>
  <si>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</si>
  <si>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Discontinued Operations before Tax - Total - Income/(Expense)</t>
  </si>
  <si>
    <t>Allocated Net Income including Extraordinary Items Applicable to Common - Issue Specific</t>
  </si>
  <si>
    <t>Discontinued Operations before Tax - Income/(Expense)</t>
  </si>
  <si>
    <t>Other Comprehensive Income - Foreign Currency</t>
  </si>
  <si>
    <t>Earnings Allocation Factor - Basic - Issue Specific</t>
  </si>
  <si>
    <t>Discontinued Operations - Tax Impacts</t>
  </si>
  <si>
    <t>Shares used to calculate Basic EPS - Issue Specific - CPO</t>
  </si>
  <si>
    <t>Shares used to calculate Basic EPS - Issue Specific</t>
  </si>
  <si>
    <t>EPS - Basic - including Extraordinary Items Applicable to Common - Issue Specific - CPO</t>
  </si>
  <si>
    <t>EPS - Basic - including Extraordinary Items Applicable to Common - Issue Specific</t>
  </si>
  <si>
    <t>EPS - Basic - excluding Extraordinary Items Applicable to Common - Issue Specific - CPO</t>
  </si>
  <si>
    <t>EPS - Basic - excluding Extraordinary Items Applicable to Common - Issue Specific</t>
  </si>
  <si>
    <t>EPS - Basic - excluding Extraordinary Items - Normalized - Issue Specific - CPO</t>
  </si>
  <si>
    <t>EPS - Basic - excluding Extraordinary Items - Normalized - Issue Specific</t>
  </si>
  <si>
    <t>Comprehensive Income - Attributable to Minority Interest - Total</t>
  </si>
  <si>
    <t>EPS - Basic from Discontinued Operations &amp; Extraordinary Items</t>
  </si>
  <si>
    <t>Shares used to calculate Basic EPS - Issue Specific - DR</t>
  </si>
  <si>
    <t>Comprehensive Earnings Per Share - Basic - Issue Specific</t>
  </si>
  <si>
    <t>EPS - Basic - including Extraordinary Items Applicable to Common - Issue Specific - DR</t>
  </si>
  <si>
    <t>Share/Per Share - Diluted</t>
  </si>
  <si>
    <t>EPS - Basic - excluding Extraordinary Items Applicable to Common - Issue Specific - DR</t>
  </si>
  <si>
    <t>Net Income - Diluted - including Extraordinary Items Applicable to Common - Total</t>
  </si>
  <si>
    <t>EPS - Basic - excluding Extraordinary Items - Normalized - Issue Specific - DR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</si>
  <si>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</si>
  <si>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</si>
  <si>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</si>
  <si>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</si>
  <si>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</si>
  <si>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</si>
  <si>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</si>
  <si>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</si>
  <si>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</si>
  <si>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</si>
  <si>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Shares used to calculate Diluted EPS - Issue Specific - CPO</t>
  </si>
  <si>
    <t>EPS - Diluted - excluding Extraordinary Items - Normalized - Issue Specific</t>
  </si>
  <si>
    <t>EPS - Diluted - including Extraordinary Items Applicable to Common - Issue Specific - CPO</t>
  </si>
  <si>
    <t>EPS - Diluted from Discontinued Operations &amp; Extraordinary Items</t>
  </si>
  <si>
    <t>EPS - Diluted - excluding Extraordinary Items Applicable to Common - Issue Specific - CPO</t>
  </si>
  <si>
    <t>Comprehensive Earnings Per Share - Diluted - Issue Specific</t>
  </si>
  <si>
    <t>EPS - Diluted - excluding Extraordinary Items - Normalized - Issue Specific - CPO</t>
  </si>
  <si>
    <t>Share/Per Share - Dividends</t>
  </si>
  <si>
    <t>DPS - Common - Gross - Issue - By Announcement Date</t>
  </si>
  <si>
    <t>Shares used to calculate Diluted EPS - Issue Specific - DR</t>
  </si>
  <si>
    <t>DPS - Common - Net - Issue - By Announcement Date</t>
  </si>
  <si>
    <t>EPS - Diluted - including Extraordinary Items Applicable to Common - Issue Specific - DR</t>
  </si>
  <si>
    <t>EBIT/EBITDA &amp; related</t>
  </si>
  <si>
    <t>EPS - Diluted - excluding Extraordinary Items Applicable to Common - Issue Specific - DR</t>
  </si>
  <si>
    <t>Earnings before Interest &amp; Taxes (EBIT)</t>
  </si>
  <si>
    <t>Comprehensive Earnings Per Share - Basic - Issue Specific - DR</t>
  </si>
  <si>
    <t>EPS - Diluted - excluding Extraordinary Items - Normalized - Issue Specific - DR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</si>
  <si>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</si>
  <si>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</si>
  <si>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</si>
  <si>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</si>
  <si>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</si>
  <si>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</si>
  <si>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</si>
  <si>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DPS - Common - Gross - Issue - DR - By Announcement Date</t>
  </si>
  <si>
    <t>Depreciation/Amortization - Total</t>
  </si>
  <si>
    <t>DPS - Common - Net - Issue - DR - By Announcement Date</t>
  </si>
  <si>
    <t>Depreciation, Depletion &amp; Amortization - Total</t>
  </si>
  <si>
    <t>DPS - Common - Gross - Issue - CPO - By Announcement Date</t>
  </si>
  <si>
    <t>Depreciation - Total</t>
  </si>
  <si>
    <t>DPS - Common - Net - Issue - CPO - By Announcement Date</t>
  </si>
  <si>
    <t>Amortization of Intangible Assets excluding Goodwill - Total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</si>
  <si>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</si>
  <si>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</si>
  <si>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</si>
  <si>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</si>
  <si>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</si>
  <si>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</si>
  <si>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Normalized</t>
  </si>
  <si>
    <t>Audit-Related Fees</t>
  </si>
  <si>
    <t>Depreciation - Fin Lease Right-of-Use Assets - Total - Suppl</t>
  </si>
  <si>
    <t>Normalized after Tax Profit</t>
  </si>
  <si>
    <t>Tax Fees</t>
  </si>
  <si>
    <t>Normalized Net Income from Continuing Operations</t>
  </si>
  <si>
    <t>Fees - Other</t>
  </si>
  <si>
    <t>Non-GAAP</t>
  </si>
  <si>
    <t>Comprehensive Earnings Per Share - Diluted - Issue Specific - DR</t>
  </si>
  <si>
    <t>Normalized Net Income - Bottom Line</t>
  </si>
  <si>
    <t>Non-GAAP Adjusted EBITDA - Company Reported</t>
  </si>
  <si>
    <t>Earnings before Interest &amp; Taxes (EBIT) - Normalized</t>
  </si>
  <si>
    <t>Earnings before Interest, Taxes, Depreciation &amp; Amortization (EBITDA) - Normalized</t>
  </si>
  <si>
    <t>Cost of Revenue including Operation &amp; Maintenance (Utility) - Total</t>
  </si>
  <si>
    <t>Cost of Revenues excluding Depreciation</t>
  </si>
  <si>
    <t>Lease Expenses</t>
  </si>
  <si>
    <t>Lease Expense -Total - Supplemental</t>
  </si>
  <si>
    <t>Selling, General &amp; Administrative Expenses excluding Research &amp; Development Expenses</t>
  </si>
  <si>
    <t>Operating /Rental Expense - Supplemental</t>
  </si>
  <si>
    <t>Short-Term Lease Cost - Supplemental</t>
  </si>
  <si>
    <t>Variable Operating Lease Expenses - US GAAP - Supplemental</t>
  </si>
  <si>
    <t>Rental/Operating Lease Expense</t>
  </si>
  <si>
    <t>Depreciation of Financial Lease ROU Assets - Supplemental</t>
  </si>
  <si>
    <t>Variable Lease Expense - Unclassified - Supplemental</t>
  </si>
  <si>
    <t>Interest Expense on Financial Lease Liabilities - Supple</t>
  </si>
  <si>
    <t>Non-GAAP EPS Diluted - Company Reported</t>
  </si>
  <si>
    <t>Variable Financial Lease Expenses - Supplemental</t>
  </si>
  <si>
    <t>Sublease Income - Supplemental</t>
  </si>
  <si>
    <t>Cash Flow - Standardized (Currency: Standardized)</t>
  </si>
  <si>
    <t>x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</si>
  <si>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</si>
  <si>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</si>
  <si>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</si>
  <si>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</si>
  <si>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Equity Income/(Loss) in Net Earnings - Cash Flow - to Reconcile</t>
  </si>
  <si>
    <t>Discontinued Operations - Gain/(Loss) - Net of Tax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</si>
  <si>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</si>
  <si>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</si>
  <si>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 Expense - Cash Flow - to Reconcile</t>
  </si>
  <si>
    <t>Impairment - Property, Plant &amp; Equipment including Intangible Assets - Cash Flow - to Reconcile</t>
  </si>
  <si>
    <t>Deferred Income Taxes &amp; Income Tax Credits - Cash Flow - to Reconcile</t>
  </si>
  <si>
    <t>Financial Income/(Expense) - Cash Flow - to Reconcile</t>
  </si>
  <si>
    <t>Assets Sale -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</si>
  <si>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</si>
  <si>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</si>
  <si>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</si>
  <si>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</si>
  <si>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</si>
  <si>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Financial Assets - Unrealized Gain/(Loss) - Cash Flow - to Reconcile</t>
  </si>
  <si>
    <t>Other Assets - Decrease/(Increase) - Cash Flow</t>
  </si>
  <si>
    <t>Accounts Payable - Increase/(Decrease) - Cash Flow</t>
  </si>
  <si>
    <t>Income Taxes - Paid/(Reimbursed) - Cash Flow</t>
  </si>
  <si>
    <t>Accounts Payable and Accrued Expenses - Increase/(Decrease) - Cash Flow</t>
  </si>
  <si>
    <t>Prepaid Expenses - Decrease/(Increase) - Cash Flow</t>
  </si>
  <si>
    <t>Other Assets &amp; Liabilities - Increase/(Decrease) - Net - Cash Flow</t>
  </si>
  <si>
    <t>Interest Paid - Cash</t>
  </si>
  <si>
    <t>Taxes Payable - Increase/(Decrease) - Cash Flow</t>
  </si>
  <si>
    <t>Net Cash Flow from Operating Activities</t>
  </si>
  <si>
    <t>Interest &amp; Dividends - Received - Total - Cash Flow</t>
  </si>
  <si>
    <t>Accrued Expenses - Increase/(Decrease) - Cash Flow</t>
  </si>
  <si>
    <t>Investing Cash Flow</t>
  </si>
  <si>
    <t>Other Liabilities - Increase/(Decrease) -Total - Cash Flow</t>
  </si>
  <si>
    <t>Capital Expenditures - Net - Cash Flow</t>
  </si>
  <si>
    <t>Operating Lease Liabilities - Increase/(Decrease) - Cash Flow</t>
  </si>
  <si>
    <t>Property, Plant &amp; Equipment - Purchased/(Sold) - Net - Cash Flow</t>
  </si>
  <si>
    <t>Property, Plant &amp; Equipment - Purchased - Cash Flow</t>
  </si>
  <si>
    <t>Capital Expenditures - Total</t>
  </si>
  <si>
    <t>Acquisition &amp; Disposals of Business - Assets - Sold/(Acquired) - Net - Cash Flow</t>
  </si>
  <si>
    <t>Acquisition of Business - Cash Flow</t>
  </si>
  <si>
    <t>Property, Plant &amp; Equipment Sold - Cash Flow</t>
  </si>
  <si>
    <t>Business - Sold - Cash Flow</t>
  </si>
  <si>
    <t>Net Cash Flow from Investing Activities</t>
  </si>
  <si>
    <t>Investments excluding Loans - Decrease/(Increase) - Cash Flow</t>
  </si>
  <si>
    <t>Financing Cash Flow</t>
  </si>
  <si>
    <t>Investment Securities - Unclassified - Sold/(Purchased) - Net - Total - Cash Flow</t>
  </si>
  <si>
    <t>Dividends Paid - Cash - Total - Cash Flow</t>
  </si>
  <si>
    <t>Investment Securities - Sold/Matured - Unclassified - Cash Flow</t>
  </si>
  <si>
    <t>Dividends - Common - Cash Paid</t>
  </si>
  <si>
    <t>Other Investing Cash Flow - Decrease/(Increase)</t>
  </si>
  <si>
    <t>Stock - Total - Issuance/(Retirement) - Net - Cash Flow</t>
  </si>
  <si>
    <t>Derivative Financial Instruments - Hedging - Sold/(Purchased) -Total - Cash Flow</t>
  </si>
  <si>
    <t>Intangible Assets - Purchased/(Sold) - Net - Total - Cash Flow</t>
  </si>
  <si>
    <t>Stock - Issuance/(Retirement) - Net - Excluding Options/Warrants - Cash Flow</t>
  </si>
  <si>
    <t>Intangible Assets - Purchased/Acquired - Cash Flow</t>
  </si>
  <si>
    <t>Stock - Common - Issuance/(Retirement) - Net - Cash Flow</t>
  </si>
  <si>
    <t>Options Exercised - Cash Flow</t>
  </si>
  <si>
    <t>Stock - Common - Repurchased/Retired - Cash Flow</t>
  </si>
  <si>
    <t>Debt - Long-Term &amp; Short-Term - Issuance/(Retirement)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</si>
  <si>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</si>
  <si>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</si>
  <si>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</si>
  <si>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</si>
  <si>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</si>
  <si>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Change in Cash</t>
  </si>
  <si>
    <t>Tax Payments or Benefits relating to Stock-based Compensation/Buyback/Withheld shares</t>
  </si>
  <si>
    <t>Lease liabilities - Issued/(Reduced) - Cash Flow</t>
  </si>
  <si>
    <t>Net Change in Cash - Total</t>
  </si>
  <si>
    <t>Minority Interests &amp; Joint Ventures - Net - Cash Flow</t>
  </si>
  <si>
    <t>Debt - Issued/(Reduced) - Short-Term - Total - Cash Flow</t>
  </si>
  <si>
    <t>Net Cash from Continuing Operations</t>
  </si>
  <si>
    <t>Debt - Issued - Short-Term - Cash Flow</t>
  </si>
  <si>
    <t>Net Cash - Beginning Balance</t>
  </si>
  <si>
    <t>Debt - Issued/(Reduced) - Long-Term &amp; Short-Term - Cash Flow</t>
  </si>
  <si>
    <t>Debt - Reduced - Short-Term - Cash Flow</t>
  </si>
  <si>
    <t>Lease liabilities - Reduced - Cash flow</t>
  </si>
  <si>
    <t>Net Cash - Ending Balance</t>
  </si>
  <si>
    <t>Debt - Issued - Long-Term &amp; Short-Term - Cash Flow</t>
  </si>
  <si>
    <t>Supplemental</t>
  </si>
  <si>
    <t>Debt - Reduced - Long-Term &amp; Short-Term - Cash Flow</t>
  </si>
  <si>
    <t>Stock - Common - Issued/Sold - Cash Flow</t>
  </si>
  <si>
    <t>Income Taxes - Paid/(Reimbursed) - Cash Flow - Supplemental</t>
  </si>
  <si>
    <t>Interest Paid - Cash Flow - Supplemental</t>
  </si>
  <si>
    <t>CF from Optg Activities before Change in WC &amp; Int Payments</t>
  </si>
  <si>
    <t>Depreciation, Depletion &amp; Amortization - Cash Flow</t>
  </si>
  <si>
    <t>Free Cash Flow to Equity</t>
  </si>
  <si>
    <t>Free Cash Flow Net of Dividends</t>
  </si>
  <si>
    <t>Cash Dividends Paid &amp; Common Stock Buyback - Net</t>
  </si>
  <si>
    <t>Foreign Exchange Effects</t>
  </si>
  <si>
    <t>Common Stock Buyback - Net</t>
  </si>
  <si>
    <t>Dividends Provided/Paid - Common</t>
  </si>
  <si>
    <t>Foreign Exchange Effects - Cash Flow</t>
  </si>
  <si>
    <t>Interest &amp; Dividends - Received - Cash Flow - Supplemental</t>
  </si>
  <si>
    <t>A. GLOBAL MACROECONOMIC DATA (2015–2024)  [Sheet5 Source]</t>
  </si>
  <si>
    <t xml:space="preserve">Cost of Debt </t>
  </si>
  <si>
    <t>Risk-Free Ratee (Rf)</t>
  </si>
  <si>
    <t xml:space="preserve">Market 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</si>
</sst>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(&quot;₫&quot;* #,##0_);_(&quot;₫&quot;* \(#,##0\);_(&quot;₫&quot;* &quot;-&quot;_);_(@_)"/>
    <numFmt numFmtId="43" formatCode="_(* #,##0.00_);_(* \(#,##0.00\);_(* &quot;-&quot;??_);_(@_)"/>
    <numFmt numFmtId="164" formatCode="#,##0.0;\(#,##0.0\);&quot;-&quot;"/>
    <numFmt numFmtId="165" formatCode="#,##0.0"/>
    <numFmt numFmtId="166" formatCode="0.00\x"/>
    <numFmt numFmtId="167" formatCode="0.0;\(0.0\);&quot;-&quot;"/>
    <numFmt numFmtId="168" formatCode="0.00&quot;x&quot;;\(0.00&quot;x&quot;\);&quot;-&quot;"/>
    <numFmt numFmtId="169" formatCode="0.0&quot;x&quot;;\(0.0&quot;x&quot;\);&quot;-&quot;"/>
    <numFmt numFmtId="170" formatCode="0.0%;\(0.0%\);&quot;-&quot;"/>
    <numFmt numFmtId="171" formatCode="#,###.0"/>
    <numFmt numFmtId="172" formatCode="0.0%"/>
    <numFmt numFmtId="173" formatCode="0.0\x"/>
    <numFmt numFmtId="174" formatCode="[&gt;=100]##,##0.0\%;[&lt;=-100]\-##,##0.0\%;##,##0.0\%"/>
    <numFmt numFmtId="175" formatCode="_([$$-409]* #,##0.00_);_([$$-409]* \(#,##0.00\);_([$$-409]* &quot;-&quot;??_);_(@_)"/>
    <numFmt numFmtId="176" formatCode="\$#,##0.00"/>
    <numFmt numFmtId="177" formatCode="0.000"/>
    <numFmt numFmtId="178" formatCode="0.0000"/>
    <numFmt numFmtId="179" formatCode="0.00;[Red]\(0.00\);&quot;-&quot;"/>
    <numFmt numFmtId="180" formatCode="0.00;[Red]\(0.00\)"/>
    <numFmt numFmtId="181" formatCode="0.0;[Red]\(0.0\)"/>
    <numFmt numFmtId="182" formatCode="&quot;₫&quot;#,##0.0&quot;B&quot;"/>
    <numFmt numFmtId="183" formatCode="0.0&quot;x&quot;"/>
    <numFmt numFmtId="184" formatCode="&quot;₫&quot;#,##0.00"/>
    <numFmt numFmtId="185" formatCode="_(* #,##0.0_);_(* \(#,##0.0\);_(* &quot;-&quot;??_);_(@_)"/>
    <numFmt numFmtId="186" formatCode="_(* #,##0_);_(* \(#,##0\);_(* &quot;-&quot;??_);_(@_)"/>
    <numFmt numFmtId="187" formatCode="0.0"/>
    <numFmt numFmtId="188" formatCode="_(* #,##0.0_);_(* \(#,##0.0\);_(* &quot;-&quot;?_);_(@_)"/>
    <numFmt numFmtId="189" formatCode="_(* #,##0.00000_);_(* \(#,##0.00000\);_(* &quot;-&quot;?_);_(@_)"/>
    <numFmt numFmtId="190" formatCode="#,##0.0;[Red]\(#,##0.0\);\-"/>
    <numFmt numFmtId="191" formatCode="dd/mm/yyyy"/>
  </numFmts>
  <fonts count="7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80808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3" tint="0.249977111117893"/>
      <name val="Arial"/>
      <family val="2"/>
    </font>
    <font>
      <b/>
      <sz val="10"/>
      <color theme="1"/>
      <name val="Arial"/>
      <family val="2"/>
    </font>
    <font>
      <i/>
      <sz val="10"/>
      <color rgb="FF808080"/>
      <name val="Arial"/>
      <family val="2"/>
    </font>
    <font>
      <sz val="10"/>
      <color rgb="FFE97132"/>
      <name val="Arial"/>
      <family val="2"/>
    </font>
    <font>
      <b/>
      <sz val="10"/>
      <color rgb="FFE97132"/>
      <name val="Arial"/>
      <family val="2"/>
    </font>
    <font>
      <b/>
      <sz val="10"/>
      <color rgb="FF000000"/>
      <name val="Arial"/>
      <family val="2"/>
    </font>
    <font>
      <b/>
      <sz val="10"/>
      <color rgb="FF808080"/>
      <name val="Arial"/>
      <family val="2"/>
    </font>
    <font>
      <b/>
      <i/>
      <sz val="10"/>
      <color rgb="FF808080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9"/>
      <color rgb="FF333333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10"/>
      <color rgb="FF1F4E79"/>
      <name val="Arial"/>
      <family val="2"/>
    </font>
    <font>
      <sz val="12"/>
      <color theme="1"/>
      <name val="Aptos Narrow"/>
    </font>
    <font>
      <sz val="12"/>
      <color theme="1"/>
      <name val="Aptos Narrow"/>
      <scheme val="minor"/>
    </font>
    <font>
      <b/>
      <sz val="12"/>
      <color rgb="FF156082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4"/>
      <name val="Aptos Narrow"/>
      <family val="2"/>
      <scheme val="minor"/>
    </font>
    <font>
      <b/>
      <sz val="9"/>
      <color rgb="FF1F4E79"/>
      <name val="Arial"/>
      <family val="2"/>
    </font>
    <font>
      <sz val="9"/>
      <color rgb="FF808080"/>
      <name val="Arial"/>
      <family val="2"/>
    </font>
    <font>
      <b/>
      <sz val="10"/>
      <color rgb="FFFFFFFF"/>
      <name val="Arial"/>
      <family val="2"/>
    </font>
    <font>
      <sz val="10"/>
      <color indexed="8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Arial"/>
      <family val="2"/>
    </font>
    <font>
      <sz val="12"/>
      <color theme="0"/>
      <name val="Arial"/>
      <family val="2"/>
    </font>
    <font>
      <sz val="10"/>
      <color theme="3" tint="0.749992370372631"/>
      <name val="Arial"/>
      <family val="2"/>
    </font>
    <font>
      <sz val="12"/>
      <color theme="3" tint="0.749992370372631"/>
      <name val="Aptos Narrow"/>
      <family val="2"/>
      <scheme val="minor"/>
    </font>
    <font>
      <b/>
      <sz val="9"/>
      <color rgb="FF808080"/>
      <name val="Arial"/>
      <family val="2"/>
    </font>
    <font>
      <sz val="10"/>
      <color theme="1"/>
      <name val="Aptos Narrow"/>
      <family val="2"/>
      <scheme val="minor"/>
    </font>
    <font>
      <sz val="10"/>
      <color rgb="FF215C98"/>
      <name val="Aptos Narrow"/>
      <family val="2"/>
      <scheme val="minor"/>
    </font>
    <font>
      <b/>
      <sz val="10"/>
      <color rgb="FF7D5900"/>
      <name val="Arial"/>
      <family val="2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sz val="10"/>
      <color rgb="FF375623"/>
      <name val="Arial"/>
      <family val="2"/>
    </font>
    <font>
      <sz val="10"/>
      <color rgb="FF7D5900"/>
      <name val="Arial"/>
      <family val="2"/>
    </font>
    <font>
      <b/>
      <sz val="9"/>
      <color theme="1"/>
      <name val="Arial"/>
      <family val="2"/>
    </font>
    <font>
      <b/>
      <sz val="10"/>
      <color theme="3" tint="0.749992370372631"/>
      <name val="Arial"/>
      <family val="2"/>
    </font>
    <font>
      <b/>
      <sz val="10"/>
      <color rgb="FF006100"/>
      <name val="Arial"/>
      <family val="2"/>
    </font>
    <font>
      <b/>
      <sz val="10"/>
      <color rgb="FF9C6500"/>
      <name val="Arial"/>
      <family val="2"/>
    </font>
    <font>
      <sz val="10"/>
      <color rgb="FF008000"/>
      <name val="Arial"/>
      <family val="2"/>
    </font>
    <font>
      <i/>
      <sz val="10"/>
      <color rgb="FF404040"/>
      <name val="Arial"/>
      <family val="2"/>
    </font>
    <font>
      <b/>
      <i/>
      <sz val="10"/>
      <color rgb="FF404040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  <font>
      <b/>
      <sz val="10"/>
      <color rgb="FF002060"/>
      <name val="Arial"/>
      <family val="2"/>
    </font>
    <font>
      <sz val="10"/>
      <name val="Arial"/>
      <family val="2"/>
    </font>
    <font>
      <i/>
      <sz val="10"/>
      <color rgb="FF666666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i/>
      <sz val="10"/>
      <color rgb="FF595959"/>
      <name val="Arial"/>
      <family val="2"/>
    </font>
    <font>
      <i/>
      <sz val="10"/>
      <color rgb="FF0000FF"/>
      <name val="Arial"/>
      <family val="2"/>
    </font>
    <font>
      <i/>
      <sz val="10"/>
      <name val="Arial"/>
      <family val="2"/>
    </font>
    <font>
      <i/>
      <sz val="10"/>
      <color rgb="FF008000"/>
      <name val="Arial"/>
      <family val="2"/>
    </font>
    <font>
      <sz val="10"/>
      <color theme="3" tint="0.74999237037263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334BFF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rgb="FFC4D79B"/>
        <bgColor rgb="FF000000"/>
      </patternFill>
    </fill>
    <fill>
      <patternFill patternType="solid">
        <fgColor rgb="FF334BFF"/>
        <bgColor indexed="64"/>
      </patternFill>
    </fill>
    <fill>
      <patternFill patternType="solid">
        <fgColor rgb="FFDAEAF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002060"/>
      </patternFill>
    </fill>
    <fill>
      <patternFill patternType="solid">
        <fgColor rgb="FF2E5F8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/>
      <bottom style="thin">
        <color rgb="FFD5D8DB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/>
      <diagonal/>
    </border>
    <border>
      <left style="thin">
        <color rgb="FFD5D8DB"/>
      </left>
      <right/>
      <top style="thin">
        <color rgb="FFD5D8DB"/>
      </top>
      <bottom style="thin">
        <color rgb="FFD5D8DB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BFBFBF"/>
      </bottom>
      <diagonal/>
    </border>
    <border>
      <left style="thin">
        <color rgb="FFD0D7DE"/>
      </left>
      <right style="thin">
        <color rgb="FFD0D7DE"/>
      </right>
      <top/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42" fontId="1" fillId="0" borderId="0"/>
    <xf numFmtId="9" fontId="1" fillId="0" borderId="0"/>
    <xf numFmtId="0" fontId="2" fillId="0" borderId="0"/>
    <xf numFmtId="0" fontId="4" fillId="0" borderId="0"/>
  </cellStyleXfs>
  <cellXfs count="671">
    <xf numFmtId="0" fontId="0" fillId="0" borderId="0" xfId="0"/>
    <xf numFmtId="164" fontId="3" fillId="2" borderId="0" xfId="0" applyNumberFormat="1" applyFont="1" applyFill="1" applyAlignment="1">
      <alignment horizontal="right"/>
    </xf>
    <xf numFmtId="165" fontId="5" fillId="0" borderId="3" xfId="4" applyNumberFormat="1" applyFont="1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1" fillId="5" borderId="0" xfId="0" applyFont="1" applyFill="1" applyAlignment="1">
      <alignment horizontal="right" vertical="center"/>
    </xf>
    <xf numFmtId="0" fontId="11" fillId="6" borderId="0" xfId="0" applyFont="1" applyFill="1"/>
    <xf numFmtId="10" fontId="11" fillId="6" borderId="0" xfId="2" applyNumberFormat="1" applyFont="1" applyFill="1"/>
    <xf numFmtId="0" fontId="11" fillId="0" borderId="0" xfId="0" applyFont="1"/>
    <xf numFmtId="165" fontId="11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66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/>
    </xf>
    <xf numFmtId="10" fontId="11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1" fontId="15" fillId="2" borderId="0" xfId="0" applyNumberFormat="1" applyFont="1" applyFill="1" applyAlignment="1">
      <alignment horizontal="right"/>
    </xf>
    <xf numFmtId="167" fontId="7" fillId="2" borderId="0" xfId="0" applyNumberFormat="1" applyFont="1" applyFill="1" applyAlignment="1">
      <alignment horizontal="right"/>
    </xf>
    <xf numFmtId="167" fontId="3" fillId="2" borderId="0" xfId="2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0" fontId="11" fillId="2" borderId="0" xfId="0" applyFont="1" applyFill="1"/>
    <xf numFmtId="168" fontId="7" fillId="2" borderId="0" xfId="0" applyNumberFormat="1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  <xf numFmtId="1" fontId="16" fillId="7" borderId="0" xfId="0" applyNumberFormat="1" applyFont="1" applyFill="1" applyAlignment="1">
      <alignment horizontal="right"/>
    </xf>
    <xf numFmtId="0" fontId="13" fillId="7" borderId="0" xfId="0" applyFont="1" applyFill="1" applyAlignment="1">
      <alignment horizontal="right"/>
    </xf>
    <xf numFmtId="10" fontId="13" fillId="7" borderId="0" xfId="2" applyNumberFormat="1" applyFont="1" applyFill="1" applyAlignment="1">
      <alignment horizontal="right"/>
    </xf>
    <xf numFmtId="0" fontId="13" fillId="7" borderId="0" xfId="0" applyFont="1" applyFill="1"/>
    <xf numFmtId="169" fontId="7" fillId="2" borderId="0" xfId="0" applyNumberFormat="1" applyFont="1" applyFill="1" applyAlignment="1">
      <alignment horizontal="right"/>
    </xf>
    <xf numFmtId="169" fontId="3" fillId="2" borderId="0" xfId="0" applyNumberFormat="1" applyFont="1" applyFill="1" applyAlignment="1">
      <alignment horizontal="right"/>
    </xf>
    <xf numFmtId="170" fontId="7" fillId="2" borderId="0" xfId="0" applyNumberFormat="1" applyFont="1" applyFill="1" applyAlignment="1">
      <alignment horizontal="right"/>
    </xf>
    <xf numFmtId="170" fontId="3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horizontal="left"/>
    </xf>
    <xf numFmtId="1" fontId="16" fillId="2" borderId="0" xfId="0" applyNumberFormat="1" applyFont="1" applyFill="1" applyAlignment="1">
      <alignment horizontal="right"/>
    </xf>
    <xf numFmtId="170" fontId="17" fillId="2" borderId="0" xfId="0" applyNumberFormat="1" applyFont="1" applyFill="1" applyAlignment="1">
      <alignment horizontal="right"/>
    </xf>
    <xf numFmtId="170" fontId="18" fillId="2" borderId="0" xfId="0" applyNumberFormat="1" applyFont="1" applyFill="1" applyAlignment="1">
      <alignment horizontal="right"/>
    </xf>
    <xf numFmtId="0" fontId="13" fillId="2" borderId="0" xfId="0" applyFont="1" applyFill="1"/>
    <xf numFmtId="1" fontId="15" fillId="7" borderId="0" xfId="0" applyNumberFormat="1" applyFont="1" applyFill="1" applyAlignment="1">
      <alignment horizontal="right"/>
    </xf>
    <xf numFmtId="166" fontId="11" fillId="7" borderId="0" xfId="0" applyNumberFormat="1" applyFont="1" applyFill="1" applyAlignment="1">
      <alignment horizontal="right"/>
    </xf>
    <xf numFmtId="165" fontId="11" fillId="7" borderId="0" xfId="0" applyNumberFormat="1" applyFont="1" applyFill="1" applyAlignment="1">
      <alignment horizontal="right"/>
    </xf>
    <xf numFmtId="171" fontId="11" fillId="7" borderId="0" xfId="0" applyNumberFormat="1" applyFont="1" applyFill="1" applyAlignment="1">
      <alignment horizontal="right"/>
    </xf>
    <xf numFmtId="0" fontId="11" fillId="7" borderId="0" xfId="0" applyFont="1" applyFill="1"/>
    <xf numFmtId="0" fontId="7" fillId="3" borderId="0" xfId="0" applyFont="1" applyFill="1"/>
    <xf numFmtId="0" fontId="7" fillId="0" borderId="0" xfId="0" applyFont="1"/>
    <xf numFmtId="164" fontId="7" fillId="2" borderId="0" xfId="0" applyNumberFormat="1" applyFont="1" applyFill="1" applyAlignment="1">
      <alignment horizontal="right"/>
    </xf>
    <xf numFmtId="169" fontId="13" fillId="7" borderId="0" xfId="0" applyNumberFormat="1" applyFont="1" applyFill="1"/>
    <xf numFmtId="169" fontId="19" fillId="7" borderId="0" xfId="0" applyNumberFormat="1" applyFont="1" applyFill="1" applyAlignment="1">
      <alignment horizontal="right"/>
    </xf>
    <xf numFmtId="0" fontId="13" fillId="8" borderId="0" xfId="0" applyFont="1" applyFill="1" applyAlignment="1">
      <alignment horizontal="right"/>
    </xf>
    <xf numFmtId="0" fontId="13" fillId="8" borderId="0" xfId="0" applyFont="1" applyFill="1"/>
    <xf numFmtId="10" fontId="11" fillId="2" borderId="0" xfId="2" applyNumberFormat="1" applyFont="1" applyFill="1"/>
    <xf numFmtId="0" fontId="20" fillId="2" borderId="0" xfId="0" applyFont="1" applyFill="1"/>
    <xf numFmtId="10" fontId="11" fillId="0" borderId="0" xfId="2" applyNumberFormat="1" applyFont="1"/>
    <xf numFmtId="170" fontId="18" fillId="2" borderId="0" xfId="2" applyNumberFormat="1" applyFont="1" applyFill="1" applyAlignment="1">
      <alignment horizontal="right"/>
    </xf>
    <xf numFmtId="170" fontId="17" fillId="2" borderId="0" xfId="2" applyNumberFormat="1" applyFont="1" applyFill="1" applyAlignment="1">
      <alignment horizontal="right"/>
    </xf>
    <xf numFmtId="0" fontId="13" fillId="2" borderId="0" xfId="0" applyFont="1" applyFill="1" applyAlignment="1">
      <alignment horizontal="left" vertical="center"/>
    </xf>
    <xf numFmtId="170" fontId="3" fillId="2" borderId="0" xfId="2" applyNumberFormat="1" applyFont="1" applyFill="1" applyAlignment="1">
      <alignment horizontal="right"/>
    </xf>
    <xf numFmtId="170" fontId="7" fillId="2" borderId="0" xfId="2" applyNumberFormat="1" applyFont="1" applyFill="1" applyAlignment="1">
      <alignment horizontal="right"/>
    </xf>
    <xf numFmtId="0" fontId="11" fillId="2" borderId="0" xfId="0" applyFont="1" applyFill="1" applyAlignment="1">
      <alignment horizontal="left" vertical="center"/>
    </xf>
    <xf numFmtId="0" fontId="17" fillId="0" borderId="0" xfId="0" applyFont="1" applyAlignment="1">
      <alignment horizontal="right"/>
    </xf>
    <xf numFmtId="9" fontId="13" fillId="0" borderId="0" xfId="2" applyFont="1" applyAlignment="1">
      <alignment horizontal="right"/>
    </xf>
    <xf numFmtId="170" fontId="8" fillId="2" borderId="0" xfId="2" applyNumberFormat="1" applyFont="1" applyFill="1" applyAlignment="1">
      <alignment horizontal="right"/>
    </xf>
    <xf numFmtId="170" fontId="8" fillId="2" borderId="0" xfId="0" applyNumberFormat="1" applyFont="1" applyFill="1" applyAlignment="1">
      <alignment horizontal="right"/>
    </xf>
    <xf numFmtId="10" fontId="13" fillId="8" borderId="0" xfId="2" applyNumberFormat="1" applyFont="1" applyFill="1" applyAlignment="1">
      <alignment horizontal="right"/>
    </xf>
    <xf numFmtId="1" fontId="13" fillId="8" borderId="0" xfId="2" applyNumberFormat="1" applyFont="1" applyFill="1" applyAlignment="1">
      <alignment horizontal="right"/>
    </xf>
    <xf numFmtId="10" fontId="13" fillId="7" borderId="0" xfId="2" applyNumberFormat="1" applyFont="1" applyFill="1"/>
    <xf numFmtId="164" fontId="17" fillId="2" borderId="0" xfId="0" applyNumberFormat="1" applyFont="1" applyFill="1" applyAlignment="1">
      <alignment horizontal="right"/>
    </xf>
    <xf numFmtId="171" fontId="13" fillId="8" borderId="0" xfId="0" applyNumberFormat="1" applyFont="1" applyFill="1" applyAlignment="1">
      <alignment horizontal="right"/>
    </xf>
    <xf numFmtId="0" fontId="13" fillId="8" borderId="0" xfId="0" applyFont="1" applyFill="1" applyAlignment="1">
      <alignment horizontal="left" vertical="center"/>
    </xf>
    <xf numFmtId="10" fontId="11" fillId="0" borderId="0" xfId="2" applyNumberFormat="1" applyFont="1" applyAlignment="1">
      <alignment horizontal="right"/>
    </xf>
    <xf numFmtId="171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 vertical="center"/>
    </xf>
    <xf numFmtId="164" fontId="18" fillId="2" borderId="0" xfId="0" applyNumberFormat="1" applyFont="1" applyFill="1" applyAlignment="1">
      <alignment horizontal="right"/>
    </xf>
    <xf numFmtId="10" fontId="8" fillId="2" borderId="0" xfId="2" applyNumberFormat="1" applyFont="1" applyFill="1" applyAlignment="1">
      <alignment horizontal="right"/>
    </xf>
    <xf numFmtId="0" fontId="21" fillId="6" borderId="0" xfId="0" applyFont="1" applyFill="1"/>
    <xf numFmtId="172" fontId="21" fillId="0" borderId="0" xfId="0" applyNumberFormat="1" applyFont="1"/>
    <xf numFmtId="0" fontId="22" fillId="0" borderId="0" xfId="0" applyFont="1"/>
    <xf numFmtId="0" fontId="22" fillId="6" borderId="0" xfId="0" applyFont="1" applyFill="1"/>
    <xf numFmtId="10" fontId="13" fillId="8" borderId="0" xfId="2" applyNumberFormat="1" applyFont="1" applyFill="1"/>
    <xf numFmtId="0" fontId="13" fillId="7" borderId="0" xfId="0" applyFont="1" applyFill="1" applyAlignment="1">
      <alignment horizontal="left" vertical="center" wrapText="1"/>
    </xf>
    <xf numFmtId="0" fontId="11" fillId="6" borderId="6" xfId="0" applyFont="1" applyFill="1" applyBorder="1"/>
    <xf numFmtId="10" fontId="11" fillId="7" borderId="6" xfId="2" applyNumberFormat="1" applyFont="1" applyFill="1" applyBorder="1"/>
    <xf numFmtId="0" fontId="11" fillId="7" borderId="6" xfId="0" applyFont="1" applyFill="1" applyBorder="1"/>
    <xf numFmtId="0" fontId="23" fillId="7" borderId="6" xfId="0" applyFont="1" applyFill="1" applyBorder="1"/>
    <xf numFmtId="0" fontId="11" fillId="0" borderId="0" xfId="0" applyFont="1" applyAlignment="1">
      <alignment wrapText="1"/>
    </xf>
    <xf numFmtId="0" fontId="24" fillId="2" borderId="0" xfId="0" applyFont="1" applyFill="1"/>
    <xf numFmtId="0" fontId="11" fillId="0" borderId="7" xfId="0" applyFont="1" applyBorder="1"/>
    <xf numFmtId="0" fontId="25" fillId="8" borderId="7" xfId="0" applyFont="1" applyFill="1" applyBorder="1"/>
    <xf numFmtId="0" fontId="13" fillId="8" borderId="7" xfId="0" applyFont="1" applyFill="1" applyBorder="1"/>
    <xf numFmtId="0" fontId="26" fillId="2" borderId="0" xfId="0" applyFont="1" applyFill="1"/>
    <xf numFmtId="0" fontId="27" fillId="2" borderId="0" xfId="0" applyFont="1" applyFill="1"/>
    <xf numFmtId="0" fontId="13" fillId="8" borderId="8" xfId="0" applyFont="1" applyFill="1" applyBorder="1"/>
    <xf numFmtId="165" fontId="13" fillId="2" borderId="0" xfId="0" applyNumberFormat="1" applyFont="1" applyFill="1" applyAlignment="1">
      <alignment horizontal="right"/>
    </xf>
    <xf numFmtId="173" fontId="13" fillId="2" borderId="0" xfId="0" applyNumberFormat="1" applyFont="1" applyFill="1" applyAlignment="1">
      <alignment horizontal="right"/>
    </xf>
    <xf numFmtId="173" fontId="13" fillId="2" borderId="7" xfId="0" applyNumberFormat="1" applyFont="1" applyFill="1" applyBorder="1" applyAlignment="1">
      <alignment horizontal="right"/>
    </xf>
    <xf numFmtId="0" fontId="13" fillId="2" borderId="7" xfId="0" applyFont="1" applyFill="1" applyBorder="1"/>
    <xf numFmtId="165" fontId="11" fillId="2" borderId="0" xfId="0" applyNumberFormat="1" applyFont="1" applyFill="1" applyAlignment="1">
      <alignment horizontal="right"/>
    </xf>
    <xf numFmtId="165" fontId="13" fillId="2" borderId="7" xfId="0" applyNumberFormat="1" applyFont="1" applyFill="1" applyBorder="1" applyAlignment="1">
      <alignment horizontal="right"/>
    </xf>
    <xf numFmtId="172" fontId="11" fillId="2" borderId="0" xfId="0" applyNumberFormat="1" applyFont="1" applyFill="1" applyAlignment="1">
      <alignment horizontal="right"/>
    </xf>
    <xf numFmtId="0" fontId="11" fillId="8" borderId="9" xfId="0" applyFont="1" applyFill="1" applyBorder="1"/>
    <xf numFmtId="1" fontId="8" fillId="2" borderId="0" xfId="0" applyNumberFormat="1" applyFont="1" applyFill="1" applyAlignment="1">
      <alignment horizontal="right"/>
    </xf>
    <xf numFmtId="172" fontId="8" fillId="2" borderId="0" xfId="0" applyNumberFormat="1" applyFont="1" applyFill="1" applyAlignment="1">
      <alignment horizontal="right"/>
    </xf>
    <xf numFmtId="0" fontId="13" fillId="8" borderId="8" xfId="0" applyFont="1" applyFill="1" applyBorder="1" applyAlignment="1">
      <alignment horizontal="right"/>
    </xf>
    <xf numFmtId="173" fontId="11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73" fontId="8" fillId="2" borderId="0" xfId="0" applyNumberFormat="1" applyFont="1" applyFill="1" applyAlignment="1">
      <alignment horizontal="right"/>
    </xf>
    <xf numFmtId="173" fontId="3" fillId="2" borderId="0" xfId="0" applyNumberFormat="1" applyFont="1" applyFill="1" applyAlignment="1">
      <alignment horizontal="right"/>
    </xf>
    <xf numFmtId="0" fontId="11" fillId="8" borderId="0" xfId="0" applyFont="1" applyFill="1"/>
    <xf numFmtId="0" fontId="13" fillId="8" borderId="8" xfId="0" applyFont="1" applyFill="1" applyBorder="1" applyAlignment="1">
      <alignment horizontal="left"/>
    </xf>
    <xf numFmtId="0" fontId="34" fillId="8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25" fillId="8" borderId="7" xfId="0" applyFont="1" applyFill="1" applyBorder="1" applyAlignment="1">
      <alignment horizontal="right"/>
    </xf>
    <xf numFmtId="0" fontId="34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2" borderId="0" xfId="0" applyFont="1" applyFill="1" applyAlignment="1">
      <alignment horizontal="right"/>
    </xf>
    <xf numFmtId="0" fontId="3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8" borderId="8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right"/>
    </xf>
    <xf numFmtId="0" fontId="13" fillId="8" borderId="10" xfId="0" applyFont="1" applyFill="1" applyBorder="1" applyAlignment="1">
      <alignment horizontal="left"/>
    </xf>
    <xf numFmtId="0" fontId="11" fillId="7" borderId="9" xfId="0" applyFont="1" applyFill="1" applyBorder="1"/>
    <xf numFmtId="0" fontId="13" fillId="7" borderId="9" xfId="0" applyFont="1" applyFill="1" applyBorder="1"/>
    <xf numFmtId="0" fontId="13" fillId="4" borderId="7" xfId="0" applyFont="1" applyFill="1" applyBorder="1"/>
    <xf numFmtId="0" fontId="11" fillId="4" borderId="7" xfId="0" applyFont="1" applyFill="1" applyBorder="1"/>
    <xf numFmtId="165" fontId="13" fillId="4" borderId="7" xfId="0" applyNumberFormat="1" applyFont="1" applyFill="1" applyBorder="1" applyAlignment="1">
      <alignment horizontal="right"/>
    </xf>
    <xf numFmtId="0" fontId="13" fillId="4" borderId="8" xfId="0" applyFont="1" applyFill="1" applyBorder="1"/>
    <xf numFmtId="0" fontId="11" fillId="4" borderId="8" xfId="0" applyFont="1" applyFill="1" applyBorder="1"/>
    <xf numFmtId="0" fontId="13" fillId="4" borderId="8" xfId="0" applyFont="1" applyFill="1" applyBorder="1" applyAlignment="1">
      <alignment horizontal="right"/>
    </xf>
    <xf numFmtId="0" fontId="13" fillId="4" borderId="9" xfId="0" applyFont="1" applyFill="1" applyBorder="1"/>
    <xf numFmtId="0" fontId="11" fillId="4" borderId="9" xfId="0" applyFont="1" applyFill="1" applyBorder="1"/>
    <xf numFmtId="0" fontId="11" fillId="9" borderId="0" xfId="0" applyFont="1" applyFill="1"/>
    <xf numFmtId="0" fontId="13" fillId="9" borderId="0" xfId="0" applyFont="1" applyFill="1"/>
    <xf numFmtId="0" fontId="31" fillId="9" borderId="0" xfId="0" applyFont="1" applyFill="1"/>
    <xf numFmtId="0" fontId="0" fillId="9" borderId="0" xfId="0" applyFill="1"/>
    <xf numFmtId="0" fontId="31" fillId="0" borderId="0" xfId="0" applyFont="1"/>
    <xf numFmtId="0" fontId="29" fillId="0" borderId="0" xfId="0" applyFont="1"/>
    <xf numFmtId="0" fontId="28" fillId="0" borderId="0" xfId="0" applyFont="1"/>
    <xf numFmtId="0" fontId="32" fillId="4" borderId="0" xfId="0" applyFont="1" applyFill="1"/>
    <xf numFmtId="0" fontId="0" fillId="4" borderId="0" xfId="0" applyFill="1"/>
    <xf numFmtId="0" fontId="30" fillId="4" borderId="0" xfId="0" applyFont="1" applyFill="1"/>
    <xf numFmtId="0" fontId="36" fillId="0" borderId="0" xfId="0" applyFont="1" applyAlignment="1">
      <alignment horizontal="left" vertical="top"/>
    </xf>
    <xf numFmtId="0" fontId="37" fillId="11" borderId="0" xfId="4" applyFont="1" applyFill="1"/>
    <xf numFmtId="0" fontId="38" fillId="11" borderId="0" xfId="0" applyFont="1" applyFill="1"/>
    <xf numFmtId="0" fontId="40" fillId="12" borderId="12" xfId="0" applyFont="1" applyFill="1" applyBorder="1"/>
    <xf numFmtId="0" fontId="37" fillId="0" borderId="0" xfId="4" applyFont="1"/>
    <xf numFmtId="0" fontId="0" fillId="11" borderId="0" xfId="0" applyFill="1"/>
    <xf numFmtId="0" fontId="39" fillId="14" borderId="0" xfId="0" applyFont="1" applyFill="1"/>
    <xf numFmtId="0" fontId="40" fillId="12" borderId="12" xfId="4" applyFont="1" applyFill="1" applyBorder="1"/>
    <xf numFmtId="0" fontId="40" fillId="0" borderId="0" xfId="4" applyFont="1"/>
    <xf numFmtId="0" fontId="40" fillId="12" borderId="0" xfId="0" applyFont="1" applyFill="1"/>
    <xf numFmtId="0" fontId="40" fillId="12" borderId="12" xfId="4" applyFont="1" applyFill="1" applyBorder="1" applyAlignment="1">
      <alignment horizontal="left" vertical="center"/>
    </xf>
    <xf numFmtId="0" fontId="40" fillId="0" borderId="0" xfId="4" applyFont="1" applyAlignment="1">
      <alignment horizontal="left" vertical="center"/>
    </xf>
    <xf numFmtId="0" fontId="40" fillId="12" borderId="14" xfId="0" applyFont="1" applyFill="1" applyBorder="1" applyAlignment="1">
      <alignment horizontal="left" vertical="center"/>
    </xf>
    <xf numFmtId="0" fontId="40" fillId="12" borderId="0" xfId="0" applyFont="1" applyFill="1" applyAlignment="1">
      <alignment horizontal="left" vertical="center"/>
    </xf>
    <xf numFmtId="0" fontId="40" fillId="12" borderId="12" xfId="0" applyFont="1" applyFill="1" applyBorder="1" applyAlignment="1">
      <alignment horizontal="left" vertical="center"/>
    </xf>
    <xf numFmtId="0" fontId="41" fillId="13" borderId="3" xfId="4" applyFont="1" applyFill="1" applyBorder="1" applyAlignment="1">
      <alignment horizontal="left" vertical="center"/>
    </xf>
    <xf numFmtId="0" fontId="4" fillId="13" borderId="3" xfId="4" applyFill="1" applyBorder="1"/>
    <xf numFmtId="0" fontId="41" fillId="13" borderId="15" xfId="0" applyFont="1" applyFill="1" applyBorder="1" applyAlignment="1">
      <alignment horizontal="left" vertical="center"/>
    </xf>
    <xf numFmtId="0" fontId="0" fillId="13" borderId="0" xfId="0" applyFill="1"/>
    <xf numFmtId="0" fontId="41" fillId="13" borderId="3" xfId="0" applyFont="1" applyFill="1" applyBorder="1" applyAlignment="1">
      <alignment horizontal="left" vertical="center"/>
    </xf>
    <xf numFmtId="0" fontId="0" fillId="13" borderId="3" xfId="0" applyFill="1" applyBorder="1"/>
    <xf numFmtId="0" fontId="5" fillId="0" borderId="3" xfId="4" applyFont="1" applyBorder="1" applyAlignment="1">
      <alignment vertical="center"/>
    </xf>
    <xf numFmtId="165" fontId="5" fillId="0" borderId="0" xfId="4" applyNumberFormat="1" applyFont="1" applyAlignment="1">
      <alignment horizontal="right" vertical="center"/>
    </xf>
    <xf numFmtId="0" fontId="5" fillId="0" borderId="3" xfId="0" applyFont="1" applyBorder="1" applyAlignment="1">
      <alignment vertical="center"/>
    </xf>
    <xf numFmtId="4" fontId="5" fillId="0" borderId="13" xfId="0" applyNumberFormat="1" applyFont="1" applyBorder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4" fontId="5" fillId="0" borderId="3" xfId="0" applyNumberFormat="1" applyFont="1" applyBorder="1" applyAlignment="1">
      <alignment horizontal="right" vertical="center"/>
    </xf>
    <xf numFmtId="0" fontId="5" fillId="0" borderId="3" xfId="4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5" fontId="5" fillId="0" borderId="0" xfId="0" applyNumberFormat="1" applyFont="1" applyAlignment="1">
      <alignment horizontal="right" vertical="center"/>
    </xf>
    <xf numFmtId="4" fontId="5" fillId="0" borderId="3" xfId="4" applyNumberFormat="1" applyFont="1" applyBorder="1" applyAlignment="1">
      <alignment horizontal="right" vertical="center"/>
    </xf>
    <xf numFmtId="4" fontId="5" fillId="0" borderId="0" xfId="4" applyNumberFormat="1" applyFont="1" applyAlignment="1">
      <alignment horizontal="right" vertical="center"/>
    </xf>
    <xf numFmtId="3" fontId="5" fillId="0" borderId="3" xfId="4" applyNumberFormat="1" applyFont="1" applyBorder="1" applyAlignment="1">
      <alignment horizontal="right" vertical="center"/>
    </xf>
    <xf numFmtId="0" fontId="41" fillId="0" borderId="3" xfId="0" applyFont="1" applyBorder="1" applyAlignment="1">
      <alignment vertical="center"/>
    </xf>
    <xf numFmtId="165" fontId="41" fillId="0" borderId="3" xfId="0" applyNumberFormat="1" applyFont="1" applyBorder="1" applyAlignment="1">
      <alignment horizontal="right" vertical="center"/>
    </xf>
    <xf numFmtId="165" fontId="42" fillId="0" borderId="3" xfId="0" applyNumberFormat="1" applyFont="1" applyBorder="1" applyAlignment="1">
      <alignment horizontal="right" vertical="center"/>
    </xf>
    <xf numFmtId="165" fontId="42" fillId="0" borderId="0" xfId="0" applyNumberFormat="1" applyFont="1" applyAlignment="1">
      <alignment horizontal="right" vertical="center"/>
    </xf>
    <xf numFmtId="3" fontId="5" fillId="0" borderId="0" xfId="4" applyNumberFormat="1" applyFont="1" applyAlignment="1">
      <alignment horizontal="right" vertical="center"/>
    </xf>
    <xf numFmtId="165" fontId="41" fillId="0" borderId="0" xfId="0" applyNumberFormat="1" applyFont="1" applyAlignment="1">
      <alignment horizontal="right" vertical="center"/>
    </xf>
    <xf numFmtId="3" fontId="41" fillId="0" borderId="3" xfId="0" applyNumberFormat="1" applyFont="1" applyBorder="1" applyAlignment="1">
      <alignment horizontal="right" vertical="center"/>
    </xf>
    <xf numFmtId="0" fontId="41" fillId="0" borderId="3" xfId="4" applyFont="1" applyBorder="1" applyAlignment="1">
      <alignment vertical="center"/>
    </xf>
    <xf numFmtId="165" fontId="41" fillId="0" borderId="3" xfId="4" applyNumberFormat="1" applyFont="1" applyBorder="1" applyAlignment="1">
      <alignment horizontal="right" vertical="center"/>
    </xf>
    <xf numFmtId="165" fontId="41" fillId="0" borderId="0" xfId="4" applyNumberFormat="1" applyFont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5" fontId="42" fillId="0" borderId="3" xfId="4" applyNumberFormat="1" applyFont="1" applyBorder="1" applyAlignment="1">
      <alignment horizontal="right" vertical="center"/>
    </xf>
    <xf numFmtId="165" fontId="42" fillId="0" borderId="0" xfId="4" applyNumberFormat="1" applyFont="1" applyAlignment="1">
      <alignment horizontal="right" vertical="center"/>
    </xf>
    <xf numFmtId="3" fontId="41" fillId="0" borderId="0" xfId="0" applyNumberFormat="1" applyFont="1" applyAlignment="1">
      <alignment horizontal="right" vertical="center"/>
    </xf>
    <xf numFmtId="3" fontId="41" fillId="0" borderId="3" xfId="4" applyNumberFormat="1" applyFont="1" applyBorder="1" applyAlignment="1">
      <alignment horizontal="right" vertical="center"/>
    </xf>
    <xf numFmtId="3" fontId="41" fillId="0" borderId="0" xfId="4" applyNumberFormat="1" applyFont="1" applyAlignment="1">
      <alignment horizontal="right" vertical="center"/>
    </xf>
    <xf numFmtId="4" fontId="42" fillId="0" borderId="3" xfId="0" applyNumberFormat="1" applyFont="1" applyBorder="1" applyAlignment="1">
      <alignment horizontal="right" vertical="center"/>
    </xf>
    <xf numFmtId="3" fontId="42" fillId="0" borderId="3" xfId="0" applyNumberFormat="1" applyFont="1" applyBorder="1" applyAlignment="1">
      <alignment horizontal="right" vertical="center"/>
    </xf>
    <xf numFmtId="4" fontId="42" fillId="0" borderId="0" xfId="0" applyNumberFormat="1" applyFont="1" applyAlignment="1">
      <alignment horizontal="right" vertical="center"/>
    </xf>
    <xf numFmtId="4" fontId="42" fillId="0" borderId="3" xfId="4" applyNumberFormat="1" applyFont="1" applyBorder="1" applyAlignment="1">
      <alignment horizontal="right" vertical="center"/>
    </xf>
    <xf numFmtId="4" fontId="42" fillId="0" borderId="0" xfId="4" applyNumberFormat="1" applyFont="1" applyAlignment="1">
      <alignment horizontal="right" vertical="center"/>
    </xf>
    <xf numFmtId="174" fontId="5" fillId="0" borderId="3" xfId="0" applyNumberFormat="1" applyFont="1" applyBorder="1" applyAlignment="1">
      <alignment horizontal="right" vertical="center"/>
    </xf>
    <xf numFmtId="174" fontId="5" fillId="0" borderId="0" xfId="0" applyNumberFormat="1" applyFont="1" applyAlignment="1">
      <alignment horizontal="right" vertical="center"/>
    </xf>
    <xf numFmtId="174" fontId="5" fillId="0" borderId="3" xfId="4" applyNumberFormat="1" applyFont="1" applyBorder="1" applyAlignment="1">
      <alignment horizontal="right" vertical="center"/>
    </xf>
    <xf numFmtId="174" fontId="5" fillId="0" borderId="0" xfId="4" applyNumberFormat="1" applyFont="1" applyAlignment="1">
      <alignment horizontal="right" vertical="center"/>
    </xf>
    <xf numFmtId="0" fontId="4" fillId="0" borderId="0" xfId="4"/>
    <xf numFmtId="0" fontId="40" fillId="0" borderId="0" xfId="0" applyFont="1"/>
    <xf numFmtId="0" fontId="40" fillId="0" borderId="0" xfId="0" applyFont="1" applyAlignment="1">
      <alignment horizontal="left" vertical="center"/>
    </xf>
    <xf numFmtId="165" fontId="43" fillId="0" borderId="3" xfId="0" applyNumberFormat="1" applyFont="1" applyBorder="1" applyAlignment="1">
      <alignment horizontal="right" vertical="center"/>
    </xf>
    <xf numFmtId="165" fontId="43" fillId="0" borderId="0" xfId="0" applyNumberFormat="1" applyFont="1" applyAlignment="1">
      <alignment horizontal="right" vertical="center"/>
    </xf>
    <xf numFmtId="4" fontId="43" fillId="0" borderId="3" xfId="0" applyNumberFormat="1" applyFont="1" applyBorder="1" applyAlignment="1">
      <alignment horizontal="right" vertical="center"/>
    </xf>
    <xf numFmtId="4" fontId="43" fillId="0" borderId="0" xfId="0" applyNumberFormat="1" applyFont="1" applyAlignment="1">
      <alignment horizontal="right" vertical="center"/>
    </xf>
    <xf numFmtId="0" fontId="44" fillId="10" borderId="5" xfId="0" applyFont="1" applyFill="1" applyBorder="1" applyAlignment="1">
      <alignment horizontal="left" vertical="center"/>
    </xf>
    <xf numFmtId="1" fontId="40" fillId="10" borderId="16" xfId="0" applyNumberFormat="1" applyFont="1" applyFill="1" applyBorder="1" applyAlignment="1">
      <alignment horizontal="left" vertical="center"/>
    </xf>
    <xf numFmtId="3" fontId="40" fillId="10" borderId="16" xfId="0" applyNumberFormat="1" applyFont="1" applyFill="1" applyBorder="1" applyAlignment="1">
      <alignment horizontal="left" vertical="center"/>
    </xf>
    <xf numFmtId="0" fontId="40" fillId="10" borderId="16" xfId="0" applyFont="1" applyFill="1" applyBorder="1" applyAlignment="1">
      <alignment horizontal="left" vertical="center"/>
    </xf>
    <xf numFmtId="0" fontId="35" fillId="15" borderId="0" xfId="0" applyFont="1" applyFill="1" applyAlignment="1">
      <alignment horizontal="center"/>
    </xf>
    <xf numFmtId="0" fontId="35" fillId="15" borderId="0" xfId="0" applyFont="1" applyFill="1" applyAlignment="1">
      <alignment horizontal="left"/>
    </xf>
    <xf numFmtId="0" fontId="20" fillId="0" borderId="0" xfId="0" applyFont="1"/>
    <xf numFmtId="0" fontId="17" fillId="7" borderId="0" xfId="0" applyFont="1" applyFill="1"/>
    <xf numFmtId="165" fontId="17" fillId="7" borderId="3" xfId="4" applyNumberFormat="1" applyFont="1" applyFill="1" applyBorder="1" applyAlignment="1">
      <alignment horizontal="right" vertical="center"/>
    </xf>
    <xf numFmtId="0" fontId="17" fillId="7" borderId="0" xfId="0" applyFont="1" applyFill="1" applyAlignment="1">
      <alignment horizontal="right"/>
    </xf>
    <xf numFmtId="0" fontId="7" fillId="2" borderId="0" xfId="0" applyFont="1" applyFill="1"/>
    <xf numFmtId="0" fontId="13" fillId="0" borderId="17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9" xfId="0" applyFont="1" applyBorder="1" applyAlignment="1">
      <alignment horizontal="right"/>
    </xf>
    <xf numFmtId="0" fontId="11" fillId="2" borderId="0" xfId="0" applyFont="1" applyFill="1" applyAlignment="1">
      <alignment horizontal="left" indent="1"/>
    </xf>
    <xf numFmtId="0" fontId="36" fillId="0" borderId="0" xfId="0" applyFont="1" applyAlignment="1">
      <alignment horizontal="left" vertical="top" indent="1"/>
    </xf>
    <xf numFmtId="0" fontId="17" fillId="7" borderId="0" xfId="0" applyFont="1" applyFill="1" applyAlignment="1">
      <alignment horizontal="left"/>
    </xf>
    <xf numFmtId="0" fontId="7" fillId="0" borderId="0" xfId="0" applyFont="1" applyAlignment="1">
      <alignment horizontal="left" indent="1"/>
    </xf>
    <xf numFmtId="0" fontId="17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17" fillId="3" borderId="0" xfId="0" applyFont="1" applyFill="1" applyAlignment="1">
      <alignment horizontal="left"/>
    </xf>
    <xf numFmtId="0" fontId="17" fillId="2" borderId="0" xfId="0" applyFont="1" applyFill="1" applyAlignment="1">
      <alignment horizontal="left"/>
    </xf>
    <xf numFmtId="0" fontId="23" fillId="7" borderId="0" xfId="0" applyFont="1" applyFill="1"/>
    <xf numFmtId="0" fontId="9" fillId="7" borderId="0" xfId="0" applyFont="1" applyFill="1"/>
    <xf numFmtId="0" fontId="13" fillId="8" borderId="4" xfId="0" applyFont="1" applyFill="1" applyBorder="1"/>
    <xf numFmtId="0" fontId="11" fillId="8" borderId="0" xfId="0" applyFont="1" applyFill="1" applyAlignment="1">
      <alignment horizontal="left"/>
    </xf>
    <xf numFmtId="14" fontId="11" fillId="0" borderId="0" xfId="0" applyNumberFormat="1" applyFont="1" applyAlignment="1">
      <alignment horizontal="right"/>
    </xf>
    <xf numFmtId="175" fontId="8" fillId="0" borderId="0" xfId="1" applyNumberFormat="1" applyFont="1" applyAlignment="1">
      <alignment horizontal="right"/>
    </xf>
    <xf numFmtId="176" fontId="8" fillId="0" borderId="0" xfId="0" applyNumberFormat="1" applyFont="1" applyAlignment="1">
      <alignment horizontal="right"/>
    </xf>
    <xf numFmtId="176" fontId="11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166" fontId="11" fillId="0" borderId="0" xfId="0" applyNumberFormat="1" applyFont="1"/>
    <xf numFmtId="9" fontId="11" fillId="0" borderId="0" xfId="2" applyFont="1" applyAlignment="1">
      <alignment horizontal="right"/>
    </xf>
    <xf numFmtId="14" fontId="7" fillId="5" borderId="0" xfId="0" applyNumberFormat="1" applyFont="1" applyFill="1" applyAlignment="1">
      <alignment horizontal="center" vertical="center" wrapText="1"/>
    </xf>
    <xf numFmtId="176" fontId="7" fillId="5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10" fontId="7" fillId="0" borderId="0" xfId="2" applyNumberFormat="1" applyFont="1" applyAlignment="1">
      <alignment horizontal="right"/>
    </xf>
    <xf numFmtId="172" fontId="7" fillId="0" borderId="0" xfId="2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10" fontId="7" fillId="0" borderId="0" xfId="0" applyNumberFormat="1" applyFont="1" applyAlignment="1">
      <alignment horizontal="right"/>
    </xf>
    <xf numFmtId="177" fontId="7" fillId="0" borderId="0" xfId="0" applyNumberFormat="1" applyFont="1" applyAlignment="1">
      <alignment horizontal="right"/>
    </xf>
    <xf numFmtId="178" fontId="7" fillId="0" borderId="0" xfId="0" applyNumberFormat="1" applyFont="1" applyAlignment="1">
      <alignment horizontal="right"/>
    </xf>
    <xf numFmtId="0" fontId="35" fillId="15" borderId="21" xfId="0" applyFont="1" applyFill="1" applyBorder="1" applyAlignment="1">
      <alignment horizontal="center" vertical="center" wrapText="1"/>
    </xf>
    <xf numFmtId="0" fontId="35" fillId="15" borderId="22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3" fillId="2" borderId="20" xfId="0" applyFont="1" applyFill="1" applyBorder="1"/>
    <xf numFmtId="0" fontId="9" fillId="2" borderId="20" xfId="0" applyFont="1" applyFill="1" applyBorder="1"/>
    <xf numFmtId="0" fontId="12" fillId="2" borderId="20" xfId="0" applyFont="1" applyFill="1" applyBorder="1"/>
    <xf numFmtId="0" fontId="9" fillId="2" borderId="2" xfId="0" applyFont="1" applyFill="1" applyBorder="1"/>
    <xf numFmtId="0" fontId="10" fillId="2" borderId="1" xfId="0" applyFont="1" applyFill="1" applyBorder="1"/>
    <xf numFmtId="0" fontId="9" fillId="2" borderId="1" xfId="0" applyFont="1" applyFill="1" applyBorder="1"/>
    <xf numFmtId="0" fontId="12" fillId="2" borderId="1" xfId="0" applyFont="1" applyFill="1" applyBorder="1"/>
    <xf numFmtId="0" fontId="13" fillId="0" borderId="17" xfId="0" applyFont="1" applyBorder="1"/>
    <xf numFmtId="0" fontId="14" fillId="8" borderId="17" xfId="0" applyFont="1" applyFill="1" applyBorder="1" applyAlignment="1">
      <alignment horizontal="left"/>
    </xf>
    <xf numFmtId="0" fontId="11" fillId="0" borderId="17" xfId="0" applyFont="1" applyBorder="1"/>
    <xf numFmtId="0" fontId="14" fillId="8" borderId="17" xfId="0" applyFont="1" applyFill="1" applyBorder="1" applyAlignment="1">
      <alignment horizontal="center"/>
    </xf>
    <xf numFmtId="0" fontId="11" fillId="0" borderId="17" xfId="0" applyFont="1" applyBorder="1" applyAlignment="1">
      <alignment horizontal="right"/>
    </xf>
    <xf numFmtId="0" fontId="35" fillId="2" borderId="0" xfId="0" applyFont="1" applyFill="1" applyAlignment="1">
      <alignment horizontal="center"/>
    </xf>
    <xf numFmtId="0" fontId="45" fillId="2" borderId="17" xfId="0" applyFont="1" applyFill="1" applyBorder="1"/>
    <xf numFmtId="0" fontId="45" fillId="2" borderId="0" xfId="0" applyFont="1" applyFill="1"/>
    <xf numFmtId="0" fontId="35" fillId="2" borderId="0" xfId="0" applyFont="1" applyFill="1"/>
    <xf numFmtId="0" fontId="35" fillId="2" borderId="17" xfId="0" applyFont="1" applyFill="1" applyBorder="1"/>
    <xf numFmtId="172" fontId="11" fillId="6" borderId="0" xfId="0" applyNumberFormat="1" applyFont="1" applyFill="1"/>
    <xf numFmtId="173" fontId="11" fillId="6" borderId="0" xfId="0" applyNumberFormat="1" applyFont="1" applyFill="1"/>
    <xf numFmtId="0" fontId="46" fillId="0" borderId="0" xfId="0" applyFont="1"/>
    <xf numFmtId="0" fontId="6" fillId="16" borderId="9" xfId="0" applyFont="1" applyFill="1" applyBorder="1"/>
    <xf numFmtId="0" fontId="11" fillId="16" borderId="9" xfId="0" applyFont="1" applyFill="1" applyBorder="1"/>
    <xf numFmtId="0" fontId="47" fillId="16" borderId="0" xfId="0" applyFont="1" applyFill="1"/>
    <xf numFmtId="0" fontId="48" fillId="16" borderId="0" xfId="0" applyFont="1" applyFill="1"/>
    <xf numFmtId="0" fontId="24" fillId="0" borderId="7" xfId="0" applyFont="1" applyBorder="1"/>
    <xf numFmtId="0" fontId="24" fillId="0" borderId="0" xfId="0" applyFont="1"/>
    <xf numFmtId="0" fontId="24" fillId="0" borderId="9" xfId="0" applyFont="1" applyBorder="1"/>
    <xf numFmtId="0" fontId="11" fillId="0" borderId="0" xfId="0" applyFont="1" applyAlignment="1">
      <alignment horizontal="center"/>
    </xf>
    <xf numFmtId="0" fontId="33" fillId="8" borderId="7" xfId="0" applyFont="1" applyFill="1" applyBorder="1"/>
    <xf numFmtId="0" fontId="34" fillId="0" borderId="0" xfId="0" applyFont="1"/>
    <xf numFmtId="0" fontId="0" fillId="7" borderId="0" xfId="0" applyFill="1"/>
    <xf numFmtId="2" fontId="11" fillId="0" borderId="0" xfId="0" applyNumberFormat="1" applyFont="1" applyAlignment="1">
      <alignment horizontal="right"/>
    </xf>
    <xf numFmtId="172" fontId="11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79" fontId="11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180" fontId="11" fillId="0" borderId="0" xfId="0" applyNumberFormat="1" applyFont="1" applyAlignment="1">
      <alignment horizontal="right"/>
    </xf>
    <xf numFmtId="172" fontId="3" fillId="0" borderId="0" xfId="0" applyNumberFormat="1" applyFont="1" applyAlignment="1">
      <alignment horizontal="right"/>
    </xf>
    <xf numFmtId="181" fontId="1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7" borderId="4" xfId="0" applyFont="1" applyFill="1" applyBorder="1"/>
    <xf numFmtId="0" fontId="13" fillId="7" borderId="4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right"/>
    </xf>
    <xf numFmtId="0" fontId="13" fillId="7" borderId="4" xfId="0" applyFont="1" applyFill="1" applyBorder="1" applyAlignment="1">
      <alignment horizontal="left"/>
    </xf>
    <xf numFmtId="0" fontId="11" fillId="0" borderId="17" xfId="0" applyFont="1" applyBorder="1" applyAlignment="1">
      <alignment horizontal="center"/>
    </xf>
    <xf numFmtId="0" fontId="34" fillId="0" borderId="17" xfId="0" applyFont="1" applyBorder="1"/>
    <xf numFmtId="2" fontId="11" fillId="0" borderId="17" xfId="0" applyNumberFormat="1" applyFont="1" applyBorder="1" applyAlignment="1">
      <alignment horizontal="right"/>
    </xf>
    <xf numFmtId="2" fontId="3" fillId="0" borderId="17" xfId="0" applyNumberFormat="1" applyFont="1" applyBorder="1" applyAlignment="1">
      <alignment horizontal="right"/>
    </xf>
    <xf numFmtId="179" fontId="11" fillId="0" borderId="17" xfId="0" applyNumberFormat="1" applyFont="1" applyBorder="1" applyAlignment="1">
      <alignment horizontal="right"/>
    </xf>
    <xf numFmtId="0" fontId="13" fillId="0" borderId="17" xfId="0" applyFont="1" applyBorder="1" applyAlignment="1">
      <alignment horizontal="center"/>
    </xf>
    <xf numFmtId="180" fontId="11" fillId="0" borderId="17" xfId="0" applyNumberFormat="1" applyFont="1" applyBorder="1" applyAlignment="1">
      <alignment horizontal="right"/>
    </xf>
    <xf numFmtId="172" fontId="3" fillId="0" borderId="17" xfId="0" applyNumberFormat="1" applyFont="1" applyBorder="1" applyAlignment="1">
      <alignment horizontal="right"/>
    </xf>
    <xf numFmtId="181" fontId="11" fillId="0" borderId="17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165" fontId="11" fillId="0" borderId="17" xfId="0" applyNumberFormat="1" applyFont="1" applyBorder="1" applyAlignment="1">
      <alignment horizontal="right"/>
    </xf>
    <xf numFmtId="172" fontId="11" fillId="0" borderId="0" xfId="0" applyNumberFormat="1" applyFont="1" applyAlignment="1">
      <alignment horizontal="center"/>
    </xf>
    <xf numFmtId="182" fontId="8" fillId="0" borderId="0" xfId="0" applyNumberFormat="1" applyFont="1" applyAlignment="1">
      <alignment horizontal="right"/>
    </xf>
    <xf numFmtId="172" fontId="8" fillId="0" borderId="0" xfId="0" applyNumberFormat="1" applyFont="1" applyAlignment="1">
      <alignment horizontal="right"/>
    </xf>
    <xf numFmtId="0" fontId="55" fillId="18" borderId="0" xfId="0" applyFont="1" applyFill="1" applyAlignment="1">
      <alignment horizontal="center"/>
    </xf>
    <xf numFmtId="0" fontId="56" fillId="19" borderId="0" xfId="0" applyFont="1" applyFill="1" applyAlignment="1">
      <alignment horizontal="center"/>
    </xf>
    <xf numFmtId="172" fontId="13" fillId="0" borderId="0" xfId="0" applyNumberFormat="1" applyFont="1" applyAlignment="1">
      <alignment horizontal="center"/>
    </xf>
    <xf numFmtId="173" fontId="13" fillId="0" borderId="0" xfId="0" applyNumberFormat="1" applyFont="1" applyAlignment="1">
      <alignment horizontal="center"/>
    </xf>
    <xf numFmtId="173" fontId="11" fillId="0" borderId="0" xfId="0" applyNumberFormat="1" applyFont="1" applyAlignment="1">
      <alignment horizontal="center"/>
    </xf>
    <xf numFmtId="0" fontId="13" fillId="7" borderId="11" xfId="0" applyFont="1" applyFill="1" applyBorder="1"/>
    <xf numFmtId="0" fontId="13" fillId="20" borderId="4" xfId="0" applyFont="1" applyFill="1" applyBorder="1"/>
    <xf numFmtId="0" fontId="13" fillId="17" borderId="4" xfId="0" applyFont="1" applyFill="1" applyBorder="1"/>
    <xf numFmtId="172" fontId="8" fillId="0" borderId="17" xfId="0" applyNumberFormat="1" applyFont="1" applyBorder="1" applyAlignment="1">
      <alignment horizontal="right"/>
    </xf>
    <xf numFmtId="0" fontId="56" fillId="19" borderId="17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172" fontId="11" fillId="0" borderId="17" xfId="0" applyNumberFormat="1" applyFont="1" applyBorder="1" applyAlignment="1">
      <alignment horizontal="center"/>
    </xf>
    <xf numFmtId="173" fontId="11" fillId="0" borderId="17" xfId="0" applyNumberFormat="1" applyFont="1" applyBorder="1" applyAlignment="1">
      <alignment horizontal="center"/>
    </xf>
    <xf numFmtId="0" fontId="50" fillId="0" borderId="0" xfId="0" applyFont="1"/>
    <xf numFmtId="0" fontId="51" fillId="0" borderId="0" xfId="0" applyFont="1"/>
    <xf numFmtId="0" fontId="52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0" fontId="52" fillId="0" borderId="17" xfId="0" applyFont="1" applyBorder="1" applyAlignment="1">
      <alignment horizontal="right"/>
    </xf>
    <xf numFmtId="0" fontId="13" fillId="8" borderId="11" xfId="0" applyFont="1" applyFill="1" applyBorder="1"/>
    <xf numFmtId="0" fontId="0" fillId="8" borderId="11" xfId="0" applyFill="1" applyBorder="1"/>
    <xf numFmtId="0" fontId="0" fillId="8" borderId="4" xfId="0" applyFill="1" applyBorder="1"/>
    <xf numFmtId="0" fontId="58" fillId="9" borderId="4" xfId="0" applyFont="1" applyFill="1" applyBorder="1"/>
    <xf numFmtId="0" fontId="57" fillId="0" borderId="0" xfId="0" applyFont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57" fillId="0" borderId="0" xfId="0" applyFont="1"/>
    <xf numFmtId="0" fontId="49" fillId="0" borderId="0" xfId="0" applyFont="1"/>
    <xf numFmtId="49" fontId="11" fillId="0" borderId="0" xfId="0" applyNumberFormat="1" applyFont="1" applyAlignment="1">
      <alignment horizontal="right"/>
    </xf>
    <xf numFmtId="49" fontId="11" fillId="0" borderId="17" xfId="0" applyNumberFormat="1" applyFont="1" applyBorder="1" applyAlignment="1">
      <alignment horizontal="right"/>
    </xf>
    <xf numFmtId="0" fontId="3" fillId="0" borderId="0" xfId="0" applyFont="1"/>
    <xf numFmtId="0" fontId="22" fillId="21" borderId="0" xfId="0" applyFont="1" applyFill="1"/>
    <xf numFmtId="0" fontId="21" fillId="21" borderId="0" xfId="0" applyFont="1" applyFill="1"/>
    <xf numFmtId="0" fontId="21" fillId="0" borderId="0" xfId="0" applyFont="1"/>
    <xf numFmtId="172" fontId="11" fillId="0" borderId="17" xfId="0" applyNumberFormat="1" applyFont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5" fontId="3" fillId="0" borderId="17" xfId="0" applyNumberFormat="1" applyFont="1" applyBorder="1" applyAlignment="1">
      <alignment horizontal="right"/>
    </xf>
    <xf numFmtId="1" fontId="17" fillId="0" borderId="0" xfId="0" applyNumberFormat="1" applyFont="1" applyAlignment="1">
      <alignment horizontal="center"/>
    </xf>
    <xf numFmtId="1" fontId="17" fillId="0" borderId="17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0" borderId="17" xfId="0" applyNumberFormat="1" applyFont="1" applyBorder="1" applyAlignment="1">
      <alignment horizontal="center"/>
    </xf>
    <xf numFmtId="0" fontId="59" fillId="18" borderId="0" xfId="0" applyFont="1" applyFill="1" applyAlignment="1">
      <alignment horizontal="center"/>
    </xf>
    <xf numFmtId="0" fontId="60" fillId="19" borderId="0" xfId="0" applyFont="1" applyFill="1" applyAlignment="1">
      <alignment horizontal="center"/>
    </xf>
    <xf numFmtId="0" fontId="54" fillId="17" borderId="0" xfId="0" applyFont="1" applyFill="1" applyAlignment="1">
      <alignment horizontal="center"/>
    </xf>
    <xf numFmtId="0" fontId="60" fillId="19" borderId="17" xfId="0" applyFont="1" applyFill="1" applyBorder="1" applyAlignment="1">
      <alignment horizontal="center"/>
    </xf>
    <xf numFmtId="49" fontId="59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60" fillId="0" borderId="0" xfId="0" applyNumberFormat="1" applyFont="1" applyAlignment="1">
      <alignment horizontal="center"/>
    </xf>
    <xf numFmtId="49" fontId="54" fillId="0" borderId="17" xfId="0" applyNumberFormat="1" applyFont="1" applyBorder="1" applyAlignment="1">
      <alignment horizontal="center"/>
    </xf>
    <xf numFmtId="165" fontId="0" fillId="0" borderId="0" xfId="0" applyNumberFormat="1"/>
    <xf numFmtId="2" fontId="11" fillId="0" borderId="0" xfId="0" applyNumberFormat="1" applyFont="1"/>
    <xf numFmtId="2" fontId="13" fillId="0" borderId="25" xfId="0" applyNumberFormat="1" applyFont="1" applyBorder="1"/>
    <xf numFmtId="2" fontId="61" fillId="0" borderId="0" xfId="0" applyNumberFormat="1" applyFont="1"/>
    <xf numFmtId="2" fontId="13" fillId="0" borderId="0" xfId="0" applyNumberFormat="1" applyFont="1"/>
    <xf numFmtId="2" fontId="13" fillId="7" borderId="0" xfId="0" applyNumberFormat="1" applyFont="1" applyFill="1"/>
    <xf numFmtId="0" fontId="11" fillId="0" borderId="11" xfId="0" applyFont="1" applyBorder="1"/>
    <xf numFmtId="0" fontId="14" fillId="0" borderId="0" xfId="0" applyFont="1"/>
    <xf numFmtId="0" fontId="14" fillId="0" borderId="0" xfId="0" applyFont="1" applyAlignment="1">
      <alignment wrapText="1"/>
    </xf>
    <xf numFmtId="0" fontId="13" fillId="7" borderId="2" xfId="0" applyFont="1" applyFill="1" applyBorder="1"/>
    <xf numFmtId="0" fontId="13" fillId="7" borderId="2" xfId="0" applyFont="1" applyFill="1" applyBorder="1" applyAlignment="1">
      <alignment horizontal="center"/>
    </xf>
    <xf numFmtId="2" fontId="61" fillId="0" borderId="0" xfId="0" applyNumberFormat="1" applyFont="1" applyAlignment="1">
      <alignment horizontal="right"/>
    </xf>
    <xf numFmtId="172" fontId="13" fillId="0" borderId="0" xfId="0" applyNumberFormat="1" applyFont="1" applyAlignment="1">
      <alignment horizontal="right"/>
    </xf>
    <xf numFmtId="0" fontId="11" fillId="0" borderId="2" xfId="0" applyFont="1" applyBorder="1"/>
    <xf numFmtId="2" fontId="61" fillId="0" borderId="2" xfId="0" applyNumberFormat="1" applyFont="1" applyBorder="1" applyAlignment="1">
      <alignment horizontal="right"/>
    </xf>
    <xf numFmtId="172" fontId="11" fillId="0" borderId="2" xfId="0" applyNumberFormat="1" applyFont="1" applyBorder="1" applyAlignment="1">
      <alignment horizontal="right"/>
    </xf>
    <xf numFmtId="165" fontId="61" fillId="0" borderId="0" xfId="0" applyNumberFormat="1" applyFont="1" applyAlignment="1">
      <alignment horizontal="right"/>
    </xf>
    <xf numFmtId="0" fontId="13" fillId="0" borderId="11" xfId="0" applyFont="1" applyBorder="1"/>
    <xf numFmtId="165" fontId="11" fillId="0" borderId="11" xfId="0" applyNumberFormat="1" applyFont="1" applyBorder="1" applyAlignment="1">
      <alignment horizontal="right"/>
    </xf>
    <xf numFmtId="165" fontId="11" fillId="0" borderId="2" xfId="0" applyNumberFormat="1" applyFont="1" applyBorder="1" applyAlignment="1">
      <alignment horizontal="right"/>
    </xf>
    <xf numFmtId="0" fontId="13" fillId="0" borderId="2" xfId="0" applyFont="1" applyBorder="1"/>
    <xf numFmtId="165" fontId="61" fillId="0" borderId="2" xfId="0" applyNumberFormat="1" applyFont="1" applyBorder="1" applyAlignment="1">
      <alignment horizontal="right"/>
    </xf>
    <xf numFmtId="172" fontId="11" fillId="0" borderId="11" xfId="0" applyNumberFormat="1" applyFont="1" applyBorder="1" applyAlignment="1">
      <alignment horizontal="right"/>
    </xf>
    <xf numFmtId="173" fontId="11" fillId="0" borderId="0" xfId="0" applyNumberFormat="1" applyFont="1" applyAlignment="1">
      <alignment horizontal="right"/>
    </xf>
    <xf numFmtId="0" fontId="63" fillId="8" borderId="0" xfId="0" applyFont="1" applyFill="1" applyAlignment="1">
      <alignment wrapText="1"/>
    </xf>
    <xf numFmtId="172" fontId="61" fillId="0" borderId="0" xfId="0" applyNumberFormat="1" applyFont="1"/>
    <xf numFmtId="172" fontId="8" fillId="0" borderId="0" xfId="0" applyNumberFormat="1" applyFont="1"/>
    <xf numFmtId="172" fontId="13" fillId="0" borderId="11" xfId="0" applyNumberFormat="1" applyFont="1" applyBorder="1"/>
    <xf numFmtId="9" fontId="11" fillId="0" borderId="0" xfId="0" applyNumberFormat="1" applyFont="1"/>
    <xf numFmtId="1" fontId="11" fillId="0" borderId="0" xfId="0" applyNumberFormat="1" applyFont="1"/>
    <xf numFmtId="0" fontId="64" fillId="18" borderId="0" xfId="0" applyFont="1" applyFill="1" applyAlignment="1">
      <alignment horizontal="center"/>
    </xf>
    <xf numFmtId="0" fontId="65" fillId="19" borderId="0" xfId="0" applyFont="1" applyFill="1" applyAlignment="1">
      <alignment horizontal="center"/>
    </xf>
    <xf numFmtId="0" fontId="66" fillId="17" borderId="0" xfId="0" applyFont="1" applyFill="1" applyAlignment="1">
      <alignment horizontal="center"/>
    </xf>
    <xf numFmtId="172" fontId="11" fillId="0" borderId="0" xfId="0" applyNumberFormat="1" applyFont="1"/>
    <xf numFmtId="2" fontId="61" fillId="0" borderId="11" xfId="0" applyNumberFormat="1" applyFont="1" applyBorder="1"/>
    <xf numFmtId="2" fontId="11" fillId="0" borderId="11" xfId="0" applyNumberFormat="1" applyFont="1" applyBorder="1"/>
    <xf numFmtId="2" fontId="11" fillId="0" borderId="2" xfId="0" applyNumberFormat="1" applyFont="1" applyBorder="1"/>
    <xf numFmtId="0" fontId="13" fillId="0" borderId="25" xfId="0" applyFont="1" applyBorder="1"/>
    <xf numFmtId="165" fontId="13" fillId="0" borderId="11" xfId="0" applyNumberFormat="1" applyFont="1" applyBorder="1"/>
    <xf numFmtId="172" fontId="13" fillId="7" borderId="0" xfId="0" applyNumberFormat="1" applyFont="1" applyFill="1" applyAlignment="1">
      <alignment horizontal="center"/>
    </xf>
    <xf numFmtId="172" fontId="13" fillId="8" borderId="0" xfId="0" applyNumberFormat="1" applyFont="1" applyFill="1"/>
    <xf numFmtId="0" fontId="62" fillId="0" borderId="0" xfId="0" applyFont="1"/>
    <xf numFmtId="0" fontId="35" fillId="36" borderId="0" xfId="0" applyFont="1" applyFill="1" applyAlignment="1">
      <alignment vertical="center"/>
    </xf>
    <xf numFmtId="187" fontId="3" fillId="0" borderId="0" xfId="0" applyNumberFormat="1" applyFont="1" applyAlignment="1">
      <alignment horizontal="right"/>
    </xf>
    <xf numFmtId="187" fontId="3" fillId="0" borderId="17" xfId="0" applyNumberFormat="1" applyFont="1" applyBorder="1" applyAlignment="1">
      <alignment horizontal="right"/>
    </xf>
    <xf numFmtId="2" fontId="3" fillId="0" borderId="0" xfId="2" applyNumberFormat="1" applyFont="1" applyAlignment="1">
      <alignment horizontal="right"/>
    </xf>
    <xf numFmtId="0" fontId="13" fillId="7" borderId="7" xfId="0" applyFont="1" applyFill="1" applyBorder="1"/>
    <xf numFmtId="1" fontId="13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0" fontId="17" fillId="25" borderId="0" xfId="0" applyFont="1" applyFill="1" applyAlignment="1">
      <alignment horizontal="left" vertical="center" wrapText="1"/>
    </xf>
    <xf numFmtId="0" fontId="17" fillId="25" borderId="0" xfId="0" applyFont="1" applyFill="1" applyAlignment="1">
      <alignment horizontal="right"/>
    </xf>
    <xf numFmtId="0" fontId="17" fillId="24" borderId="0" xfId="0" applyFont="1" applyFill="1" applyAlignment="1">
      <alignment horizontal="left" vertical="center"/>
    </xf>
    <xf numFmtId="0" fontId="17" fillId="0" borderId="0" xfId="0" applyFont="1"/>
    <xf numFmtId="0" fontId="17" fillId="24" borderId="0" xfId="0" applyFont="1" applyFill="1"/>
    <xf numFmtId="0" fontId="7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right"/>
    </xf>
    <xf numFmtId="0" fontId="17" fillId="3" borderId="0" xfId="0" applyFont="1" applyFill="1" applyAlignment="1">
      <alignment horizontal="left" vertical="center"/>
    </xf>
    <xf numFmtId="164" fontId="17" fillId="3" borderId="0" xfId="0" applyNumberFormat="1" applyFont="1" applyFill="1" applyAlignment="1">
      <alignment horizontal="right"/>
    </xf>
    <xf numFmtId="164" fontId="18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left" vertical="center"/>
    </xf>
    <xf numFmtId="171" fontId="7" fillId="0" borderId="0" xfId="0" applyNumberFormat="1" applyFont="1" applyAlignment="1">
      <alignment horizontal="right"/>
    </xf>
    <xf numFmtId="0" fontId="7" fillId="3" borderId="0" xfId="0" quotePrefix="1" applyFont="1" applyFill="1" applyAlignment="1">
      <alignment horizontal="left" vertical="center"/>
    </xf>
    <xf numFmtId="10" fontId="1" fillId="0" borderId="0" xfId="2" applyNumberFormat="1"/>
    <xf numFmtId="2" fontId="11" fillId="23" borderId="0" xfId="0" applyNumberFormat="1" applyFont="1" applyFill="1" applyAlignment="1">
      <alignment horizontal="right"/>
    </xf>
    <xf numFmtId="0" fontId="17" fillId="0" borderId="17" xfId="0" applyFont="1" applyBorder="1" applyAlignment="1">
      <alignment horizontal="right"/>
    </xf>
    <xf numFmtId="4" fontId="41" fillId="0" borderId="3" xfId="4" applyNumberFormat="1" applyFont="1" applyBorder="1" applyAlignment="1">
      <alignment horizontal="right" vertical="center"/>
    </xf>
    <xf numFmtId="0" fontId="7" fillId="0" borderId="17" xfId="0" applyFont="1" applyBorder="1" applyAlignment="1">
      <alignment horizontal="right"/>
    </xf>
    <xf numFmtId="0" fontId="17" fillId="0" borderId="19" xfId="0" applyFont="1" applyBorder="1"/>
    <xf numFmtId="0" fontId="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indent="1"/>
    </xf>
    <xf numFmtId="0" fontId="17" fillId="2" borderId="0" xfId="0" applyFont="1" applyFill="1"/>
    <xf numFmtId="0" fontId="3" fillId="2" borderId="0" xfId="0" applyFont="1" applyFill="1"/>
    <xf numFmtId="0" fontId="67" fillId="2" borderId="0" xfId="0" applyFont="1" applyFill="1"/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right"/>
    </xf>
    <xf numFmtId="171" fontId="17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5" fillId="38" borderId="0" xfId="0" applyFont="1" applyFill="1" applyAlignment="1">
      <alignment vertical="center"/>
    </xf>
    <xf numFmtId="0" fontId="11" fillId="38" borderId="0" xfId="0" applyFont="1" applyFill="1"/>
    <xf numFmtId="0" fontId="68" fillId="0" borderId="0" xfId="0" applyFont="1" applyAlignment="1">
      <alignment horizontal="left" vertical="center"/>
    </xf>
    <xf numFmtId="0" fontId="68" fillId="40" borderId="0" xfId="0" applyFont="1" applyFill="1" applyAlignment="1">
      <alignment horizontal="center" vertical="center"/>
    </xf>
    <xf numFmtId="172" fontId="68" fillId="0" borderId="0" xfId="0" applyNumberFormat="1" applyFont="1" applyAlignment="1">
      <alignment horizontal="right" vertical="center"/>
    </xf>
    <xf numFmtId="0" fontId="70" fillId="0" borderId="0" xfId="0" applyFont="1"/>
    <xf numFmtId="165" fontId="68" fillId="0" borderId="0" xfId="0" applyNumberFormat="1" applyFont="1" applyAlignment="1">
      <alignment horizontal="right" vertical="center"/>
    </xf>
    <xf numFmtId="0" fontId="68" fillId="0" borderId="0" xfId="0" applyFont="1"/>
    <xf numFmtId="2" fontId="68" fillId="0" borderId="0" xfId="0" applyNumberFormat="1" applyFont="1" applyAlignment="1">
      <alignment horizontal="right" vertical="center"/>
    </xf>
    <xf numFmtId="187" fontId="68" fillId="0" borderId="0" xfId="0" applyNumberFormat="1" applyFont="1" applyAlignment="1">
      <alignment horizontal="right" vertical="center"/>
    </xf>
    <xf numFmtId="0" fontId="70" fillId="41" borderId="0" xfId="0" applyFont="1" applyFill="1" applyAlignment="1">
      <alignment horizontal="center" vertical="center"/>
    </xf>
    <xf numFmtId="165" fontId="68" fillId="0" borderId="0" xfId="0" applyNumberFormat="1" applyFont="1"/>
    <xf numFmtId="172" fontId="68" fillId="0" borderId="0" xfId="0" applyNumberFormat="1" applyFont="1"/>
    <xf numFmtId="0" fontId="70" fillId="0" borderId="0" xfId="0" applyFont="1" applyAlignment="1">
      <alignment horizontal="left" vertical="center"/>
    </xf>
    <xf numFmtId="0" fontId="68" fillId="0" borderId="0" xfId="0" applyFont="1" applyAlignment="1">
      <alignment vertical="center"/>
    </xf>
    <xf numFmtId="1" fontId="68" fillId="0" borderId="0" xfId="0" applyNumberFormat="1" applyFont="1" applyAlignment="1">
      <alignment horizontal="center" vertical="center"/>
    </xf>
    <xf numFmtId="178" fontId="68" fillId="0" borderId="0" xfId="0" applyNumberFormat="1" applyFont="1" applyAlignment="1">
      <alignment horizontal="center" vertical="center"/>
    </xf>
    <xf numFmtId="165" fontId="68" fillId="0" borderId="0" xfId="0" applyNumberFormat="1" applyFont="1" applyAlignment="1">
      <alignment horizontal="center" vertical="center"/>
    </xf>
    <xf numFmtId="172" fontId="70" fillId="41" borderId="0" xfId="0" applyNumberFormat="1" applyFont="1" applyFill="1" applyAlignment="1">
      <alignment horizontal="center" vertical="center"/>
    </xf>
    <xf numFmtId="191" fontId="11" fillId="0" borderId="0" xfId="0" applyNumberFormat="1" applyFont="1"/>
    <xf numFmtId="0" fontId="10" fillId="0" borderId="0" xfId="0" applyFont="1"/>
    <xf numFmtId="0" fontId="35" fillId="30" borderId="0" xfId="0" applyFont="1" applyFill="1" applyAlignment="1">
      <alignment vertical="center"/>
    </xf>
    <xf numFmtId="9" fontId="11" fillId="0" borderId="0" xfId="2" applyFont="1" applyAlignment="1">
      <alignment horizontal="right" vertical="center"/>
    </xf>
    <xf numFmtId="165" fontId="9" fillId="0" borderId="0" xfId="0" applyNumberFormat="1" applyFont="1"/>
    <xf numFmtId="0" fontId="13" fillId="0" borderId="0" xfId="0" applyFont="1" applyAlignment="1">
      <alignment vertical="center"/>
    </xf>
    <xf numFmtId="0" fontId="20" fillId="0" borderId="0" xfId="0" applyFont="1" applyAlignment="1">
      <alignment horizontal="left" indent="1"/>
    </xf>
    <xf numFmtId="0" fontId="22" fillId="38" borderId="0" xfId="0" applyFont="1" applyFill="1"/>
    <xf numFmtId="0" fontId="11" fillId="23" borderId="0" xfId="0" applyFont="1" applyFill="1"/>
    <xf numFmtId="0" fontId="71" fillId="37" borderId="0" xfId="0" applyFont="1" applyFill="1" applyAlignment="1">
      <alignment vertical="center"/>
    </xf>
    <xf numFmtId="0" fontId="71" fillId="37" borderId="0" xfId="0" applyFont="1" applyFill="1" applyAlignment="1">
      <alignment horizontal="center"/>
    </xf>
    <xf numFmtId="0" fontId="72" fillId="0" borderId="0" xfId="0" applyFont="1" applyAlignment="1">
      <alignment horizontal="left" indent="3"/>
    </xf>
    <xf numFmtId="10" fontId="8" fillId="0" borderId="0" xfId="0" applyNumberFormat="1" applyFont="1" applyAlignment="1">
      <alignment horizontal="right"/>
    </xf>
    <xf numFmtId="10" fontId="73" fillId="0" borderId="0" xfId="0" applyNumberFormat="1" applyFont="1" applyAlignment="1">
      <alignment horizontal="right"/>
    </xf>
    <xf numFmtId="0" fontId="35" fillId="31" borderId="0" xfId="0" applyFont="1" applyFill="1" applyAlignment="1">
      <alignment horizontal="center" vertical="center"/>
    </xf>
    <xf numFmtId="0" fontId="35" fillId="34" borderId="0" xfId="0" applyFont="1" applyFill="1" applyAlignment="1">
      <alignment horizontal="center" vertical="center"/>
    </xf>
    <xf numFmtId="0" fontId="7" fillId="32" borderId="0" xfId="0" applyFont="1" applyFill="1" applyAlignment="1">
      <alignment horizontal="left" vertical="center"/>
    </xf>
    <xf numFmtId="0" fontId="72" fillId="32" borderId="0" xfId="0" applyFont="1" applyFill="1" applyAlignment="1">
      <alignment horizontal="left" vertical="center"/>
    </xf>
    <xf numFmtId="0" fontId="72" fillId="32" borderId="0" xfId="0" applyFont="1" applyFill="1" applyAlignment="1">
      <alignment horizontal="center" vertical="center"/>
    </xf>
    <xf numFmtId="165" fontId="68" fillId="32" borderId="0" xfId="0" applyNumberFormat="1" applyFont="1" applyFill="1" applyAlignment="1">
      <alignment horizontal="right" vertical="center"/>
    </xf>
    <xf numFmtId="165" fontId="68" fillId="33" borderId="0" xfId="0" applyNumberFormat="1" applyFont="1" applyFill="1" applyAlignment="1">
      <alignment horizontal="right" vertical="center"/>
    </xf>
    <xf numFmtId="0" fontId="7" fillId="33" borderId="0" xfId="0" applyFont="1" applyFill="1" applyAlignment="1">
      <alignment horizontal="left" vertical="center" indent="1"/>
    </xf>
    <xf numFmtId="0" fontId="72" fillId="33" borderId="0" xfId="0" applyFont="1" applyFill="1" applyAlignment="1">
      <alignment horizontal="left" vertical="center"/>
    </xf>
    <xf numFmtId="0" fontId="72" fillId="33" borderId="0" xfId="0" applyFont="1" applyFill="1" applyAlignment="1">
      <alignment horizontal="center" vertical="center"/>
    </xf>
    <xf numFmtId="172" fontId="68" fillId="33" borderId="0" xfId="0" applyNumberFormat="1" applyFont="1" applyFill="1" applyAlignment="1">
      <alignment horizontal="right" vertical="center"/>
    </xf>
    <xf numFmtId="172" fontId="74" fillId="32" borderId="0" xfId="0" applyNumberFormat="1" applyFont="1" applyFill="1" applyAlignment="1">
      <alignment horizontal="right" vertical="center"/>
    </xf>
    <xf numFmtId="165" fontId="74" fillId="32" borderId="0" xfId="0" applyNumberFormat="1" applyFont="1" applyFill="1" applyAlignment="1">
      <alignment horizontal="right" vertical="center"/>
    </xf>
    <xf numFmtId="0" fontId="7" fillId="33" borderId="0" xfId="0" applyFont="1" applyFill="1" applyAlignment="1">
      <alignment horizontal="left" vertical="center"/>
    </xf>
    <xf numFmtId="0" fontId="17" fillId="35" borderId="0" xfId="0" applyFont="1" applyFill="1" applyAlignment="1">
      <alignment horizontal="left" vertical="center"/>
    </xf>
    <xf numFmtId="0" fontId="72" fillId="35" borderId="0" xfId="0" applyFont="1" applyFill="1" applyAlignment="1">
      <alignment horizontal="left" vertical="center"/>
    </xf>
    <xf numFmtId="0" fontId="72" fillId="35" borderId="0" xfId="0" applyFont="1" applyFill="1" applyAlignment="1">
      <alignment horizontal="center" vertical="center"/>
    </xf>
    <xf numFmtId="165" fontId="70" fillId="35" borderId="0" xfId="0" applyNumberFormat="1" applyFont="1" applyFill="1" applyAlignment="1">
      <alignment horizontal="right" vertical="center"/>
    </xf>
    <xf numFmtId="10" fontId="11" fillId="0" borderId="0" xfId="0" applyNumberFormat="1" applyFont="1"/>
    <xf numFmtId="0" fontId="17" fillId="2" borderId="0" xfId="0" applyFont="1" applyFill="1" applyAlignment="1">
      <alignment horizontal="left" vertical="center"/>
    </xf>
    <xf numFmtId="165" fontId="7" fillId="2" borderId="0" xfId="0" applyNumberFormat="1" applyFont="1" applyFill="1"/>
    <xf numFmtId="165" fontId="11" fillId="0" borderId="0" xfId="0" applyNumberFormat="1" applyFont="1"/>
    <xf numFmtId="172" fontId="25" fillId="2" borderId="0" xfId="0" applyNumberFormat="1" applyFont="1" applyFill="1" applyAlignment="1">
      <alignment horizontal="right"/>
    </xf>
    <xf numFmtId="9" fontId="11" fillId="0" borderId="0" xfId="2" applyFont="1"/>
    <xf numFmtId="2" fontId="11" fillId="0" borderId="0" xfId="2" applyNumberFormat="1" applyFont="1"/>
    <xf numFmtId="165" fontId="8" fillId="2" borderId="0" xfId="0" applyNumberFormat="1" applyFont="1" applyFill="1" applyAlignment="1">
      <alignment horizontal="right"/>
    </xf>
    <xf numFmtId="1" fontId="25" fillId="2" borderId="0" xfId="0" applyNumberFormat="1" applyFont="1" applyFill="1" applyAlignment="1">
      <alignment horizontal="right"/>
    </xf>
    <xf numFmtId="4" fontId="11" fillId="0" borderId="0" xfId="0" applyNumberFormat="1" applyFont="1"/>
    <xf numFmtId="10" fontId="25" fillId="2" borderId="0" xfId="0" applyNumberFormat="1" applyFont="1" applyFill="1" applyAlignment="1">
      <alignment horizontal="right"/>
    </xf>
    <xf numFmtId="165" fontId="7" fillId="0" borderId="0" xfId="0" applyNumberFormat="1" applyFont="1"/>
    <xf numFmtId="172" fontId="11" fillId="0" borderId="0" xfId="2" applyNumberFormat="1" applyFont="1"/>
    <xf numFmtId="165" fontId="17" fillId="0" borderId="0" xfId="0" applyNumberFormat="1" applyFont="1"/>
    <xf numFmtId="172" fontId="7" fillId="0" borderId="0" xfId="0" applyNumberFormat="1" applyFont="1"/>
    <xf numFmtId="177" fontId="25" fillId="2" borderId="0" xfId="0" applyNumberFormat="1" applyFont="1" applyFill="1" applyAlignment="1">
      <alignment horizontal="right"/>
    </xf>
    <xf numFmtId="10" fontId="7" fillId="0" borderId="0" xfId="0" applyNumberFormat="1" applyFont="1"/>
    <xf numFmtId="165" fontId="25" fillId="2" borderId="0" xfId="0" applyNumberFormat="1" applyFont="1" applyFill="1" applyAlignment="1">
      <alignment horizontal="right"/>
    </xf>
    <xf numFmtId="4" fontId="25" fillId="2" borderId="0" xfId="0" applyNumberFormat="1" applyFont="1" applyFill="1" applyAlignment="1">
      <alignment horizontal="right"/>
    </xf>
    <xf numFmtId="184" fontId="25" fillId="2" borderId="0" xfId="0" applyNumberFormat="1" applyFont="1" applyFill="1" applyAlignment="1">
      <alignment horizontal="right"/>
    </xf>
    <xf numFmtId="165" fontId="17" fillId="0" borderId="19" xfId="0" applyNumberFormat="1" applyFont="1" applyBorder="1"/>
    <xf numFmtId="190" fontId="7" fillId="0" borderId="0" xfId="0" applyNumberFormat="1" applyFont="1" applyAlignment="1">
      <alignment horizontal="right"/>
    </xf>
    <xf numFmtId="165" fontId="7" fillId="2" borderId="17" xfId="0" applyNumberFormat="1" applyFont="1" applyFill="1" applyBorder="1" applyAlignment="1">
      <alignment horizontal="right"/>
    </xf>
    <xf numFmtId="165" fontId="17" fillId="2" borderId="0" xfId="0" applyNumberFormat="1" applyFont="1" applyFill="1" applyAlignment="1">
      <alignment horizontal="right"/>
    </xf>
    <xf numFmtId="165" fontId="17" fillId="2" borderId="0" xfId="0" applyNumberFormat="1" applyFont="1" applyFill="1"/>
    <xf numFmtId="165" fontId="17" fillId="2" borderId="26" xfId="0" applyNumberFormat="1" applyFont="1" applyFill="1" applyBorder="1"/>
    <xf numFmtId="165" fontId="75" fillId="2" borderId="0" xfId="0" applyNumberFormat="1" applyFont="1" applyFill="1"/>
    <xf numFmtId="173" fontId="3" fillId="2" borderId="0" xfId="0" applyNumberFormat="1" applyFont="1" applyFill="1"/>
    <xf numFmtId="164" fontId="7" fillId="2" borderId="0" xfId="0" applyNumberFormat="1" applyFont="1" applyFill="1"/>
    <xf numFmtId="164" fontId="17" fillId="2" borderId="0" xfId="0" applyNumberFormat="1" applyFont="1" applyFill="1"/>
    <xf numFmtId="164" fontId="8" fillId="2" borderId="0" xfId="0" applyNumberFormat="1" applyFont="1" applyFill="1"/>
    <xf numFmtId="164" fontId="17" fillId="2" borderId="26" xfId="0" applyNumberFormat="1" applyFont="1" applyFill="1" applyBorder="1"/>
    <xf numFmtId="172" fontId="3" fillId="2" borderId="0" xfId="0" applyNumberFormat="1" applyFont="1" applyFill="1"/>
    <xf numFmtId="187" fontId="7" fillId="2" borderId="0" xfId="0" applyNumberFormat="1" applyFont="1" applyFill="1"/>
    <xf numFmtId="187" fontId="11" fillId="0" borderId="0" xfId="0" applyNumberFormat="1" applyFont="1"/>
    <xf numFmtId="187" fontId="17" fillId="2" borderId="0" xfId="0" applyNumberFormat="1" applyFont="1" applyFill="1"/>
    <xf numFmtId="165" fontId="8" fillId="2" borderId="0" xfId="0" applyNumberFormat="1" applyFont="1" applyFill="1"/>
    <xf numFmtId="0" fontId="17" fillId="24" borderId="11" xfId="0" applyFont="1" applyFill="1" applyBorder="1"/>
    <xf numFmtId="0" fontId="7" fillId="24" borderId="11" xfId="0" applyFont="1" applyFill="1" applyBorder="1"/>
    <xf numFmtId="165" fontId="7" fillId="24" borderId="11" xfId="0" applyNumberFormat="1" applyFont="1" applyFill="1" applyBorder="1"/>
    <xf numFmtId="172" fontId="7" fillId="24" borderId="4" xfId="0" applyNumberFormat="1" applyFont="1" applyFill="1" applyBorder="1"/>
    <xf numFmtId="0" fontId="7" fillId="24" borderId="4" xfId="0" applyFont="1" applyFill="1" applyBorder="1"/>
    <xf numFmtId="0" fontId="17" fillId="25" borderId="4" xfId="0" applyFont="1" applyFill="1" applyBorder="1"/>
    <xf numFmtId="165" fontId="17" fillId="25" borderId="4" xfId="0" applyNumberFormat="1" applyFont="1" applyFill="1" applyBorder="1"/>
    <xf numFmtId="0" fontId="59" fillId="26" borderId="0" xfId="0" applyFont="1" applyFill="1" applyAlignment="1">
      <alignment horizontal="center"/>
    </xf>
    <xf numFmtId="165" fontId="3" fillId="0" borderId="0" xfId="0" applyNumberFormat="1" applyFont="1"/>
    <xf numFmtId="172" fontId="60" fillId="27" borderId="0" xfId="0" applyNumberFormat="1" applyFont="1" applyFill="1" applyAlignment="1">
      <alignment horizontal="center"/>
    </xf>
    <xf numFmtId="172" fontId="54" fillId="28" borderId="0" xfId="0" applyNumberFormat="1" applyFont="1" applyFill="1" applyAlignment="1">
      <alignment horizontal="center"/>
    </xf>
    <xf numFmtId="0" fontId="17" fillId="24" borderId="4" xfId="0" applyFont="1" applyFill="1" applyBorder="1"/>
    <xf numFmtId="165" fontId="7" fillId="24" borderId="4" xfId="0" applyNumberFormat="1" applyFont="1" applyFill="1" applyBorder="1"/>
    <xf numFmtId="173" fontId="7" fillId="24" borderId="4" xfId="0" applyNumberFormat="1" applyFont="1" applyFill="1" applyBorder="1"/>
    <xf numFmtId="0" fontId="19" fillId="0" borderId="0" xfId="0" applyFont="1"/>
    <xf numFmtId="3" fontId="7" fillId="0" borderId="0" xfId="0" applyNumberFormat="1" applyFont="1"/>
    <xf numFmtId="173" fontId="7" fillId="0" borderId="0" xfId="0" applyNumberFormat="1" applyFont="1"/>
    <xf numFmtId="3" fontId="17" fillId="25" borderId="4" xfId="0" applyNumberFormat="1" applyFont="1" applyFill="1" applyBorder="1"/>
    <xf numFmtId="173" fontId="17" fillId="25" borderId="4" xfId="0" applyNumberFormat="1" applyFont="1" applyFill="1" applyBorder="1"/>
    <xf numFmtId="165" fontId="17" fillId="0" borderId="0" xfId="0" applyNumberFormat="1" applyFont="1" applyAlignment="1">
      <alignment horizontal="right"/>
    </xf>
    <xf numFmtId="9" fontId="1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73" fontId="3" fillId="0" borderId="0" xfId="0" applyNumberFormat="1" applyFont="1"/>
    <xf numFmtId="186" fontId="7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center"/>
    </xf>
    <xf numFmtId="186" fontId="3" fillId="0" borderId="0" xfId="0" applyNumberFormat="1" applyFont="1"/>
    <xf numFmtId="0" fontId="7" fillId="0" borderId="0" xfId="0" applyFont="1" applyAlignment="1">
      <alignment horizontal="center"/>
    </xf>
    <xf numFmtId="0" fontId="17" fillId="0" borderId="17" xfId="0" applyFont="1" applyBorder="1"/>
    <xf numFmtId="0" fontId="7" fillId="0" borderId="17" xfId="0" applyFont="1" applyBorder="1"/>
    <xf numFmtId="186" fontId="7" fillId="0" borderId="17" xfId="0" applyNumberFormat="1" applyFont="1" applyBorder="1" applyAlignment="1">
      <alignment horizontal="right"/>
    </xf>
    <xf numFmtId="9" fontId="7" fillId="0" borderId="17" xfId="0" applyNumberFormat="1" applyFont="1" applyBorder="1" applyAlignment="1">
      <alignment horizontal="center"/>
    </xf>
    <xf numFmtId="186" fontId="3" fillId="0" borderId="17" xfId="0" applyNumberFormat="1" applyFont="1" applyBorder="1"/>
    <xf numFmtId="0" fontId="7" fillId="0" borderId="17" xfId="0" applyFont="1" applyBorder="1" applyAlignment="1">
      <alignment horizontal="center"/>
    </xf>
    <xf numFmtId="0" fontId="3" fillId="0" borderId="17" xfId="0" applyFont="1" applyBorder="1"/>
    <xf numFmtId="186" fontId="7" fillId="0" borderId="0" xfId="0" applyNumberFormat="1" applyFont="1"/>
    <xf numFmtId="186" fontId="7" fillId="24" borderId="11" xfId="0" applyNumberFormat="1" applyFont="1" applyFill="1" applyBorder="1"/>
    <xf numFmtId="0" fontId="17" fillId="25" borderId="4" xfId="0" applyFont="1" applyFill="1" applyBorder="1" applyAlignment="1">
      <alignment horizontal="center"/>
    </xf>
    <xf numFmtId="0" fontId="17" fillId="29" borderId="11" xfId="0" applyFont="1" applyFill="1" applyBorder="1" applyAlignment="1">
      <alignment horizontal="center"/>
    </xf>
    <xf numFmtId="0" fontId="10" fillId="9" borderId="0" xfId="0" applyFont="1" applyFill="1"/>
    <xf numFmtId="0" fontId="17" fillId="25" borderId="0" xfId="0" applyFont="1" applyFill="1" applyAlignment="1">
      <alignment horizontal="center"/>
    </xf>
    <xf numFmtId="3" fontId="25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173" fontId="17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183" fontId="17" fillId="0" borderId="0" xfId="0" applyNumberFormat="1" applyFont="1" applyAlignment="1">
      <alignment horizontal="center"/>
    </xf>
    <xf numFmtId="0" fontId="17" fillId="0" borderId="2" xfId="0" applyFont="1" applyBorder="1"/>
    <xf numFmtId="3" fontId="8" fillId="0" borderId="2" xfId="0" applyNumberFormat="1" applyFont="1" applyBorder="1" applyAlignment="1">
      <alignment horizontal="right"/>
    </xf>
    <xf numFmtId="3" fontId="7" fillId="0" borderId="2" xfId="0" applyNumberFormat="1" applyFont="1" applyBorder="1" applyAlignment="1">
      <alignment horizontal="right"/>
    </xf>
    <xf numFmtId="3" fontId="17" fillId="0" borderId="2" xfId="0" applyNumberFormat="1" applyFont="1" applyBorder="1" applyAlignment="1">
      <alignment horizontal="right"/>
    </xf>
    <xf numFmtId="183" fontId="17" fillId="0" borderId="2" xfId="0" applyNumberFormat="1" applyFont="1" applyBorder="1" applyAlignment="1">
      <alignment horizontal="center"/>
    </xf>
    <xf numFmtId="173" fontId="17" fillId="0" borderId="2" xfId="0" applyNumberFormat="1" applyFont="1" applyBorder="1" applyAlignment="1">
      <alignment horizontal="center"/>
    </xf>
    <xf numFmtId="0" fontId="9" fillId="0" borderId="2" xfId="0" applyFont="1" applyBorder="1"/>
    <xf numFmtId="183" fontId="7" fillId="0" borderId="0" xfId="0" applyNumberFormat="1" applyFont="1"/>
    <xf numFmtId="183" fontId="17" fillId="25" borderId="0" xfId="0" applyNumberFormat="1" applyFont="1" applyFill="1" applyAlignment="1">
      <alignment horizontal="center"/>
    </xf>
    <xf numFmtId="183" fontId="7" fillId="0" borderId="2" xfId="0" applyNumberFormat="1" applyFont="1" applyBorder="1"/>
    <xf numFmtId="183" fontId="17" fillId="25" borderId="2" xfId="0" applyNumberFormat="1" applyFont="1" applyFill="1" applyBorder="1" applyAlignment="1">
      <alignment horizontal="center"/>
    </xf>
    <xf numFmtId="183" fontId="11" fillId="8" borderId="11" xfId="0" applyNumberFormat="1" applyFont="1" applyFill="1" applyBorder="1"/>
    <xf numFmtId="165" fontId="13" fillId="7" borderId="4" xfId="0" applyNumberFormat="1" applyFont="1" applyFill="1" applyBorder="1" applyAlignment="1">
      <alignment horizontal="center"/>
    </xf>
    <xf numFmtId="184" fontId="13" fillId="7" borderId="4" xfId="0" applyNumberFormat="1" applyFont="1" applyFill="1" applyBorder="1" applyAlignment="1">
      <alignment horizontal="center"/>
    </xf>
    <xf numFmtId="173" fontId="13" fillId="7" borderId="4" xfId="0" applyNumberFormat="1" applyFont="1" applyFill="1" applyBorder="1" applyAlignment="1">
      <alignment horizontal="center"/>
    </xf>
    <xf numFmtId="165" fontId="8" fillId="0" borderId="0" xfId="0" applyNumberFormat="1" applyFont="1" applyAlignment="1">
      <alignment horizontal="right"/>
    </xf>
    <xf numFmtId="187" fontId="11" fillId="0" borderId="0" xfId="0" applyNumberFormat="1" applyFont="1" applyAlignment="1">
      <alignment horizontal="right"/>
    </xf>
    <xf numFmtId="184" fontId="11" fillId="0" borderId="0" xfId="0" applyNumberFormat="1" applyFont="1" applyAlignment="1">
      <alignment horizontal="right"/>
    </xf>
    <xf numFmtId="183" fontId="8" fillId="0" borderId="0" xfId="0" applyNumberFormat="1" applyFont="1" applyAlignment="1">
      <alignment horizontal="right"/>
    </xf>
    <xf numFmtId="185" fontId="8" fillId="0" borderId="0" xfId="0" applyNumberFormat="1" applyFont="1" applyAlignment="1">
      <alignment horizontal="right"/>
    </xf>
    <xf numFmtId="185" fontId="11" fillId="0" borderId="0" xfId="0" applyNumberFormat="1" applyFont="1" applyAlignment="1">
      <alignment horizontal="right"/>
    </xf>
    <xf numFmtId="183" fontId="8" fillId="0" borderId="17" xfId="0" applyNumberFormat="1" applyFont="1" applyBorder="1" applyAlignment="1">
      <alignment horizontal="right"/>
    </xf>
    <xf numFmtId="185" fontId="8" fillId="0" borderId="17" xfId="0" applyNumberFormat="1" applyFont="1" applyBorder="1" applyAlignment="1">
      <alignment horizontal="right"/>
    </xf>
    <xf numFmtId="185" fontId="11" fillId="0" borderId="17" xfId="0" applyNumberFormat="1" applyFont="1" applyBorder="1" applyAlignment="1">
      <alignment horizontal="right"/>
    </xf>
    <xf numFmtId="173" fontId="9" fillId="0" borderId="0" xfId="0" applyNumberFormat="1" applyFont="1"/>
    <xf numFmtId="43" fontId="11" fillId="8" borderId="4" xfId="0" applyNumberFormat="1" applyFont="1" applyFill="1" applyBorder="1"/>
    <xf numFmtId="0" fontId="11" fillId="8" borderId="4" xfId="0" applyFont="1" applyFill="1" applyBorder="1"/>
    <xf numFmtId="183" fontId="13" fillId="7" borderId="4" xfId="0" applyNumberFormat="1" applyFont="1" applyFill="1" applyBorder="1"/>
    <xf numFmtId="43" fontId="11" fillId="0" borderId="0" xfId="0" applyNumberFormat="1" applyFont="1"/>
    <xf numFmtId="183" fontId="11" fillId="0" borderId="0" xfId="0" applyNumberFormat="1" applyFont="1" applyAlignment="1">
      <alignment horizontal="right"/>
    </xf>
    <xf numFmtId="183" fontId="11" fillId="0" borderId="0" xfId="0" applyNumberFormat="1" applyFont="1"/>
    <xf numFmtId="1" fontId="8" fillId="0" borderId="0" xfId="0" applyNumberFormat="1" applyFont="1" applyAlignment="1">
      <alignment horizontal="right"/>
    </xf>
    <xf numFmtId="183" fontId="3" fillId="0" borderId="0" xfId="0" applyNumberFormat="1" applyFont="1"/>
    <xf numFmtId="4" fontId="8" fillId="0" borderId="0" xfId="0" applyNumberFormat="1" applyFont="1" applyAlignment="1">
      <alignment horizontal="right"/>
    </xf>
    <xf numFmtId="43" fontId="61" fillId="0" borderId="0" xfId="0" applyNumberFormat="1" applyFont="1" applyAlignment="1">
      <alignment horizontal="right"/>
    </xf>
    <xf numFmtId="185" fontId="61" fillId="0" borderId="0" xfId="0" applyNumberFormat="1" applyFont="1" applyAlignment="1">
      <alignment horizontal="right"/>
    </xf>
    <xf numFmtId="186" fontId="61" fillId="0" borderId="2" xfId="0" applyNumberFormat="1" applyFont="1" applyBorder="1" applyAlignment="1">
      <alignment horizontal="right"/>
    </xf>
    <xf numFmtId="185" fontId="13" fillId="7" borderId="4" xfId="0" applyNumberFormat="1" applyFont="1" applyFill="1" applyBorder="1" applyAlignment="1">
      <alignment horizontal="center"/>
    </xf>
    <xf numFmtId="183" fontId="9" fillId="0" borderId="0" xfId="0" applyNumberFormat="1" applyFont="1"/>
    <xf numFmtId="186" fontId="9" fillId="0" borderId="0" xfId="0" applyNumberFormat="1" applyFont="1"/>
    <xf numFmtId="43" fontId="9" fillId="0" borderId="0" xfId="0" applyNumberFormat="1" applyFont="1"/>
    <xf numFmtId="3" fontId="9" fillId="0" borderId="0" xfId="0" applyNumberFormat="1" applyFont="1"/>
    <xf numFmtId="188" fontId="9" fillId="0" borderId="0" xfId="0" applyNumberFormat="1" applyFont="1"/>
    <xf numFmtId="189" fontId="9" fillId="0" borderId="0" xfId="0" applyNumberFormat="1" applyFont="1"/>
    <xf numFmtId="43" fontId="10" fillId="0" borderId="0" xfId="0" applyNumberFormat="1" applyFont="1"/>
    <xf numFmtId="0" fontId="13" fillId="7" borderId="24" xfId="0" applyFont="1" applyFill="1" applyBorder="1"/>
    <xf numFmtId="183" fontId="13" fillId="7" borderId="24" xfId="0" applyNumberFormat="1" applyFont="1" applyFill="1" applyBorder="1" applyAlignment="1">
      <alignment horizontal="center"/>
    </xf>
    <xf numFmtId="186" fontId="3" fillId="0" borderId="24" xfId="0" applyNumberFormat="1" applyFont="1" applyBorder="1" applyAlignment="1">
      <alignment horizontal="center"/>
    </xf>
    <xf numFmtId="186" fontId="3" fillId="0" borderId="24" xfId="0" applyNumberFormat="1" applyFont="1" applyBorder="1"/>
    <xf numFmtId="43" fontId="3" fillId="0" borderId="24" xfId="0" applyNumberFormat="1" applyFont="1" applyBorder="1"/>
    <xf numFmtId="0" fontId="3" fillId="0" borderId="24" xfId="0" applyFont="1" applyBorder="1"/>
    <xf numFmtId="4" fontId="13" fillId="7" borderId="24" xfId="0" applyNumberFormat="1" applyFont="1" applyFill="1" applyBorder="1" applyAlignment="1">
      <alignment horizontal="center"/>
    </xf>
    <xf numFmtId="183" fontId="11" fillId="8" borderId="0" xfId="0" applyNumberFormat="1" applyFont="1" applyFill="1"/>
    <xf numFmtId="186" fontId="11" fillId="8" borderId="0" xfId="0" applyNumberFormat="1" applyFont="1" applyFill="1"/>
    <xf numFmtId="43" fontId="11" fillId="8" borderId="2" xfId="0" applyNumberFormat="1" applyFont="1" applyFill="1" applyBorder="1"/>
    <xf numFmtId="43" fontId="59" fillId="18" borderId="0" xfId="0" applyNumberFormat="1" applyFont="1" applyFill="1" applyAlignment="1">
      <alignment horizontal="center"/>
    </xf>
    <xf numFmtId="43" fontId="13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172" fontId="59" fillId="18" borderId="17" xfId="0" applyNumberFormat="1" applyFont="1" applyFill="1" applyBorder="1" applyAlignment="1">
      <alignment horizontal="center"/>
    </xf>
    <xf numFmtId="172" fontId="13" fillId="0" borderId="2" xfId="0" applyNumberFormat="1" applyFont="1" applyBorder="1"/>
    <xf numFmtId="172" fontId="25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35" fillId="22" borderId="4" xfId="0" applyFont="1" applyFill="1" applyBorder="1"/>
    <xf numFmtId="172" fontId="11" fillId="22" borderId="4" xfId="0" applyNumberFormat="1" applyFont="1" applyFill="1" applyBorder="1"/>
    <xf numFmtId="0" fontId="11" fillId="22" borderId="4" xfId="0" applyFont="1" applyFill="1" applyBorder="1"/>
    <xf numFmtId="4" fontId="14" fillId="0" borderId="0" xfId="0" applyNumberFormat="1" applyFont="1"/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43" fontId="11" fillId="0" borderId="0" xfId="0" applyNumberFormat="1" applyFont="1" applyAlignment="1">
      <alignment horizontal="center"/>
    </xf>
    <xf numFmtId="43" fontId="11" fillId="23" borderId="0" xfId="0" applyNumberFormat="1" applyFont="1" applyFill="1" applyAlignment="1">
      <alignment horizontal="center"/>
    </xf>
    <xf numFmtId="43" fontId="61" fillId="0" borderId="0" xfId="0" applyNumberFormat="1" applyFont="1" applyAlignment="1">
      <alignment horizontal="center"/>
    </xf>
    <xf numFmtId="0" fontId="13" fillId="0" borderId="23" xfId="0" applyFont="1" applyBorder="1"/>
    <xf numFmtId="43" fontId="13" fillId="0" borderId="23" xfId="0" applyNumberFormat="1" applyFont="1" applyBorder="1" applyAlignment="1">
      <alignment horizontal="center"/>
    </xf>
    <xf numFmtId="0" fontId="11" fillId="0" borderId="23" xfId="0" applyFont="1" applyBorder="1"/>
    <xf numFmtId="0" fontId="50" fillId="8" borderId="11" xfId="0" applyFont="1" applyFill="1" applyBorder="1"/>
    <xf numFmtId="0" fontId="50" fillId="8" borderId="4" xfId="0" applyFont="1" applyFill="1" applyBorder="1"/>
    <xf numFmtId="0" fontId="50" fillId="20" borderId="4" xfId="0" applyFont="1" applyFill="1" applyBorder="1"/>
    <xf numFmtId="0" fontId="50" fillId="17" borderId="4" xfId="0" applyFont="1" applyFill="1" applyBorder="1"/>
    <xf numFmtId="0" fontId="76" fillId="9" borderId="4" xfId="0" applyFont="1" applyFill="1" applyBorder="1"/>
    <xf numFmtId="0" fontId="50" fillId="7" borderId="0" xfId="0" applyFont="1" applyFill="1"/>
    <xf numFmtId="0" fontId="50" fillId="7" borderId="11" xfId="0" applyFont="1" applyFill="1" applyBorder="1"/>
    <xf numFmtId="0" fontId="50" fillId="7" borderId="4" xfId="0" applyFont="1" applyFill="1" applyBorder="1"/>
    <xf numFmtId="0" fontId="18" fillId="0" borderId="0" xfId="0" applyFont="1"/>
    <xf numFmtId="0" fontId="13" fillId="7" borderId="8" xfId="0" applyFont="1" applyFill="1" applyBorder="1" applyAlignment="1">
      <alignment horizontal="center"/>
    </xf>
    <xf numFmtId="0" fontId="35" fillId="39" borderId="0" xfId="0" applyFont="1" applyFill="1" applyAlignment="1">
      <alignment horizontal="center" vertical="center"/>
    </xf>
    <xf numFmtId="0" fontId="11" fillId="0" borderId="0" xfId="0" applyFont="1"/>
    <xf numFmtId="0" fontId="69" fillId="0" borderId="0" xfId="0" applyFont="1" applyAlignment="1">
      <alignment horizontal="left" vertical="center"/>
    </xf>
    <xf numFmtId="0" fontId="13" fillId="8" borderId="8" xfId="0" applyFont="1" applyFill="1" applyBorder="1" applyAlignment="1">
      <alignment horizontal="left"/>
    </xf>
    <xf numFmtId="0" fontId="0" fillId="0" borderId="8" xfId="0" applyBorder="1"/>
    <xf numFmtId="0" fontId="13" fillId="7" borderId="0" xfId="0" applyFont="1" applyFill="1"/>
    <xf numFmtId="0" fontId="50" fillId="0" borderId="0" xfId="0" applyFont="1"/>
    <xf numFmtId="0" fontId="3" fillId="0" borderId="0" xfId="0" applyFont="1"/>
    <xf numFmtId="0" fontId="3" fillId="0" borderId="17" xfId="0" applyFont="1" applyBorder="1"/>
    <xf numFmtId="0" fontId="50" fillId="0" borderId="17" xfId="0" applyFont="1" applyBorder="1"/>
    <xf numFmtId="0" fontId="35" fillId="22" borderId="0" xfId="0" applyFont="1" applyFill="1"/>
  </cellXfs>
  <cellStyles count="5">
    <cellStyle name="Currency [0]" xfId="1" builtinId="7"/>
    <cellStyle name="Normal" xfId="0" builtinId="0"/>
    <cellStyle name="Normal 2" xfId="4" xr:uid="{00000000-0005-0000-0000-000004000000}"/>
    <cellStyle name="Normal 71" xfId="3" xr:uid="{00000000-0005-0000-0000-000003000000}"/>
    <cellStyle name="Percent" xfId="2" builtinId="5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Performance: VMC vs SPY vs XLB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Share_Price_Analysis'!$L$63</c:f>
              <c:strCache>
                <c:ptCount val="1"/>
                <c:pt idx="0">
                  <c:v>VMC Normalized</c:v>
                </c:pt>
              </c:strCache>
            </c:strRef>
          </c:tx>
          <c:spPr>
            <a:ln w="28575" cap="rnd">
              <a:solidFill>
                <a:srgbClr val="334BFF"/>
              </a:solidFill>
              <a:prstDash val="solid"/>
              <a:round/>
            </a:ln>
          </c:spPr>
          <c:marker>
            <c:symbol val="none"/>
          </c:marke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Share_Price_Analysis'!$L$64:$L$815</c:f>
              <c:numCache>
                <c:formatCode>0.00</c:formatCode>
                <c:ptCount val="752"/>
                <c:pt idx="0">
                  <c:v>100</c:v>
                </c:pt>
                <c:pt idx="1">
                  <c:v>98.576116580454979</c:v>
                </c:pt>
                <c:pt idx="2">
                  <c:v>99.516102119138992</c:v>
                </c:pt>
                <c:pt idx="3">
                  <c:v>96.818510484454094</c:v>
                </c:pt>
                <c:pt idx="4">
                  <c:v>94.159853162022358</c:v>
                </c:pt>
                <c:pt idx="5">
                  <c:v>92.318816396907494</c:v>
                </c:pt>
                <c:pt idx="6">
                  <c:v>93.169809221869954</c:v>
                </c:pt>
                <c:pt idx="7">
                  <c:v>90.555648256299023</c:v>
                </c:pt>
                <c:pt idx="8">
                  <c:v>92.446743422882264</c:v>
                </c:pt>
                <c:pt idx="9">
                  <c:v>89.560042271539032</c:v>
                </c:pt>
                <c:pt idx="10">
                  <c:v>90.811502308248521</c:v>
                </c:pt>
                <c:pt idx="11">
                  <c:v>92.407809110629074</c:v>
                </c:pt>
                <c:pt idx="12">
                  <c:v>91.056232270982818</c:v>
                </c:pt>
                <c:pt idx="13">
                  <c:v>91.49563379498305</c:v>
                </c:pt>
                <c:pt idx="14">
                  <c:v>92.441181378274649</c:v>
                </c:pt>
                <c:pt idx="15">
                  <c:v>92.218699593970754</c:v>
                </c:pt>
                <c:pt idx="16">
                  <c:v>93.464597586072642</c:v>
                </c:pt>
                <c:pt idx="17">
                  <c:v>94.549196284554213</c:v>
                </c:pt>
                <c:pt idx="18">
                  <c:v>94.632626953668165</c:v>
                </c:pt>
                <c:pt idx="19">
                  <c:v>95.422437287947062</c:v>
                </c:pt>
                <c:pt idx="20">
                  <c:v>96.184437399187956</c:v>
                </c:pt>
                <c:pt idx="21">
                  <c:v>93.920685243895662</c:v>
                </c:pt>
                <c:pt idx="22">
                  <c:v>91.250903832248738</c:v>
                </c:pt>
                <c:pt idx="23">
                  <c:v>91.734801713109746</c:v>
                </c:pt>
                <c:pt idx="24">
                  <c:v>92.335502530730295</c:v>
                </c:pt>
                <c:pt idx="25">
                  <c:v>92.646977028755771</c:v>
                </c:pt>
                <c:pt idx="26">
                  <c:v>93.0641303743256</c:v>
                </c:pt>
                <c:pt idx="27">
                  <c:v>94.254407920351539</c:v>
                </c:pt>
                <c:pt idx="28">
                  <c:v>94.043050225262817</c:v>
                </c:pt>
                <c:pt idx="29">
                  <c:v>95.600422715390181</c:v>
                </c:pt>
                <c:pt idx="30">
                  <c:v>95.86740085655488</c:v>
                </c:pt>
                <c:pt idx="31">
                  <c:v>96.523722120251406</c:v>
                </c:pt>
                <c:pt idx="32">
                  <c:v>95.911897213415656</c:v>
                </c:pt>
                <c:pt idx="33">
                  <c:v>95.188831414427938</c:v>
                </c:pt>
                <c:pt idx="34">
                  <c:v>95.339006618833082</c:v>
                </c:pt>
                <c:pt idx="35">
                  <c:v>94.37121085711108</c:v>
                </c:pt>
                <c:pt idx="36">
                  <c:v>92.691473385616561</c:v>
                </c:pt>
                <c:pt idx="37">
                  <c:v>96.212247622225931</c:v>
                </c:pt>
                <c:pt idx="38">
                  <c:v>97.402525168251856</c:v>
                </c:pt>
                <c:pt idx="39">
                  <c:v>98.73185382946771</c:v>
                </c:pt>
                <c:pt idx="40">
                  <c:v>99.710773680404927</c:v>
                </c:pt>
                <c:pt idx="41">
                  <c:v>99.349240780911074</c:v>
                </c:pt>
                <c:pt idx="42">
                  <c:v>105.80677457033205</c:v>
                </c:pt>
                <c:pt idx="43">
                  <c:v>107.66449746926972</c:v>
                </c:pt>
                <c:pt idx="44">
                  <c:v>107.25290616830748</c:v>
                </c:pt>
                <c:pt idx="45">
                  <c:v>107.40864341732022</c:v>
                </c:pt>
                <c:pt idx="46">
                  <c:v>109.06613271038435</c:v>
                </c:pt>
                <c:pt idx="47">
                  <c:v>108.36531508982704</c:v>
                </c:pt>
                <c:pt idx="48">
                  <c:v>108.6712275432449</c:v>
                </c:pt>
                <c:pt idx="49">
                  <c:v>109.11062906724511</c:v>
                </c:pt>
                <c:pt idx="50">
                  <c:v>108.46543189276379</c:v>
                </c:pt>
                <c:pt idx="51">
                  <c:v>109.29973858390345</c:v>
                </c:pt>
                <c:pt idx="52">
                  <c:v>109.24411813782746</c:v>
                </c:pt>
                <c:pt idx="53">
                  <c:v>109.6946437510429</c:v>
                </c:pt>
                <c:pt idx="54">
                  <c:v>109.71689192947326</c:v>
                </c:pt>
                <c:pt idx="55">
                  <c:v>108.57111074030814</c:v>
                </c:pt>
                <c:pt idx="56">
                  <c:v>107.95928583347238</c:v>
                </c:pt>
                <c:pt idx="57">
                  <c:v>108.51549029423215</c:v>
                </c:pt>
                <c:pt idx="58">
                  <c:v>109.01607430891596</c:v>
                </c:pt>
                <c:pt idx="59">
                  <c:v>109.04388453195395</c:v>
                </c:pt>
                <c:pt idx="60">
                  <c:v>108.73797207853609</c:v>
                </c:pt>
                <c:pt idx="61">
                  <c:v>110.57344679904332</c:v>
                </c:pt>
                <c:pt idx="62">
                  <c:v>112.75933032982925</c:v>
                </c:pt>
                <c:pt idx="63">
                  <c:v>112.48679014405695</c:v>
                </c:pt>
                <c:pt idx="64">
                  <c:v>112.97625006952556</c:v>
                </c:pt>
                <c:pt idx="65">
                  <c:v>114.01635241114634</c:v>
                </c:pt>
                <c:pt idx="66">
                  <c:v>114.67823571945048</c:v>
                </c:pt>
                <c:pt idx="67">
                  <c:v>114.93408977139995</c:v>
                </c:pt>
                <c:pt idx="68">
                  <c:v>114.51693642583014</c:v>
                </c:pt>
                <c:pt idx="69">
                  <c:v>115.52366649980532</c:v>
                </c:pt>
                <c:pt idx="70">
                  <c:v>115.3512431169698</c:v>
                </c:pt>
                <c:pt idx="71">
                  <c:v>116.21336003114746</c:v>
                </c:pt>
                <c:pt idx="72">
                  <c:v>115.30674676010901</c:v>
                </c:pt>
                <c:pt idx="73">
                  <c:v>116.06874687134992</c:v>
                </c:pt>
                <c:pt idx="74">
                  <c:v>117.11997330218588</c:v>
                </c:pt>
                <c:pt idx="75">
                  <c:v>118.72184214917402</c:v>
                </c:pt>
                <c:pt idx="76">
                  <c:v>119.26692252071862</c:v>
                </c:pt>
                <c:pt idx="77">
                  <c:v>119.45603203737696</c:v>
                </c:pt>
                <c:pt idx="78">
                  <c:v>122.59858724066967</c:v>
                </c:pt>
                <c:pt idx="79">
                  <c:v>122.84331720340398</c:v>
                </c:pt>
                <c:pt idx="80">
                  <c:v>125.05701095722787</c:v>
                </c:pt>
                <c:pt idx="81">
                  <c:v>125.39073363368374</c:v>
                </c:pt>
                <c:pt idx="82">
                  <c:v>124.22270426608821</c:v>
                </c:pt>
                <c:pt idx="83">
                  <c:v>122.71539017742923</c:v>
                </c:pt>
                <c:pt idx="84">
                  <c:v>121.24701040102343</c:v>
                </c:pt>
                <c:pt idx="85">
                  <c:v>120.90772567995995</c:v>
                </c:pt>
                <c:pt idx="86">
                  <c:v>122.02569664608708</c:v>
                </c:pt>
                <c:pt idx="87">
                  <c:v>124.37287947049336</c:v>
                </c:pt>
                <c:pt idx="88">
                  <c:v>122.52071861616332</c:v>
                </c:pt>
                <c:pt idx="89">
                  <c:v>124.23382835530343</c:v>
                </c:pt>
                <c:pt idx="90">
                  <c:v>125.00695255575951</c:v>
                </c:pt>
                <c:pt idx="91">
                  <c:v>124.42849991656935</c:v>
                </c:pt>
                <c:pt idx="92">
                  <c:v>124.5341787641137</c:v>
                </c:pt>
                <c:pt idx="93">
                  <c:v>123.11029534456867</c:v>
                </c:pt>
                <c:pt idx="94">
                  <c:v>123.271594638189</c:v>
                </c:pt>
                <c:pt idx="95">
                  <c:v>123.64425162689805</c:v>
                </c:pt>
                <c:pt idx="96">
                  <c:v>123.81111296512599</c:v>
                </c:pt>
                <c:pt idx="97">
                  <c:v>123.61644140386005</c:v>
                </c:pt>
                <c:pt idx="98">
                  <c:v>124.28944880137939</c:v>
                </c:pt>
                <c:pt idx="99">
                  <c:v>121.41387173925136</c:v>
                </c:pt>
                <c:pt idx="100">
                  <c:v>122.47066021469493</c:v>
                </c:pt>
                <c:pt idx="101">
                  <c:v>122.64308359753046</c:v>
                </c:pt>
                <c:pt idx="102">
                  <c:v>124.57311307636687</c:v>
                </c:pt>
                <c:pt idx="103">
                  <c:v>124.07809110629069</c:v>
                </c:pt>
                <c:pt idx="104">
                  <c:v>125.80788697925358</c:v>
                </c:pt>
                <c:pt idx="105">
                  <c:v>125.70220813170923</c:v>
                </c:pt>
                <c:pt idx="106">
                  <c:v>127.21508426497581</c:v>
                </c:pt>
                <c:pt idx="107">
                  <c:v>126.16941987874743</c:v>
                </c:pt>
                <c:pt idx="108">
                  <c:v>124.2449524445186</c:v>
                </c:pt>
                <c:pt idx="109">
                  <c:v>124.7622225930252</c:v>
                </c:pt>
                <c:pt idx="110">
                  <c:v>124.54530285332888</c:v>
                </c:pt>
                <c:pt idx="111">
                  <c:v>125.21831025084822</c:v>
                </c:pt>
                <c:pt idx="112">
                  <c:v>124.66766783469603</c:v>
                </c:pt>
                <c:pt idx="113">
                  <c:v>123.75549251905001</c:v>
                </c:pt>
                <c:pt idx="114">
                  <c:v>118.65509761388286</c:v>
                </c:pt>
                <c:pt idx="115">
                  <c:v>117.80410478892043</c:v>
                </c:pt>
                <c:pt idx="116">
                  <c:v>118.23238222370544</c:v>
                </c:pt>
                <c:pt idx="117">
                  <c:v>119.3503531898326</c:v>
                </c:pt>
                <c:pt idx="118">
                  <c:v>120.72974025251683</c:v>
                </c:pt>
                <c:pt idx="119">
                  <c:v>119.57283497413648</c:v>
                </c:pt>
                <c:pt idx="120">
                  <c:v>119.48940430502253</c:v>
                </c:pt>
                <c:pt idx="121">
                  <c:v>119.64514155403528</c:v>
                </c:pt>
                <c:pt idx="122">
                  <c:v>121.58073307747929</c:v>
                </c:pt>
                <c:pt idx="123">
                  <c:v>121.38606151621336</c:v>
                </c:pt>
                <c:pt idx="124">
                  <c:v>121.39162356082096</c:v>
                </c:pt>
                <c:pt idx="125">
                  <c:v>123.9890983925691</c:v>
                </c:pt>
                <c:pt idx="126">
                  <c:v>120.27365259469383</c:v>
                </c:pt>
                <c:pt idx="127">
                  <c:v>119.69519995550364</c:v>
                </c:pt>
                <c:pt idx="128">
                  <c:v>119.89543356137717</c:v>
                </c:pt>
                <c:pt idx="129">
                  <c:v>120.2792146393014</c:v>
                </c:pt>
                <c:pt idx="130">
                  <c:v>120.46832415595973</c:v>
                </c:pt>
                <c:pt idx="131">
                  <c:v>119.45603203737696</c:v>
                </c:pt>
                <c:pt idx="132">
                  <c:v>118.88314144279437</c:v>
                </c:pt>
                <c:pt idx="133">
                  <c:v>119.56727292952888</c:v>
                </c:pt>
                <c:pt idx="134">
                  <c:v>117.13109739140108</c:v>
                </c:pt>
                <c:pt idx="135">
                  <c:v>117.74292229823683</c:v>
                </c:pt>
                <c:pt idx="136">
                  <c:v>116.73619222426164</c:v>
                </c:pt>
                <c:pt idx="137">
                  <c:v>116.55264475221092</c:v>
                </c:pt>
                <c:pt idx="138">
                  <c:v>112.54797263474052</c:v>
                </c:pt>
                <c:pt idx="139">
                  <c:v>111.58573891762613</c:v>
                </c:pt>
                <c:pt idx="140">
                  <c:v>112.375549251905</c:v>
                </c:pt>
                <c:pt idx="141">
                  <c:v>111.99176817398076</c:v>
                </c:pt>
                <c:pt idx="142">
                  <c:v>113.24322821069026</c:v>
                </c:pt>
                <c:pt idx="143">
                  <c:v>114.03860058957673</c:v>
                </c:pt>
                <c:pt idx="144">
                  <c:v>112.36442516268981</c:v>
                </c:pt>
                <c:pt idx="145">
                  <c:v>111.75816230046165</c:v>
                </c:pt>
                <c:pt idx="146">
                  <c:v>111.23533010734748</c:v>
                </c:pt>
                <c:pt idx="147">
                  <c:v>114.03860058957673</c:v>
                </c:pt>
                <c:pt idx="148">
                  <c:v>115.1065131542355</c:v>
                </c:pt>
                <c:pt idx="149">
                  <c:v>118.13782746537629</c:v>
                </c:pt>
                <c:pt idx="150">
                  <c:v>116.94198787474276</c:v>
                </c:pt>
                <c:pt idx="151">
                  <c:v>117.35914122031259</c:v>
                </c:pt>
                <c:pt idx="152">
                  <c:v>119.45046999276934</c:v>
                </c:pt>
                <c:pt idx="153">
                  <c:v>117.15334556983149</c:v>
                </c:pt>
                <c:pt idx="154">
                  <c:v>116.40803159241338</c:v>
                </c:pt>
                <c:pt idx="155">
                  <c:v>118.49379832026253</c:v>
                </c:pt>
                <c:pt idx="156">
                  <c:v>119.46715612659213</c:v>
                </c:pt>
                <c:pt idx="157">
                  <c:v>113.32109683519663</c:v>
                </c:pt>
                <c:pt idx="158">
                  <c:v>112.73708215139887</c:v>
                </c:pt>
                <c:pt idx="159">
                  <c:v>112.10300906613273</c:v>
                </c:pt>
                <c:pt idx="160">
                  <c:v>112.63140330385451</c:v>
                </c:pt>
                <c:pt idx="161">
                  <c:v>114.10534512486792</c:v>
                </c:pt>
                <c:pt idx="162">
                  <c:v>113.11530118471551</c:v>
                </c:pt>
                <c:pt idx="163">
                  <c:v>107.88697925357363</c:v>
                </c:pt>
                <c:pt idx="164">
                  <c:v>107.73124200456088</c:v>
                </c:pt>
                <c:pt idx="165">
                  <c:v>109.01051226430837</c:v>
                </c:pt>
                <c:pt idx="166">
                  <c:v>109.28861449468825</c:v>
                </c:pt>
                <c:pt idx="167">
                  <c:v>113.35446910284222</c:v>
                </c:pt>
                <c:pt idx="168">
                  <c:v>115.03420657433672</c:v>
                </c:pt>
                <c:pt idx="169">
                  <c:v>115.56816285666611</c:v>
                </c:pt>
                <c:pt idx="170">
                  <c:v>115.21219200177985</c:v>
                </c:pt>
                <c:pt idx="171">
                  <c:v>115.25112631403304</c:v>
                </c:pt>
                <c:pt idx="172">
                  <c:v>115.92969575615997</c:v>
                </c:pt>
                <c:pt idx="173">
                  <c:v>116.37465932476778</c:v>
                </c:pt>
                <c:pt idx="174">
                  <c:v>117.72623616441405</c:v>
                </c:pt>
                <c:pt idx="175">
                  <c:v>117.07547694532512</c:v>
                </c:pt>
                <c:pt idx="176">
                  <c:v>120.44051393292175</c:v>
                </c:pt>
                <c:pt idx="177">
                  <c:v>117.28683464041383</c:v>
                </c:pt>
                <c:pt idx="178">
                  <c:v>118.0655208854775</c:v>
                </c:pt>
                <c:pt idx="179">
                  <c:v>118.1100172423383</c:v>
                </c:pt>
                <c:pt idx="180">
                  <c:v>117.01429445464153</c:v>
                </c:pt>
                <c:pt idx="181">
                  <c:v>116.71394404583127</c:v>
                </c:pt>
                <c:pt idx="182">
                  <c:v>117.85972523499639</c:v>
                </c:pt>
                <c:pt idx="183">
                  <c:v>117.73736025362925</c:v>
                </c:pt>
                <c:pt idx="184">
                  <c:v>118.38811947271817</c:v>
                </c:pt>
                <c:pt idx="185">
                  <c:v>117.44813393403415</c:v>
                </c:pt>
                <c:pt idx="186">
                  <c:v>118.29356471438901</c:v>
                </c:pt>
                <c:pt idx="187">
                  <c:v>118.78302463985762</c:v>
                </c:pt>
                <c:pt idx="188">
                  <c:v>119.93436787363035</c:v>
                </c:pt>
                <c:pt idx="189">
                  <c:v>119.47271817119976</c:v>
                </c:pt>
                <c:pt idx="190">
                  <c:v>117.92646977028758</c:v>
                </c:pt>
                <c:pt idx="191">
                  <c:v>117.87641136881919</c:v>
                </c:pt>
                <c:pt idx="192">
                  <c:v>119.12230936092108</c:v>
                </c:pt>
                <c:pt idx="193">
                  <c:v>120.15684965793427</c:v>
                </c:pt>
                <c:pt idx="194">
                  <c:v>121.73090828188444</c:v>
                </c:pt>
                <c:pt idx="195">
                  <c:v>122.86556538183437</c:v>
                </c:pt>
                <c:pt idx="196">
                  <c:v>124.40625173813893</c:v>
                </c:pt>
                <c:pt idx="197">
                  <c:v>125.01251460036708</c:v>
                </c:pt>
                <c:pt idx="198">
                  <c:v>124.78447077145557</c:v>
                </c:pt>
                <c:pt idx="199">
                  <c:v>123.86673341120196</c:v>
                </c:pt>
                <c:pt idx="200">
                  <c:v>124.97358028811392</c:v>
                </c:pt>
                <c:pt idx="201">
                  <c:v>123.02130263084712</c:v>
                </c:pt>
                <c:pt idx="202">
                  <c:v>124.18933199844264</c:v>
                </c:pt>
                <c:pt idx="203">
                  <c:v>125.10706935869626</c:v>
                </c:pt>
                <c:pt idx="204">
                  <c:v>125.50753657044331</c:v>
                </c:pt>
                <c:pt idx="205">
                  <c:v>125.60209132877247</c:v>
                </c:pt>
                <c:pt idx="206">
                  <c:v>125.39073363368374</c:v>
                </c:pt>
                <c:pt idx="207">
                  <c:v>126.26397463707659</c:v>
                </c:pt>
                <c:pt idx="208">
                  <c:v>124.36731742588576</c:v>
                </c:pt>
                <c:pt idx="209">
                  <c:v>121.99232437844152</c:v>
                </c:pt>
                <c:pt idx="210">
                  <c:v>122.74320040046722</c:v>
                </c:pt>
                <c:pt idx="211">
                  <c:v>123.2660325935814</c:v>
                </c:pt>
                <c:pt idx="212">
                  <c:v>124.58979921018967</c:v>
                </c:pt>
                <c:pt idx="213">
                  <c:v>124.26720062294901</c:v>
                </c:pt>
                <c:pt idx="214">
                  <c:v>125.76339062239282</c:v>
                </c:pt>
                <c:pt idx="215">
                  <c:v>124.7900328160632</c:v>
                </c:pt>
                <c:pt idx="216">
                  <c:v>124.56755103175929</c:v>
                </c:pt>
                <c:pt idx="217">
                  <c:v>123.68874798375884</c:v>
                </c:pt>
                <c:pt idx="218">
                  <c:v>123.06579898770789</c:v>
                </c:pt>
                <c:pt idx="219">
                  <c:v>125.21274820624062</c:v>
                </c:pt>
                <c:pt idx="220">
                  <c:v>125.74670448857002</c:v>
                </c:pt>
                <c:pt idx="221">
                  <c:v>126.41414984148173</c:v>
                </c:pt>
                <c:pt idx="222">
                  <c:v>123.92235385727794</c:v>
                </c:pt>
                <c:pt idx="223">
                  <c:v>122.25374047499862</c:v>
                </c:pt>
                <c:pt idx="224">
                  <c:v>124.2616385783414</c:v>
                </c:pt>
                <c:pt idx="225">
                  <c:v>123.67762389454364</c:v>
                </c:pt>
                <c:pt idx="226">
                  <c:v>127.57661716446967</c:v>
                </c:pt>
                <c:pt idx="227">
                  <c:v>128.51104065854608</c:v>
                </c:pt>
                <c:pt idx="228">
                  <c:v>125.70777017631683</c:v>
                </c:pt>
                <c:pt idx="229">
                  <c:v>128.12725958062185</c:v>
                </c:pt>
                <c:pt idx="230">
                  <c:v>130.39657378052172</c:v>
                </c:pt>
                <c:pt idx="231">
                  <c:v>127.73235441348241</c:v>
                </c:pt>
                <c:pt idx="232">
                  <c:v>128.80582902274878</c:v>
                </c:pt>
                <c:pt idx="233">
                  <c:v>131.55347905890207</c:v>
                </c:pt>
                <c:pt idx="234">
                  <c:v>132.62139162356084</c:v>
                </c:pt>
                <c:pt idx="235">
                  <c:v>133.48907058234607</c:v>
                </c:pt>
                <c:pt idx="236">
                  <c:v>133.56137716224487</c:v>
                </c:pt>
                <c:pt idx="237">
                  <c:v>131.88720173535793</c:v>
                </c:pt>
                <c:pt idx="238">
                  <c:v>134.10089548918182</c:v>
                </c:pt>
                <c:pt idx="239">
                  <c:v>134.85733355581513</c:v>
                </c:pt>
                <c:pt idx="240">
                  <c:v>141.91556816285666</c:v>
                </c:pt>
                <c:pt idx="241">
                  <c:v>139.81867734579231</c:v>
                </c:pt>
                <c:pt idx="242">
                  <c:v>140.95889649034987</c:v>
                </c:pt>
                <c:pt idx="243">
                  <c:v>142.91117414761666</c:v>
                </c:pt>
                <c:pt idx="244">
                  <c:v>143.07247344123701</c:v>
                </c:pt>
                <c:pt idx="245">
                  <c:v>145.21386061516213</c:v>
                </c:pt>
                <c:pt idx="246">
                  <c:v>146.59324767784639</c:v>
                </c:pt>
                <c:pt idx="247">
                  <c:v>145.89243005728906</c:v>
                </c:pt>
                <c:pt idx="248">
                  <c:v>147.86695589298628</c:v>
                </c:pt>
                <c:pt idx="249">
                  <c:v>148.74575894098672</c:v>
                </c:pt>
                <c:pt idx="250">
                  <c:v>148.97936481450583</c:v>
                </c:pt>
                <c:pt idx="251">
                  <c:v>147.38305801212528</c:v>
                </c:pt>
                <c:pt idx="252">
                  <c:v>148.69570053951833</c:v>
                </c:pt>
                <c:pt idx="253">
                  <c:v>150.82596362422828</c:v>
                </c:pt>
                <c:pt idx="254">
                  <c:v>148.33972968463206</c:v>
                </c:pt>
                <c:pt idx="255">
                  <c:v>147.36637187830246</c:v>
                </c:pt>
                <c:pt idx="256">
                  <c:v>149.9415985316202</c:v>
                </c:pt>
                <c:pt idx="257">
                  <c:v>149.7969853718227</c:v>
                </c:pt>
                <c:pt idx="258">
                  <c:v>150.581233661494</c:v>
                </c:pt>
                <c:pt idx="259">
                  <c:v>148.42872239835364</c:v>
                </c:pt>
                <c:pt idx="260">
                  <c:v>149.85260581789868</c:v>
                </c:pt>
                <c:pt idx="261">
                  <c:v>149.62456198898715</c:v>
                </c:pt>
                <c:pt idx="262">
                  <c:v>151.14300016686136</c:v>
                </c:pt>
                <c:pt idx="263">
                  <c:v>153.28438734078645</c:v>
                </c:pt>
                <c:pt idx="264">
                  <c:v>152.60025585405197</c:v>
                </c:pt>
                <c:pt idx="265">
                  <c:v>151.63246009232995</c:v>
                </c:pt>
                <c:pt idx="266">
                  <c:v>152.32771566827967</c:v>
                </c:pt>
                <c:pt idx="267">
                  <c:v>151.72701485065912</c:v>
                </c:pt>
                <c:pt idx="268">
                  <c:v>151.79932143055791</c:v>
                </c:pt>
                <c:pt idx="269">
                  <c:v>150.00278102230379</c:v>
                </c:pt>
                <c:pt idx="270">
                  <c:v>148.08943767729016</c:v>
                </c:pt>
                <c:pt idx="271">
                  <c:v>149.4910729184048</c:v>
                </c:pt>
                <c:pt idx="272">
                  <c:v>147.88920407141666</c:v>
                </c:pt>
                <c:pt idx="273">
                  <c:v>150.25863507425331</c:v>
                </c:pt>
                <c:pt idx="274">
                  <c:v>150.01946715612661</c:v>
                </c:pt>
                <c:pt idx="275">
                  <c:v>147.73902886701151</c:v>
                </c:pt>
                <c:pt idx="276">
                  <c:v>147.14945213860616</c:v>
                </c:pt>
                <c:pt idx="277">
                  <c:v>147.67228433172036</c:v>
                </c:pt>
                <c:pt idx="278">
                  <c:v>146.15940819845375</c:v>
                </c:pt>
                <c:pt idx="279">
                  <c:v>144.87457589409868</c:v>
                </c:pt>
                <c:pt idx="280">
                  <c:v>143.80110128483233</c:v>
                </c:pt>
                <c:pt idx="281">
                  <c:v>143.64536403581957</c:v>
                </c:pt>
                <c:pt idx="282">
                  <c:v>141.87107180599588</c:v>
                </c:pt>
                <c:pt idx="283">
                  <c:v>140.19689637910898</c:v>
                </c:pt>
                <c:pt idx="284">
                  <c:v>141.5429111741476</c:v>
                </c:pt>
                <c:pt idx="285">
                  <c:v>144.24606485344012</c:v>
                </c:pt>
                <c:pt idx="286">
                  <c:v>142.61082373880637</c:v>
                </c:pt>
                <c:pt idx="287">
                  <c:v>143.80110128483233</c:v>
                </c:pt>
                <c:pt idx="288">
                  <c:v>145.30285332888371</c:v>
                </c:pt>
                <c:pt idx="289">
                  <c:v>145.41965626564325</c:v>
                </c:pt>
                <c:pt idx="290">
                  <c:v>143.29495522554092</c:v>
                </c:pt>
                <c:pt idx="291">
                  <c:v>144.46298459313644</c:v>
                </c:pt>
                <c:pt idx="292">
                  <c:v>147.06602146949223</c:v>
                </c:pt>
                <c:pt idx="293">
                  <c:v>147.08270760331499</c:v>
                </c:pt>
                <c:pt idx="294">
                  <c:v>148.2896712831637</c:v>
                </c:pt>
                <c:pt idx="295">
                  <c:v>149.25746704488571</c:v>
                </c:pt>
                <c:pt idx="296">
                  <c:v>149.0238611713666</c:v>
                </c:pt>
                <c:pt idx="297">
                  <c:v>150.55898548306359</c:v>
                </c:pt>
                <c:pt idx="298">
                  <c:v>151.32654763891207</c:v>
                </c:pt>
                <c:pt idx="299">
                  <c:v>150.2252628066077</c:v>
                </c:pt>
                <c:pt idx="300">
                  <c:v>148.92374436842982</c:v>
                </c:pt>
                <c:pt idx="301">
                  <c:v>150.45330663551923</c:v>
                </c:pt>
                <c:pt idx="302">
                  <c:v>144.61315979754158</c:v>
                </c:pt>
                <c:pt idx="303">
                  <c:v>144.11257578285779</c:v>
                </c:pt>
                <c:pt idx="304">
                  <c:v>144.72996273430113</c:v>
                </c:pt>
                <c:pt idx="305">
                  <c:v>145.82568552199791</c:v>
                </c:pt>
                <c:pt idx="306">
                  <c:v>145.09705767840259</c:v>
                </c:pt>
                <c:pt idx="307">
                  <c:v>143.06134935202181</c:v>
                </c:pt>
                <c:pt idx="308">
                  <c:v>144.19600645197175</c:v>
                </c:pt>
                <c:pt idx="309">
                  <c:v>141.26480894376775</c:v>
                </c:pt>
                <c:pt idx="310">
                  <c:v>140.11346570999498</c:v>
                </c:pt>
                <c:pt idx="311">
                  <c:v>141.32042938984372</c:v>
                </c:pt>
                <c:pt idx="312">
                  <c:v>142.26041492852775</c:v>
                </c:pt>
                <c:pt idx="313">
                  <c:v>140.26920295900774</c:v>
                </c:pt>
                <c:pt idx="314">
                  <c:v>139.30696924189334</c:v>
                </c:pt>
                <c:pt idx="315">
                  <c:v>139.70743645364036</c:v>
                </c:pt>
                <c:pt idx="316">
                  <c:v>138.26130485566495</c:v>
                </c:pt>
                <c:pt idx="317">
                  <c:v>137.71066243951279</c:v>
                </c:pt>
                <c:pt idx="318">
                  <c:v>137.83302742087992</c:v>
                </c:pt>
                <c:pt idx="319">
                  <c:v>136.06985928027143</c:v>
                </c:pt>
                <c:pt idx="320">
                  <c:v>138.56165526447523</c:v>
                </c:pt>
                <c:pt idx="321">
                  <c:v>141.24812280994493</c:v>
                </c:pt>
                <c:pt idx="322">
                  <c:v>140.51949496634964</c:v>
                </c:pt>
                <c:pt idx="323">
                  <c:v>142.58301351576841</c:v>
                </c:pt>
                <c:pt idx="324">
                  <c:v>142.1714222148062</c:v>
                </c:pt>
                <c:pt idx="325">
                  <c:v>137.08215139885422</c:v>
                </c:pt>
                <c:pt idx="326">
                  <c:v>137.83302742087992</c:v>
                </c:pt>
                <c:pt idx="327">
                  <c:v>137.70510039490517</c:v>
                </c:pt>
                <c:pt idx="328">
                  <c:v>136.9097280160187</c:v>
                </c:pt>
                <c:pt idx="329">
                  <c:v>136.75955281161356</c:v>
                </c:pt>
                <c:pt idx="330">
                  <c:v>137.80521719784193</c:v>
                </c:pt>
                <c:pt idx="331">
                  <c:v>138.31692530174092</c:v>
                </c:pt>
                <c:pt idx="332">
                  <c:v>135.55815117637243</c:v>
                </c:pt>
                <c:pt idx="333">
                  <c:v>136.30902719839813</c:v>
                </c:pt>
                <c:pt idx="334">
                  <c:v>135.66939206852439</c:v>
                </c:pt>
                <c:pt idx="335">
                  <c:v>135.83069136214473</c:v>
                </c:pt>
                <c:pt idx="336">
                  <c:v>134.58479337004283</c:v>
                </c:pt>
                <c:pt idx="337">
                  <c:v>134.74053061905556</c:v>
                </c:pt>
                <c:pt idx="338">
                  <c:v>137.78296901941155</c:v>
                </c:pt>
                <c:pt idx="339">
                  <c:v>141.65971411090717</c:v>
                </c:pt>
                <c:pt idx="340">
                  <c:v>140.44718838645085</c:v>
                </c:pt>
                <c:pt idx="341">
                  <c:v>141.22031258690694</c:v>
                </c:pt>
                <c:pt idx="342">
                  <c:v>146.17609433227656</c:v>
                </c:pt>
                <c:pt idx="343">
                  <c:v>142.27710106235054</c:v>
                </c:pt>
                <c:pt idx="344">
                  <c:v>142.43840035597083</c:v>
                </c:pt>
                <c:pt idx="345">
                  <c:v>142.46621057900884</c:v>
                </c:pt>
                <c:pt idx="346">
                  <c:v>144.95244451860506</c:v>
                </c:pt>
                <c:pt idx="347">
                  <c:v>144.69659046665552</c:v>
                </c:pt>
                <c:pt idx="348">
                  <c:v>139.3347794649313</c:v>
                </c:pt>
                <c:pt idx="349">
                  <c:v>141.14800600700818</c:v>
                </c:pt>
                <c:pt idx="350">
                  <c:v>145.56426942544078</c:v>
                </c:pt>
                <c:pt idx="351">
                  <c:v>147.13276600478335</c:v>
                </c:pt>
                <c:pt idx="352">
                  <c:v>150.17520440513934</c:v>
                </c:pt>
                <c:pt idx="353">
                  <c:v>152.6836865231659</c:v>
                </c:pt>
                <c:pt idx="354">
                  <c:v>150.80371544579788</c:v>
                </c:pt>
                <c:pt idx="355">
                  <c:v>148.13949607875853</c:v>
                </c:pt>
                <c:pt idx="356">
                  <c:v>143.18371433338896</c:v>
                </c:pt>
                <c:pt idx="357">
                  <c:v>136.90416597141109</c:v>
                </c:pt>
                <c:pt idx="358">
                  <c:v>134.167640024473</c:v>
                </c:pt>
                <c:pt idx="359">
                  <c:v>137.00984481895546</c:v>
                </c:pt>
                <c:pt idx="360">
                  <c:v>135.9029979420435</c:v>
                </c:pt>
                <c:pt idx="361">
                  <c:v>134.54585905778967</c:v>
                </c:pt>
                <c:pt idx="362">
                  <c:v>135.62489571166361</c:v>
                </c:pt>
                <c:pt idx="363">
                  <c:v>134.87958173424553</c:v>
                </c:pt>
                <c:pt idx="364">
                  <c:v>137.14333388953779</c:v>
                </c:pt>
                <c:pt idx="365">
                  <c:v>135.95305634351189</c:v>
                </c:pt>
                <c:pt idx="366">
                  <c:v>135.87518771900551</c:v>
                </c:pt>
                <c:pt idx="367">
                  <c:v>136.60381556260083</c:v>
                </c:pt>
                <c:pt idx="368">
                  <c:v>137.84971355470273</c:v>
                </c:pt>
                <c:pt idx="369">
                  <c:v>137.92758217920908</c:v>
                </c:pt>
                <c:pt idx="370">
                  <c:v>141.77095500305913</c:v>
                </c:pt>
                <c:pt idx="371">
                  <c:v>139.42933422326047</c:v>
                </c:pt>
                <c:pt idx="372">
                  <c:v>133.71711441125757</c:v>
                </c:pt>
                <c:pt idx="373">
                  <c:v>131.13632571333221</c:v>
                </c:pt>
                <c:pt idx="374">
                  <c:v>134.20101229211858</c:v>
                </c:pt>
                <c:pt idx="375">
                  <c:v>136.38689582290451</c:v>
                </c:pt>
                <c:pt idx="376">
                  <c:v>132.9439902108015</c:v>
                </c:pt>
                <c:pt idx="377">
                  <c:v>130.61349352021804</c:v>
                </c:pt>
                <c:pt idx="378">
                  <c:v>129.12842760998944</c:v>
                </c:pt>
                <c:pt idx="379">
                  <c:v>129.02274876244508</c:v>
                </c:pt>
                <c:pt idx="380">
                  <c:v>128.94488013793872</c:v>
                </c:pt>
                <c:pt idx="381">
                  <c:v>129.56782913398965</c:v>
                </c:pt>
                <c:pt idx="382">
                  <c:v>129.56782913398965</c:v>
                </c:pt>
                <c:pt idx="383">
                  <c:v>131.41442794371213</c:v>
                </c:pt>
                <c:pt idx="384">
                  <c:v>132.08187329662385</c:v>
                </c:pt>
                <c:pt idx="385">
                  <c:v>135.08537738472663</c:v>
                </c:pt>
                <c:pt idx="386">
                  <c:v>136.33683742143612</c:v>
                </c:pt>
                <c:pt idx="387">
                  <c:v>135.9363702096891</c:v>
                </c:pt>
                <c:pt idx="388">
                  <c:v>141.0923855609322</c:v>
                </c:pt>
                <c:pt idx="389">
                  <c:v>140.19133433450136</c:v>
                </c:pt>
                <c:pt idx="390">
                  <c:v>140.34707158351412</c:v>
                </c:pt>
                <c:pt idx="391">
                  <c:v>138.97880861004506</c:v>
                </c:pt>
                <c:pt idx="392">
                  <c:v>138.84531953946271</c:v>
                </c:pt>
                <c:pt idx="393">
                  <c:v>139.37371377718449</c:v>
                </c:pt>
                <c:pt idx="394">
                  <c:v>139.18460426052619</c:v>
                </c:pt>
                <c:pt idx="395">
                  <c:v>139.29028310807055</c:v>
                </c:pt>
                <c:pt idx="396">
                  <c:v>137.65504199343678</c:v>
                </c:pt>
                <c:pt idx="397">
                  <c:v>133.74492463429556</c:v>
                </c:pt>
                <c:pt idx="398">
                  <c:v>134.10089548918182</c:v>
                </c:pt>
                <c:pt idx="399">
                  <c:v>134.28444296123257</c:v>
                </c:pt>
                <c:pt idx="400">
                  <c:v>132.39334779464934</c:v>
                </c:pt>
                <c:pt idx="401">
                  <c:v>132.4823405083709</c:v>
                </c:pt>
                <c:pt idx="402">
                  <c:v>134.40124589799208</c:v>
                </c:pt>
                <c:pt idx="403">
                  <c:v>135.65826797930919</c:v>
                </c:pt>
                <c:pt idx="404">
                  <c:v>137.66616608265198</c:v>
                </c:pt>
                <c:pt idx="405">
                  <c:v>138.3280493909561</c:v>
                </c:pt>
                <c:pt idx="406">
                  <c:v>140.60292563546361</c:v>
                </c:pt>
                <c:pt idx="407">
                  <c:v>142.65532009566721</c:v>
                </c:pt>
                <c:pt idx="408">
                  <c:v>143.85672173090828</c:v>
                </c:pt>
                <c:pt idx="409">
                  <c:v>145.5698314700484</c:v>
                </c:pt>
                <c:pt idx="410">
                  <c:v>144.57978752989601</c:v>
                </c:pt>
                <c:pt idx="411">
                  <c:v>141.12019578397019</c:v>
                </c:pt>
                <c:pt idx="412">
                  <c:v>141.03676511485622</c:v>
                </c:pt>
                <c:pt idx="413">
                  <c:v>142.46621057900884</c:v>
                </c:pt>
                <c:pt idx="414">
                  <c:v>142.68869236331275</c:v>
                </c:pt>
                <c:pt idx="415">
                  <c:v>143.77885310640193</c:v>
                </c:pt>
                <c:pt idx="416">
                  <c:v>144.36286779019969</c:v>
                </c:pt>
                <c:pt idx="417">
                  <c:v>153.64035819567275</c:v>
                </c:pt>
                <c:pt idx="418">
                  <c:v>152.36108793592527</c:v>
                </c:pt>
                <c:pt idx="419">
                  <c:v>150.39212414483563</c:v>
                </c:pt>
                <c:pt idx="420">
                  <c:v>149.54113131987322</c:v>
                </c:pt>
                <c:pt idx="421">
                  <c:v>151.66027031536794</c:v>
                </c:pt>
                <c:pt idx="422">
                  <c:v>161.54958562767675</c:v>
                </c:pt>
                <c:pt idx="423">
                  <c:v>161.6274542521831</c:v>
                </c:pt>
                <c:pt idx="424">
                  <c:v>162.58412592468991</c:v>
                </c:pt>
                <c:pt idx="425">
                  <c:v>162.4339507202848</c:v>
                </c:pt>
                <c:pt idx="426">
                  <c:v>160.39824239390401</c:v>
                </c:pt>
                <c:pt idx="427">
                  <c:v>160.02558540519493</c:v>
                </c:pt>
                <c:pt idx="428">
                  <c:v>157.22787696757331</c:v>
                </c:pt>
                <c:pt idx="429">
                  <c:v>155.33678180099005</c:v>
                </c:pt>
                <c:pt idx="430">
                  <c:v>155.03643139217976</c:v>
                </c:pt>
                <c:pt idx="431">
                  <c:v>154.63040213582514</c:v>
                </c:pt>
                <c:pt idx="432">
                  <c:v>154.51916124367318</c:v>
                </c:pt>
                <c:pt idx="433">
                  <c:v>156.39357027643365</c:v>
                </c:pt>
                <c:pt idx="434">
                  <c:v>158.30135157683966</c:v>
                </c:pt>
                <c:pt idx="435">
                  <c:v>161.50508927081597</c:v>
                </c:pt>
                <c:pt idx="436">
                  <c:v>160.40936648311919</c:v>
                </c:pt>
                <c:pt idx="437">
                  <c:v>159.29139551699205</c:v>
                </c:pt>
                <c:pt idx="438">
                  <c:v>160.25919127871407</c:v>
                </c:pt>
                <c:pt idx="439">
                  <c:v>159.65849046109349</c:v>
                </c:pt>
                <c:pt idx="440">
                  <c:v>159.35257800767565</c:v>
                </c:pt>
                <c:pt idx="441">
                  <c:v>158.87980421602981</c:v>
                </c:pt>
                <c:pt idx="442">
                  <c:v>159.98108904833416</c:v>
                </c:pt>
                <c:pt idx="443">
                  <c:v>159.55281161354915</c:v>
                </c:pt>
                <c:pt idx="444">
                  <c:v>156.42138049947164</c:v>
                </c:pt>
                <c:pt idx="445">
                  <c:v>153.68485455253352</c:v>
                </c:pt>
                <c:pt idx="446">
                  <c:v>155.49251905000278</c:v>
                </c:pt>
                <c:pt idx="447">
                  <c:v>154.68602258190111</c:v>
                </c:pt>
                <c:pt idx="448">
                  <c:v>153.38450414372323</c:v>
                </c:pt>
                <c:pt idx="449">
                  <c:v>154.06863563045775</c:v>
                </c:pt>
                <c:pt idx="450">
                  <c:v>151.64914622615274</c:v>
                </c:pt>
                <c:pt idx="451">
                  <c:v>147.33299961065686</c:v>
                </c:pt>
                <c:pt idx="452">
                  <c:v>145.12486790144058</c:v>
                </c:pt>
                <c:pt idx="453">
                  <c:v>146.35407975971967</c:v>
                </c:pt>
                <c:pt idx="454">
                  <c:v>146.20946659992214</c:v>
                </c:pt>
                <c:pt idx="455">
                  <c:v>147.01040102341622</c:v>
                </c:pt>
                <c:pt idx="456">
                  <c:v>147.14389009399858</c:v>
                </c:pt>
                <c:pt idx="457">
                  <c:v>145.92580232493466</c:v>
                </c:pt>
                <c:pt idx="458">
                  <c:v>143.58974358974362</c:v>
                </c:pt>
                <c:pt idx="459">
                  <c:v>143.07247344123701</c:v>
                </c:pt>
                <c:pt idx="460">
                  <c:v>142.14917403637577</c:v>
                </c:pt>
                <c:pt idx="461">
                  <c:v>143.01685299516103</c:v>
                </c:pt>
                <c:pt idx="462">
                  <c:v>143.15590411035097</c:v>
                </c:pt>
                <c:pt idx="463">
                  <c:v>140.15240002224817</c:v>
                </c:pt>
                <c:pt idx="464">
                  <c:v>141.98787474275545</c:v>
                </c:pt>
                <c:pt idx="465">
                  <c:v>139.99110072862783</c:v>
                </c:pt>
                <c:pt idx="466">
                  <c:v>142.40502808832528</c:v>
                </c:pt>
                <c:pt idx="467">
                  <c:v>144.65209410979475</c:v>
                </c:pt>
                <c:pt idx="468">
                  <c:v>149.16847433116413</c:v>
                </c:pt>
                <c:pt idx="469">
                  <c:v>149.71355470270873</c:v>
                </c:pt>
                <c:pt idx="470">
                  <c:v>150.23082485121532</c:v>
                </c:pt>
                <c:pt idx="471">
                  <c:v>153.25101507314088</c:v>
                </c:pt>
                <c:pt idx="472">
                  <c:v>152.61137994326714</c:v>
                </c:pt>
                <c:pt idx="473">
                  <c:v>152.86167195060904</c:v>
                </c:pt>
                <c:pt idx="474">
                  <c:v>154.36898603926807</c:v>
                </c:pt>
                <c:pt idx="475">
                  <c:v>152.95066466433062</c:v>
                </c:pt>
                <c:pt idx="476">
                  <c:v>153.01184715501421</c:v>
                </c:pt>
                <c:pt idx="477">
                  <c:v>151.39885421881084</c:v>
                </c:pt>
                <c:pt idx="478">
                  <c:v>153.71266477557151</c:v>
                </c:pt>
                <c:pt idx="479">
                  <c:v>152.4834529172924</c:v>
                </c:pt>
                <c:pt idx="480">
                  <c:v>150.82040157962069</c:v>
                </c:pt>
                <c:pt idx="481">
                  <c:v>151.32654763891207</c:v>
                </c:pt>
                <c:pt idx="482">
                  <c:v>152.58356972022915</c:v>
                </c:pt>
                <c:pt idx="483">
                  <c:v>154.18543856721732</c:v>
                </c:pt>
                <c:pt idx="484">
                  <c:v>151.79932143055791</c:v>
                </c:pt>
                <c:pt idx="485">
                  <c:v>149.37426998164526</c:v>
                </c:pt>
                <c:pt idx="486">
                  <c:v>148.93486845764502</c:v>
                </c:pt>
                <c:pt idx="487">
                  <c:v>146.73229879303634</c:v>
                </c:pt>
                <c:pt idx="488">
                  <c:v>149.80254741643029</c:v>
                </c:pt>
                <c:pt idx="489">
                  <c:v>150.43105845708882</c:v>
                </c:pt>
                <c:pt idx="490">
                  <c:v>151.71032871683633</c:v>
                </c:pt>
                <c:pt idx="491">
                  <c:v>147.37749596751769</c:v>
                </c:pt>
                <c:pt idx="492">
                  <c:v>143.82891150787029</c:v>
                </c:pt>
                <c:pt idx="493">
                  <c:v>140.6418599477168</c:v>
                </c:pt>
                <c:pt idx="494">
                  <c:v>139.91879414872906</c:v>
                </c:pt>
                <c:pt idx="495">
                  <c:v>138.93431225318426</c:v>
                </c:pt>
                <c:pt idx="496">
                  <c:v>139.3459035541465</c:v>
                </c:pt>
                <c:pt idx="497">
                  <c:v>136.33683742143612</c:v>
                </c:pt>
                <c:pt idx="498">
                  <c:v>137.55492519050003</c:v>
                </c:pt>
                <c:pt idx="499">
                  <c:v>133.36114355637133</c:v>
                </c:pt>
                <c:pt idx="500">
                  <c:v>130.63017965404086</c:v>
                </c:pt>
                <c:pt idx="501">
                  <c:v>133.68374214361199</c:v>
                </c:pt>
                <c:pt idx="502">
                  <c:v>130.80260303687638</c:v>
                </c:pt>
                <c:pt idx="503">
                  <c:v>122.86556538183437</c:v>
                </c:pt>
                <c:pt idx="504">
                  <c:v>123.11029534456867</c:v>
                </c:pt>
                <c:pt idx="505">
                  <c:v>124.98470437732911</c:v>
                </c:pt>
                <c:pt idx="506">
                  <c:v>126.35296735079815</c:v>
                </c:pt>
                <c:pt idx="507">
                  <c:v>125.16825184937983</c:v>
                </c:pt>
                <c:pt idx="508">
                  <c:v>128.66121586295122</c:v>
                </c:pt>
                <c:pt idx="509">
                  <c:v>130.75254463540799</c:v>
                </c:pt>
                <c:pt idx="510">
                  <c:v>131.54235496968687</c:v>
                </c:pt>
                <c:pt idx="511">
                  <c:v>134.10645753378944</c:v>
                </c:pt>
                <c:pt idx="512">
                  <c:v>132.77712887257357</c:v>
                </c:pt>
                <c:pt idx="513">
                  <c:v>130.19634017464821</c:v>
                </c:pt>
                <c:pt idx="514">
                  <c:v>133.93959619556151</c:v>
                </c:pt>
                <c:pt idx="515">
                  <c:v>134.03415095389065</c:v>
                </c:pt>
                <c:pt idx="516">
                  <c:v>131.85382946771233</c:v>
                </c:pt>
                <c:pt idx="517">
                  <c:v>132.12080760887704</c:v>
                </c:pt>
                <c:pt idx="518">
                  <c:v>129.56226708938206</c:v>
                </c:pt>
                <c:pt idx="519">
                  <c:v>129.7625006952556</c:v>
                </c:pt>
                <c:pt idx="520">
                  <c:v>131.9706324044719</c:v>
                </c:pt>
                <c:pt idx="521">
                  <c:v>133.54469102842205</c:v>
                </c:pt>
                <c:pt idx="522">
                  <c:v>131.92057400300351</c:v>
                </c:pt>
                <c:pt idx="523">
                  <c:v>128.33861727571056</c:v>
                </c:pt>
                <c:pt idx="524">
                  <c:v>127.10940541743145</c:v>
                </c:pt>
                <c:pt idx="525">
                  <c:v>125.97474831748153</c:v>
                </c:pt>
                <c:pt idx="526">
                  <c:v>133.227654485789</c:v>
                </c:pt>
                <c:pt idx="527">
                  <c:v>131.03064686578787</c:v>
                </c:pt>
                <c:pt idx="528">
                  <c:v>134.76834084209358</c:v>
                </c:pt>
                <c:pt idx="529">
                  <c:v>135.42466210579011</c:v>
                </c:pt>
                <c:pt idx="530">
                  <c:v>136.00867678958787</c:v>
                </c:pt>
                <c:pt idx="531">
                  <c:v>133.79498303576395</c:v>
                </c:pt>
                <c:pt idx="532">
                  <c:v>134.56254519161243</c:v>
                </c:pt>
                <c:pt idx="533">
                  <c:v>130.24639857611658</c:v>
                </c:pt>
                <c:pt idx="534">
                  <c:v>133.80610712497912</c:v>
                </c:pt>
                <c:pt idx="535">
                  <c:v>136.01423883419545</c:v>
                </c:pt>
                <c:pt idx="536">
                  <c:v>138.77857500417156</c:v>
                </c:pt>
                <c:pt idx="537">
                  <c:v>137.40474998609488</c:v>
                </c:pt>
                <c:pt idx="538">
                  <c:v>136.48701262584126</c:v>
                </c:pt>
                <c:pt idx="539">
                  <c:v>136.46476444741086</c:v>
                </c:pt>
                <c:pt idx="540">
                  <c:v>145.90911619111185</c:v>
                </c:pt>
                <c:pt idx="541">
                  <c:v>146.63218199009958</c:v>
                </c:pt>
                <c:pt idx="542">
                  <c:v>148.53440124589801</c:v>
                </c:pt>
                <c:pt idx="543">
                  <c:v>150.19745258356974</c:v>
                </c:pt>
                <c:pt idx="544">
                  <c:v>148.64008009344235</c:v>
                </c:pt>
                <c:pt idx="545">
                  <c:v>147.86139384837867</c:v>
                </c:pt>
                <c:pt idx="546">
                  <c:v>149.2964013571389</c:v>
                </c:pt>
                <c:pt idx="547">
                  <c:v>149.96940875465822</c:v>
                </c:pt>
                <c:pt idx="548">
                  <c:v>151.48784693253242</c:v>
                </c:pt>
                <c:pt idx="549">
                  <c:v>149.39095611546804</c:v>
                </c:pt>
                <c:pt idx="550">
                  <c:v>148.12837198954335</c:v>
                </c:pt>
                <c:pt idx="551">
                  <c:v>150.7703431781523</c:v>
                </c:pt>
                <c:pt idx="552">
                  <c:v>153.2398909839257</c:v>
                </c:pt>
                <c:pt idx="553">
                  <c:v>153.51799321430556</c:v>
                </c:pt>
                <c:pt idx="554">
                  <c:v>152.02736525946938</c:v>
                </c:pt>
                <c:pt idx="555">
                  <c:v>150.47555481394963</c:v>
                </c:pt>
                <c:pt idx="556">
                  <c:v>151.10962789921575</c:v>
                </c:pt>
                <c:pt idx="557">
                  <c:v>149.16847433116413</c:v>
                </c:pt>
                <c:pt idx="558">
                  <c:v>150.26419711886092</c:v>
                </c:pt>
                <c:pt idx="559">
                  <c:v>146.0203570832638</c:v>
                </c:pt>
                <c:pt idx="560">
                  <c:v>147.56660548417599</c:v>
                </c:pt>
                <c:pt idx="561">
                  <c:v>147.43311641359364</c:v>
                </c:pt>
                <c:pt idx="562">
                  <c:v>146.49313087490964</c:v>
                </c:pt>
                <c:pt idx="563">
                  <c:v>147.36080983369487</c:v>
                </c:pt>
                <c:pt idx="564">
                  <c:v>147.99488291896103</c:v>
                </c:pt>
                <c:pt idx="565">
                  <c:v>147.7668390900495</c:v>
                </c:pt>
                <c:pt idx="566">
                  <c:v>147.28850325379611</c:v>
                </c:pt>
                <c:pt idx="567">
                  <c:v>147.95038656210025</c:v>
                </c:pt>
                <c:pt idx="568">
                  <c:v>147.44980254741645</c:v>
                </c:pt>
                <c:pt idx="569">
                  <c:v>145.23610879359254</c:v>
                </c:pt>
                <c:pt idx="570">
                  <c:v>147.68897046554312</c:v>
                </c:pt>
                <c:pt idx="571">
                  <c:v>145.04143723232662</c:v>
                </c:pt>
                <c:pt idx="572">
                  <c:v>145.26948106123811</c:v>
                </c:pt>
                <c:pt idx="573">
                  <c:v>144.07920351521221</c:v>
                </c:pt>
                <c:pt idx="574">
                  <c:v>143.57861950052839</c:v>
                </c:pt>
                <c:pt idx="575">
                  <c:v>142.35496968685689</c:v>
                </c:pt>
                <c:pt idx="576">
                  <c:v>145.19161243673176</c:v>
                </c:pt>
                <c:pt idx="577">
                  <c:v>147.10495578174539</c:v>
                </c:pt>
                <c:pt idx="578">
                  <c:v>141.63190388786916</c:v>
                </c:pt>
                <c:pt idx="579">
                  <c:v>142.92229823683184</c:v>
                </c:pt>
                <c:pt idx="580">
                  <c:v>145.82568552199791</c:v>
                </c:pt>
                <c:pt idx="581">
                  <c:v>145.0692474553646</c:v>
                </c:pt>
                <c:pt idx="582">
                  <c:v>147.21063462928973</c:v>
                </c:pt>
                <c:pt idx="583">
                  <c:v>147.78908726847988</c:v>
                </c:pt>
                <c:pt idx="584">
                  <c:v>148.08387563268261</c:v>
                </c:pt>
                <c:pt idx="585">
                  <c:v>148.50659102286002</c:v>
                </c:pt>
                <c:pt idx="586">
                  <c:v>148.20067856944212</c:v>
                </c:pt>
                <c:pt idx="587">
                  <c:v>150.14739418210135</c:v>
                </c:pt>
                <c:pt idx="588">
                  <c:v>150.581233661494</c:v>
                </c:pt>
                <c:pt idx="589">
                  <c:v>149.61899994437957</c:v>
                </c:pt>
                <c:pt idx="590">
                  <c:v>150.13627009288615</c:v>
                </c:pt>
                <c:pt idx="591">
                  <c:v>145.48083875632682</c:v>
                </c:pt>
                <c:pt idx="592">
                  <c:v>144.95800656321265</c:v>
                </c:pt>
                <c:pt idx="593">
                  <c:v>146.28733522442849</c:v>
                </c:pt>
                <c:pt idx="594">
                  <c:v>148.28410923855611</c:v>
                </c:pt>
                <c:pt idx="595">
                  <c:v>147.39974414594806</c:v>
                </c:pt>
                <c:pt idx="596">
                  <c:v>148.94043050225264</c:v>
                </c:pt>
                <c:pt idx="597">
                  <c:v>149.68018243506313</c:v>
                </c:pt>
                <c:pt idx="598">
                  <c:v>150.96501473941822</c:v>
                </c:pt>
                <c:pt idx="599">
                  <c:v>152.86167195060904</c:v>
                </c:pt>
                <c:pt idx="600">
                  <c:v>150.23638689582293</c:v>
                </c:pt>
                <c:pt idx="601">
                  <c:v>152.35552589131765</c:v>
                </c:pt>
                <c:pt idx="602">
                  <c:v>151.71589076144389</c:v>
                </c:pt>
                <c:pt idx="603">
                  <c:v>152.77267923688748</c:v>
                </c:pt>
                <c:pt idx="604">
                  <c:v>152.92285444129263</c:v>
                </c:pt>
                <c:pt idx="605">
                  <c:v>156.76622726514267</c:v>
                </c:pt>
                <c:pt idx="606">
                  <c:v>157.50041715334561</c:v>
                </c:pt>
                <c:pt idx="607">
                  <c:v>156.62161410534512</c:v>
                </c:pt>
                <c:pt idx="608">
                  <c:v>156.90527838033265</c:v>
                </c:pt>
                <c:pt idx="609">
                  <c:v>159.36370209689082</c:v>
                </c:pt>
                <c:pt idx="610">
                  <c:v>158.65176038711832</c:v>
                </c:pt>
                <c:pt idx="611">
                  <c:v>162.3505200511708</c:v>
                </c:pt>
                <c:pt idx="612">
                  <c:v>164.43628677901995</c:v>
                </c:pt>
                <c:pt idx="613">
                  <c:v>163.02352744869015</c:v>
                </c:pt>
                <c:pt idx="614">
                  <c:v>162.20034484676569</c:v>
                </c:pt>
                <c:pt idx="615">
                  <c:v>161.23254908504367</c:v>
                </c:pt>
                <c:pt idx="616">
                  <c:v>162.87891428889259</c:v>
                </c:pt>
                <c:pt idx="617">
                  <c:v>159.23021302630846</c:v>
                </c:pt>
                <c:pt idx="618">
                  <c:v>160.34262194782804</c:v>
                </c:pt>
                <c:pt idx="619">
                  <c:v>162.63418432615828</c:v>
                </c:pt>
                <c:pt idx="620">
                  <c:v>161.46615495856278</c:v>
                </c:pt>
                <c:pt idx="621">
                  <c:v>161.96673897324655</c:v>
                </c:pt>
                <c:pt idx="622">
                  <c:v>161.93892875020856</c:v>
                </c:pt>
                <c:pt idx="623">
                  <c:v>161.94449079481618</c:v>
                </c:pt>
                <c:pt idx="624">
                  <c:v>161.94449079481618</c:v>
                </c:pt>
                <c:pt idx="625">
                  <c:v>162.6842427276267</c:v>
                </c:pt>
                <c:pt idx="626">
                  <c:v>160.21469492185329</c:v>
                </c:pt>
                <c:pt idx="627">
                  <c:v>162.59525001390512</c:v>
                </c:pt>
                <c:pt idx="628">
                  <c:v>163.97463707658937</c:v>
                </c:pt>
                <c:pt idx="629">
                  <c:v>166.25507536570444</c:v>
                </c:pt>
                <c:pt idx="630">
                  <c:v>162.65643250458871</c:v>
                </c:pt>
                <c:pt idx="631">
                  <c:v>163.76327938150067</c:v>
                </c:pt>
                <c:pt idx="632">
                  <c:v>167.7790755881862</c:v>
                </c:pt>
                <c:pt idx="633">
                  <c:v>164.04694365648814</c:v>
                </c:pt>
                <c:pt idx="634">
                  <c:v>163.54079759719673</c:v>
                </c:pt>
                <c:pt idx="635">
                  <c:v>162.38945436342397</c:v>
                </c:pt>
                <c:pt idx="636">
                  <c:v>162.55075365704434</c:v>
                </c:pt>
                <c:pt idx="637">
                  <c:v>166.07152789365372</c:v>
                </c:pt>
                <c:pt idx="638">
                  <c:v>165.63212636965349</c:v>
                </c:pt>
                <c:pt idx="639">
                  <c:v>166.24395127648924</c:v>
                </c:pt>
                <c:pt idx="640">
                  <c:v>165.52088547750151</c:v>
                </c:pt>
                <c:pt idx="641">
                  <c:v>163.41843261582957</c:v>
                </c:pt>
                <c:pt idx="642">
                  <c:v>163.94682685355139</c:v>
                </c:pt>
                <c:pt idx="643">
                  <c:v>166.46643306079315</c:v>
                </c:pt>
                <c:pt idx="644">
                  <c:v>168.54107569942713</c:v>
                </c:pt>
                <c:pt idx="645">
                  <c:v>171.09961621892208</c:v>
                </c:pt>
                <c:pt idx="646">
                  <c:v>167.77351354357862</c:v>
                </c:pt>
                <c:pt idx="647">
                  <c:v>168.73574726069305</c:v>
                </c:pt>
                <c:pt idx="648">
                  <c:v>169.47549919350354</c:v>
                </c:pt>
                <c:pt idx="649">
                  <c:v>169.45881305968075</c:v>
                </c:pt>
                <c:pt idx="650">
                  <c:v>167.3619222426164</c:v>
                </c:pt>
                <c:pt idx="651">
                  <c:v>169.32532398909842</c:v>
                </c:pt>
                <c:pt idx="652">
                  <c:v>168.47433116413592</c:v>
                </c:pt>
                <c:pt idx="653">
                  <c:v>167.65671060681908</c:v>
                </c:pt>
                <c:pt idx="654">
                  <c:v>168.39090049502198</c:v>
                </c:pt>
                <c:pt idx="655">
                  <c:v>171.90611268702375</c:v>
                </c:pt>
                <c:pt idx="656">
                  <c:v>168.5855720562879</c:v>
                </c:pt>
                <c:pt idx="657">
                  <c:v>164.76444741086823</c:v>
                </c:pt>
                <c:pt idx="658">
                  <c:v>164.27498748539966</c:v>
                </c:pt>
                <c:pt idx="659">
                  <c:v>164.34173202069081</c:v>
                </c:pt>
                <c:pt idx="660">
                  <c:v>165.50976138828634</c:v>
                </c:pt>
                <c:pt idx="661">
                  <c:v>163.34056399132322</c:v>
                </c:pt>
                <c:pt idx="662">
                  <c:v>162.4450748095</c:v>
                </c:pt>
                <c:pt idx="663">
                  <c:v>162.82329384281664</c:v>
                </c:pt>
                <c:pt idx="664">
                  <c:v>162.41726458646198</c:v>
                </c:pt>
                <c:pt idx="665">
                  <c:v>162.73986317370264</c:v>
                </c:pt>
                <c:pt idx="666">
                  <c:v>164.06362979031096</c:v>
                </c:pt>
                <c:pt idx="667">
                  <c:v>161.29929362033485</c:v>
                </c:pt>
                <c:pt idx="668">
                  <c:v>161.02119138995496</c:v>
                </c:pt>
                <c:pt idx="669">
                  <c:v>160.49279715223318</c:v>
                </c:pt>
                <c:pt idx="670">
                  <c:v>162.55631570165193</c:v>
                </c:pt>
                <c:pt idx="671">
                  <c:v>158.57389176261196</c:v>
                </c:pt>
                <c:pt idx="672">
                  <c:v>159.24133711552369</c:v>
                </c:pt>
                <c:pt idx="673">
                  <c:v>159.79754157628346</c:v>
                </c:pt>
                <c:pt idx="674">
                  <c:v>162.87891428889259</c:v>
                </c:pt>
                <c:pt idx="675">
                  <c:v>164.13593637020972</c:v>
                </c:pt>
                <c:pt idx="676">
                  <c:v>164.13037432560208</c:v>
                </c:pt>
                <c:pt idx="677">
                  <c:v>158.01212525724455</c:v>
                </c:pt>
                <c:pt idx="678">
                  <c:v>156.05984759997776</c:v>
                </c:pt>
                <c:pt idx="679">
                  <c:v>155.78174536959784</c:v>
                </c:pt>
                <c:pt idx="680">
                  <c:v>156.77735135435788</c:v>
                </c:pt>
                <c:pt idx="681">
                  <c:v>158.08999388175096</c:v>
                </c:pt>
                <c:pt idx="682">
                  <c:v>159.05778964347297</c:v>
                </c:pt>
                <c:pt idx="683">
                  <c:v>160.09232994048611</c:v>
                </c:pt>
                <c:pt idx="684">
                  <c:v>159.73635908559987</c:v>
                </c:pt>
                <c:pt idx="685">
                  <c:v>162.81216975360144</c:v>
                </c:pt>
                <c:pt idx="686">
                  <c:v>164.12481228099449</c:v>
                </c:pt>
                <c:pt idx="687">
                  <c:v>165.32621391623564</c:v>
                </c:pt>
                <c:pt idx="688">
                  <c:v>162.32827187274043</c:v>
                </c:pt>
                <c:pt idx="689">
                  <c:v>161.21030090661327</c:v>
                </c:pt>
                <c:pt idx="690">
                  <c:v>162.73986317370264</c:v>
                </c:pt>
                <c:pt idx="691">
                  <c:v>163.32943990210802</c:v>
                </c:pt>
                <c:pt idx="692">
                  <c:v>164.00800934423495</c:v>
                </c:pt>
                <c:pt idx="693">
                  <c:v>164.51415540352633</c:v>
                </c:pt>
                <c:pt idx="694">
                  <c:v>161.87774625952503</c:v>
                </c:pt>
                <c:pt idx="695">
                  <c:v>165.06479781967852</c:v>
                </c:pt>
                <c:pt idx="696">
                  <c:v>166.45530897157795</c:v>
                </c:pt>
                <c:pt idx="697">
                  <c:v>164.60314811724791</c:v>
                </c:pt>
                <c:pt idx="698">
                  <c:v>165.01473941821016</c:v>
                </c:pt>
                <c:pt idx="699">
                  <c:v>162.41726458646198</c:v>
                </c:pt>
                <c:pt idx="700">
                  <c:v>158.74631514544748</c:v>
                </c:pt>
                <c:pt idx="701">
                  <c:v>160.37599421547358</c:v>
                </c:pt>
                <c:pt idx="702">
                  <c:v>162.33939596195563</c:v>
                </c:pt>
                <c:pt idx="703">
                  <c:v>162.34495800656322</c:v>
                </c:pt>
                <c:pt idx="704">
                  <c:v>162.87891428889259</c:v>
                </c:pt>
                <c:pt idx="705">
                  <c:v>163.32387785750043</c:v>
                </c:pt>
                <c:pt idx="706">
                  <c:v>163.6353523555259</c:v>
                </c:pt>
                <c:pt idx="707">
                  <c:v>162.42282663106957</c:v>
                </c:pt>
                <c:pt idx="708">
                  <c:v>160.67634462428387</c:v>
                </c:pt>
                <c:pt idx="709">
                  <c:v>158.64063629790311</c:v>
                </c:pt>
                <c:pt idx="710">
                  <c:v>162.77323544134822</c:v>
                </c:pt>
                <c:pt idx="711">
                  <c:v>165.00917737360254</c:v>
                </c:pt>
                <c:pt idx="712">
                  <c:v>166.77790755881864</c:v>
                </c:pt>
                <c:pt idx="713">
                  <c:v>162.47844707714557</c:v>
                </c:pt>
                <c:pt idx="714">
                  <c:v>166.37744034707157</c:v>
                </c:pt>
                <c:pt idx="715">
                  <c:v>173.3244340619612</c:v>
                </c:pt>
                <c:pt idx="716">
                  <c:v>172.21202514044163</c:v>
                </c:pt>
                <c:pt idx="717">
                  <c:v>173.00183547472051</c:v>
                </c:pt>
                <c:pt idx="718">
                  <c:v>166.01590744757775</c:v>
                </c:pt>
                <c:pt idx="719">
                  <c:v>167.81244785583181</c:v>
                </c:pt>
                <c:pt idx="720">
                  <c:v>170.18187885866845</c:v>
                </c:pt>
                <c:pt idx="721">
                  <c:v>164.71995105400745</c:v>
                </c:pt>
                <c:pt idx="722">
                  <c:v>166.31069581178042</c:v>
                </c:pt>
                <c:pt idx="723">
                  <c:v>168.68012681461707</c:v>
                </c:pt>
                <c:pt idx="724">
                  <c:v>166.90027254018577</c:v>
                </c:pt>
                <c:pt idx="725">
                  <c:v>167.08382001223649</c:v>
                </c:pt>
                <c:pt idx="726">
                  <c:v>166.12158629512211</c:v>
                </c:pt>
                <c:pt idx="727">
                  <c:v>166.71116302352746</c:v>
                </c:pt>
                <c:pt idx="728">
                  <c:v>166.56654986372993</c:v>
                </c:pt>
                <c:pt idx="729">
                  <c:v>167.16168863674287</c:v>
                </c:pt>
                <c:pt idx="730">
                  <c:v>170.15406863563047</c:v>
                </c:pt>
                <c:pt idx="731">
                  <c:v>172.98514934089772</c:v>
                </c:pt>
                <c:pt idx="732">
                  <c:v>173.25212748206243</c:v>
                </c:pt>
                <c:pt idx="733">
                  <c:v>172.84609822570778</c:v>
                </c:pt>
                <c:pt idx="734">
                  <c:v>180.05450803715448</c:v>
                </c:pt>
                <c:pt idx="735">
                  <c:v>182.05684409588966</c:v>
                </c:pt>
                <c:pt idx="736">
                  <c:v>183.75326770120697</c:v>
                </c:pt>
                <c:pt idx="737">
                  <c:v>177.86306246176093</c:v>
                </c:pt>
                <c:pt idx="738">
                  <c:v>179.05334000778689</c:v>
                </c:pt>
                <c:pt idx="739">
                  <c:v>182.24039156794035</c:v>
                </c:pt>
                <c:pt idx="740">
                  <c:v>168.09611213081931</c:v>
                </c:pt>
                <c:pt idx="741">
                  <c:v>166.50536737304634</c:v>
                </c:pt>
                <c:pt idx="742">
                  <c:v>168.44652094109799</c:v>
                </c:pt>
                <c:pt idx="743">
                  <c:v>169.80365982535182</c:v>
                </c:pt>
                <c:pt idx="744">
                  <c:v>172.86278435953056</c:v>
                </c:pt>
                <c:pt idx="745">
                  <c:v>176.81183603092495</c:v>
                </c:pt>
                <c:pt idx="746">
                  <c:v>169.93714889593414</c:v>
                </c:pt>
                <c:pt idx="747">
                  <c:v>171.86161633016297</c:v>
                </c:pt>
                <c:pt idx="748">
                  <c:v>172.42338283553036</c:v>
                </c:pt>
                <c:pt idx="749">
                  <c:v>170.3098058846432</c:v>
                </c:pt>
                <c:pt idx="750">
                  <c:v>166.86133822793258</c:v>
                </c:pt>
                <c:pt idx="751">
                  <c:v>164.62539629567831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D-1D45-8DD9-FD68D2443BBC}"/>
            </c:ext>
          </c:extLst>
        </c:ser>
        <c:ser>
          <c:idx val="1"/>
          <c:order val="1"/>
          <c:tx>
            <c:strRef>
              <c:f>'1. Share_Price_Analysis'!$M$63</c:f>
              <c:strCache>
                <c:ptCount val="1"/>
                <c:pt idx="0">
                  <c:v>SPY Normalized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Share_Price_Analysis'!$M$64:$M$815</c:f>
              <c:numCache>
                <c:formatCode>0.00</c:formatCode>
                <c:ptCount val="752"/>
                <c:pt idx="0">
                  <c:v>100</c:v>
                </c:pt>
                <c:pt idx="1">
                  <c:v>98.467129824214396</c:v>
                </c:pt>
                <c:pt idx="2">
                  <c:v>98.627833955546762</c:v>
                </c:pt>
                <c:pt idx="3">
                  <c:v>96.808168714614183</c:v>
                </c:pt>
                <c:pt idx="4">
                  <c:v>95.411278957648278</c:v>
                </c:pt>
                <c:pt idx="5">
                  <c:v>95.275298538828594</c:v>
                </c:pt>
                <c:pt idx="6">
                  <c:v>96.850199025885729</c:v>
                </c:pt>
                <c:pt idx="7">
                  <c:v>96.244468069325279</c:v>
                </c:pt>
                <c:pt idx="8">
                  <c:v>97.933097633940719</c:v>
                </c:pt>
                <c:pt idx="9">
                  <c:v>96.420006428165252</c:v>
                </c:pt>
                <c:pt idx="10">
                  <c:v>97.347145647390406</c:v>
                </c:pt>
                <c:pt idx="11">
                  <c:v>98.625361584295504</c:v>
                </c:pt>
                <c:pt idx="12">
                  <c:v>96.944149133433882</c:v>
                </c:pt>
                <c:pt idx="13">
                  <c:v>97.20622048606819</c:v>
                </c:pt>
                <c:pt idx="14">
                  <c:v>97.844092268895082</c:v>
                </c:pt>
                <c:pt idx="15">
                  <c:v>98.027047741488857</c:v>
                </c:pt>
                <c:pt idx="16">
                  <c:v>97.807006700126081</c:v>
                </c:pt>
                <c:pt idx="17">
                  <c:v>99.228620169604667</c:v>
                </c:pt>
                <c:pt idx="18">
                  <c:v>99.809627413652422</c:v>
                </c:pt>
                <c:pt idx="19">
                  <c:v>101.21640665562339</c:v>
                </c:pt>
                <c:pt idx="20">
                  <c:v>101.60209657082106</c:v>
                </c:pt>
                <c:pt idx="21">
                  <c:v>101.03839592553217</c:v>
                </c:pt>
                <c:pt idx="22">
                  <c:v>100.7738522016466</c:v>
                </c:pt>
                <c:pt idx="23">
                  <c:v>101.16695923059807</c:v>
                </c:pt>
                <c:pt idx="24">
                  <c:v>101.27079882315128</c:v>
                </c:pt>
                <c:pt idx="25">
                  <c:v>101.29799490691522</c:v>
                </c:pt>
                <c:pt idx="26">
                  <c:v>100.88510890795361</c:v>
                </c:pt>
                <c:pt idx="27">
                  <c:v>102.22513412614038</c:v>
                </c:pt>
                <c:pt idx="28">
                  <c:v>101.97542462976239</c:v>
                </c:pt>
                <c:pt idx="29">
                  <c:v>102.34133557494994</c:v>
                </c:pt>
                <c:pt idx="30">
                  <c:v>102.40808959873414</c:v>
                </c:pt>
                <c:pt idx="31">
                  <c:v>102.39078299997526</c:v>
                </c:pt>
                <c:pt idx="32">
                  <c:v>101.8320270971889</c:v>
                </c:pt>
                <c:pt idx="33">
                  <c:v>101.91114297722945</c:v>
                </c:pt>
                <c:pt idx="34">
                  <c:v>102.01745494103393</c:v>
                </c:pt>
                <c:pt idx="35">
                  <c:v>100.39805177145399</c:v>
                </c:pt>
                <c:pt idx="36">
                  <c:v>99.97280391623606</c:v>
                </c:pt>
                <c:pt idx="37">
                  <c:v>101.96306277350607</c:v>
                </c:pt>
                <c:pt idx="38">
                  <c:v>102.83333745395208</c:v>
                </c:pt>
                <c:pt idx="39">
                  <c:v>102.72949786139887</c:v>
                </c:pt>
                <c:pt idx="40">
                  <c:v>101.57490048705714</c:v>
                </c:pt>
                <c:pt idx="41">
                  <c:v>100.87769179419981</c:v>
                </c:pt>
                <c:pt idx="42">
                  <c:v>100.16317650258361</c:v>
                </c:pt>
                <c:pt idx="43">
                  <c:v>102.01745494103393</c:v>
                </c:pt>
                <c:pt idx="44">
                  <c:v>102.04465102479787</c:v>
                </c:pt>
                <c:pt idx="45">
                  <c:v>101.59715182831854</c:v>
                </c:pt>
                <c:pt idx="46">
                  <c:v>102.07184710856183</c:v>
                </c:pt>
                <c:pt idx="47">
                  <c:v>101.89383637847058</c:v>
                </c:pt>
                <c:pt idx="48">
                  <c:v>101.76032833090215</c:v>
                </c:pt>
                <c:pt idx="49">
                  <c:v>102.1114050485821</c:v>
                </c:pt>
                <c:pt idx="50">
                  <c:v>101.42903058323239</c:v>
                </c:pt>
                <c:pt idx="51">
                  <c:v>102.66027146636338</c:v>
                </c:pt>
                <c:pt idx="52">
                  <c:v>103.64921996687022</c:v>
                </c:pt>
                <c:pt idx="53">
                  <c:v>103.49840532054293</c:v>
                </c:pt>
                <c:pt idx="54">
                  <c:v>103.54043563181447</c:v>
                </c:pt>
                <c:pt idx="55">
                  <c:v>102.37842114371894</c:v>
                </c:pt>
                <c:pt idx="56">
                  <c:v>101.6367097683388</c:v>
                </c:pt>
                <c:pt idx="57">
                  <c:v>102.51687393378988</c:v>
                </c:pt>
                <c:pt idx="58">
                  <c:v>103.84453729572031</c:v>
                </c:pt>
                <c:pt idx="59">
                  <c:v>103.8840952357406</c:v>
                </c:pt>
                <c:pt idx="60">
                  <c:v>103.30803273419538</c:v>
                </c:pt>
                <c:pt idx="61">
                  <c:v>104.28956412094838</c:v>
                </c:pt>
                <c:pt idx="62">
                  <c:v>105.79771058422132</c:v>
                </c:pt>
                <c:pt idx="63">
                  <c:v>105.59497614161741</c:v>
                </c:pt>
                <c:pt idx="64">
                  <c:v>105.82490666798525</c:v>
                </c:pt>
                <c:pt idx="65">
                  <c:v>105.45899572279774</c:v>
                </c:pt>
                <c:pt idx="66">
                  <c:v>106.09686750562463</c:v>
                </c:pt>
                <c:pt idx="67">
                  <c:v>106.28724009197219</c:v>
                </c:pt>
                <c:pt idx="68">
                  <c:v>107.25146487996638</c:v>
                </c:pt>
                <c:pt idx="69">
                  <c:v>107.95856305782875</c:v>
                </c:pt>
                <c:pt idx="70">
                  <c:v>108.08712636289464</c:v>
                </c:pt>
                <c:pt idx="71">
                  <c:v>109.4271515810814</c:v>
                </c:pt>
                <c:pt idx="72">
                  <c:v>108.65082700818354</c:v>
                </c:pt>
                <c:pt idx="73">
                  <c:v>108.08712636289464</c:v>
                </c:pt>
                <c:pt idx="74">
                  <c:v>107.53331520261082</c:v>
                </c:pt>
                <c:pt idx="75">
                  <c:v>107.92147748905975</c:v>
                </c:pt>
                <c:pt idx="76">
                  <c:v>107.1055949761416</c:v>
                </c:pt>
                <c:pt idx="77">
                  <c:v>106.66798526466734</c:v>
                </c:pt>
                <c:pt idx="78">
                  <c:v>107.83741686651666</c:v>
                </c:pt>
                <c:pt idx="79">
                  <c:v>107.89180903404454</c:v>
                </c:pt>
                <c:pt idx="80">
                  <c:v>108.3170568892625</c:v>
                </c:pt>
                <c:pt idx="81">
                  <c:v>109.59527282616757</c:v>
                </c:pt>
                <c:pt idx="82">
                  <c:v>109.72136375998221</c:v>
                </c:pt>
                <c:pt idx="83">
                  <c:v>109.55818725739857</c:v>
                </c:pt>
                <c:pt idx="84">
                  <c:v>108.70027443320889</c:v>
                </c:pt>
                <c:pt idx="85">
                  <c:v>108.42584122431825</c:v>
                </c:pt>
                <c:pt idx="86">
                  <c:v>108.70027443320889</c:v>
                </c:pt>
                <c:pt idx="87">
                  <c:v>109.39253838356366</c:v>
                </c:pt>
                <c:pt idx="88">
                  <c:v>110.27270254901475</c:v>
                </c:pt>
                <c:pt idx="89">
                  <c:v>111.1479219719633</c:v>
                </c:pt>
                <c:pt idx="90">
                  <c:v>111.07869557692783</c:v>
                </c:pt>
                <c:pt idx="91">
                  <c:v>111.46438549212547</c:v>
                </c:pt>
                <c:pt idx="92">
                  <c:v>112.29262986129997</c:v>
                </c:pt>
                <c:pt idx="93">
                  <c:v>112.54233935767795</c:v>
                </c:pt>
                <c:pt idx="94">
                  <c:v>111.79568323979527</c:v>
                </c:pt>
                <c:pt idx="95">
                  <c:v>111.79568323979527</c:v>
                </c:pt>
                <c:pt idx="96">
                  <c:v>112.29510223255123</c:v>
                </c:pt>
                <c:pt idx="97">
                  <c:v>112.60167626770836</c:v>
                </c:pt>
                <c:pt idx="98">
                  <c:v>112.61898286646721</c:v>
                </c:pt>
                <c:pt idx="99">
                  <c:v>111.87232674858456</c:v>
                </c:pt>
                <c:pt idx="100">
                  <c:v>112.96758721289588</c:v>
                </c:pt>
                <c:pt idx="101">
                  <c:v>113.18268351175614</c:v>
                </c:pt>
                <c:pt idx="102">
                  <c:v>112.85880287784013</c:v>
                </c:pt>
                <c:pt idx="103">
                  <c:v>111.28884713328553</c:v>
                </c:pt>
                <c:pt idx="104">
                  <c:v>110.96991124187208</c:v>
                </c:pt>
                <c:pt idx="105">
                  <c:v>110.46801987786485</c:v>
                </c:pt>
                <c:pt idx="106">
                  <c:v>111.43224466585902</c:v>
                </c:pt>
                <c:pt idx="107">
                  <c:v>110.94765990061066</c:v>
                </c:pt>
                <c:pt idx="108">
                  <c:v>110.20594852523054</c:v>
                </c:pt>
                <c:pt idx="109">
                  <c:v>110.24550646525083</c:v>
                </c:pt>
                <c:pt idx="110">
                  <c:v>110.18122481271786</c:v>
                </c:pt>
                <c:pt idx="111">
                  <c:v>110.78942814052959</c:v>
                </c:pt>
                <c:pt idx="112">
                  <c:v>109.49885034736815</c:v>
                </c:pt>
                <c:pt idx="113">
                  <c:v>108.69532969070634</c:v>
                </c:pt>
                <c:pt idx="114">
                  <c:v>107.86708532153189</c:v>
                </c:pt>
                <c:pt idx="115">
                  <c:v>107.91900511780848</c:v>
                </c:pt>
                <c:pt idx="116">
                  <c:v>108.62115855316834</c:v>
                </c:pt>
                <c:pt idx="117">
                  <c:v>108.32694637426754</c:v>
                </c:pt>
                <c:pt idx="118">
                  <c:v>109.53346354488589</c:v>
                </c:pt>
                <c:pt idx="119">
                  <c:v>108.01542759660789</c:v>
                </c:pt>
                <c:pt idx="120">
                  <c:v>108.77691794199818</c:v>
                </c:pt>
                <c:pt idx="121">
                  <c:v>109.46670952110166</c:v>
                </c:pt>
                <c:pt idx="122">
                  <c:v>111.04902712191263</c:v>
                </c:pt>
                <c:pt idx="123">
                  <c:v>111.50641580339702</c:v>
                </c:pt>
                <c:pt idx="124">
                  <c:v>111.34323930081339</c:v>
                </c:pt>
                <c:pt idx="125">
                  <c:v>111.55091848591985</c:v>
                </c:pt>
                <c:pt idx="126">
                  <c:v>111.06880609192275</c:v>
                </c:pt>
                <c:pt idx="127">
                  <c:v>110.3221499740401</c:v>
                </c:pt>
                <c:pt idx="128">
                  <c:v>109.9834351126165</c:v>
                </c:pt>
                <c:pt idx="129">
                  <c:v>110.1490839864514</c:v>
                </c:pt>
                <c:pt idx="130">
                  <c:v>110.87348876307266</c:v>
                </c:pt>
                <c:pt idx="131">
                  <c:v>110.26528543526095</c:v>
                </c:pt>
                <c:pt idx="132">
                  <c:v>110.39384874032683</c:v>
                </c:pt>
                <c:pt idx="133">
                  <c:v>111.34571167206467</c:v>
                </c:pt>
                <c:pt idx="134">
                  <c:v>109.61752416742898</c:v>
                </c:pt>
                <c:pt idx="135">
                  <c:v>109.68180581996192</c:v>
                </c:pt>
                <c:pt idx="136">
                  <c:v>109.45434766484534</c:v>
                </c:pt>
                <c:pt idx="137">
                  <c:v>108.44809256557963</c:v>
                </c:pt>
                <c:pt idx="138">
                  <c:v>106.65562340841099</c:v>
                </c:pt>
                <c:pt idx="139">
                  <c:v>106.41580339703809</c:v>
                </c:pt>
                <c:pt idx="140">
                  <c:v>106.86330259351745</c:v>
                </c:pt>
                <c:pt idx="141">
                  <c:v>105.29334684896283</c:v>
                </c:pt>
                <c:pt idx="142">
                  <c:v>105.33537716023437</c:v>
                </c:pt>
                <c:pt idx="143">
                  <c:v>105.94605285929734</c:v>
                </c:pt>
                <c:pt idx="144">
                  <c:v>105.68892624916558</c:v>
                </c:pt>
                <c:pt idx="145">
                  <c:v>105.64689593789403</c:v>
                </c:pt>
                <c:pt idx="146">
                  <c:v>104.23269958216925</c:v>
                </c:pt>
                <c:pt idx="147">
                  <c:v>104.99171755630825</c:v>
                </c:pt>
                <c:pt idx="148">
                  <c:v>104.95215961628797</c:v>
                </c:pt>
                <c:pt idx="149">
                  <c:v>106.1982347269266</c:v>
                </c:pt>
                <c:pt idx="150">
                  <c:v>106.87813682102505</c:v>
                </c:pt>
                <c:pt idx="151">
                  <c:v>107.43442035256014</c:v>
                </c:pt>
                <c:pt idx="152">
                  <c:v>107.87450243528566</c:v>
                </c:pt>
                <c:pt idx="153">
                  <c:v>107.21685168244863</c:v>
                </c:pt>
                <c:pt idx="154">
                  <c:v>106.68281949217493</c:v>
                </c:pt>
                <c:pt idx="155">
                  <c:v>107.80527604025021</c:v>
                </c:pt>
                <c:pt idx="156">
                  <c:v>107.80033129774766</c:v>
                </c:pt>
                <c:pt idx="157">
                  <c:v>106.36388360076148</c:v>
                </c:pt>
                <c:pt idx="158">
                  <c:v>105.42932726778254</c:v>
                </c:pt>
                <c:pt idx="159">
                  <c:v>104.13380473211858</c:v>
                </c:pt>
                <c:pt idx="160">
                  <c:v>103.95332163077606</c:v>
                </c:pt>
                <c:pt idx="161">
                  <c:v>104.73706331742774</c:v>
                </c:pt>
                <c:pt idx="162">
                  <c:v>103.23386159665735</c:v>
                </c:pt>
                <c:pt idx="163">
                  <c:v>101.99767597102381</c:v>
                </c:pt>
                <c:pt idx="164">
                  <c:v>101.53534254703686</c:v>
                </c:pt>
                <c:pt idx="165">
                  <c:v>102.74927683140899</c:v>
                </c:pt>
                <c:pt idx="166">
                  <c:v>103.3945657279897</c:v>
                </c:pt>
                <c:pt idx="167">
                  <c:v>104.49724330605483</c:v>
                </c:pt>
                <c:pt idx="168">
                  <c:v>106.49986401958118</c:v>
                </c:pt>
                <c:pt idx="169">
                  <c:v>107.47150592132914</c:v>
                </c:pt>
                <c:pt idx="170">
                  <c:v>107.71874304645586</c:v>
                </c:pt>
                <c:pt idx="171">
                  <c:v>108.02531708161295</c:v>
                </c:pt>
                <c:pt idx="172">
                  <c:v>108.1044329616535</c:v>
                </c:pt>
                <c:pt idx="173">
                  <c:v>107.26135436497144</c:v>
                </c:pt>
                <c:pt idx="174">
                  <c:v>108.93514970207927</c:v>
                </c:pt>
                <c:pt idx="175">
                  <c:v>108.83131010952604</c:v>
                </c:pt>
                <c:pt idx="176">
                  <c:v>110.94271515810814</c:v>
                </c:pt>
                <c:pt idx="177">
                  <c:v>111.1775904269785</c:v>
                </c:pt>
                <c:pt idx="178">
                  <c:v>111.31357084579821</c:v>
                </c:pt>
                <c:pt idx="179">
                  <c:v>111.45202363586917</c:v>
                </c:pt>
                <c:pt idx="180">
                  <c:v>112.30993646005882</c:v>
                </c:pt>
                <c:pt idx="181">
                  <c:v>112.06517170618339</c:v>
                </c:pt>
                <c:pt idx="182">
                  <c:v>112.49783667515514</c:v>
                </c:pt>
                <c:pt idx="183">
                  <c:v>112.56706307019061</c:v>
                </c:pt>
                <c:pt idx="184">
                  <c:v>112.36432862758672</c:v>
                </c:pt>
                <c:pt idx="185">
                  <c:v>112.47558533389372</c:v>
                </c:pt>
                <c:pt idx="186">
                  <c:v>112.39646945385317</c:v>
                </c:pt>
                <c:pt idx="187">
                  <c:v>112.83902390782998</c:v>
                </c:pt>
                <c:pt idx="188">
                  <c:v>113.5065641456721</c:v>
                </c:pt>
                <c:pt idx="189">
                  <c:v>112.91072267411676</c:v>
                </c:pt>
                <c:pt idx="190">
                  <c:v>112.88847133285533</c:v>
                </c:pt>
                <c:pt idx="191">
                  <c:v>112.43355502262217</c:v>
                </c:pt>
                <c:pt idx="192">
                  <c:v>113.29146784681188</c:v>
                </c:pt>
                <c:pt idx="193">
                  <c:v>113.77852498331148</c:v>
                </c:pt>
                <c:pt idx="194">
                  <c:v>114.2210794372883</c:v>
                </c:pt>
                <c:pt idx="195">
                  <c:v>114.74274977130565</c:v>
                </c:pt>
                <c:pt idx="196">
                  <c:v>116.32506737211659</c:v>
                </c:pt>
                <c:pt idx="197">
                  <c:v>116.69839543105792</c:v>
                </c:pt>
                <c:pt idx="198">
                  <c:v>116.03579993571833</c:v>
                </c:pt>
                <c:pt idx="199">
                  <c:v>116.68850594605287</c:v>
                </c:pt>
                <c:pt idx="200">
                  <c:v>117.39807649516649</c:v>
                </c:pt>
                <c:pt idx="201">
                  <c:v>115.77125621183275</c:v>
                </c:pt>
                <c:pt idx="202">
                  <c:v>116.86898904739536</c:v>
                </c:pt>
                <c:pt idx="203">
                  <c:v>117.10386431626571</c:v>
                </c:pt>
                <c:pt idx="204">
                  <c:v>117.59833856651913</c:v>
                </c:pt>
                <c:pt idx="205">
                  <c:v>117.81096249412811</c:v>
                </c:pt>
                <c:pt idx="206">
                  <c:v>117.85546517665091</c:v>
                </c:pt>
                <c:pt idx="207">
                  <c:v>117.51427794397607</c:v>
                </c:pt>
                <c:pt idx="208">
                  <c:v>116.85662719113901</c:v>
                </c:pt>
                <c:pt idx="209">
                  <c:v>115.9022918881499</c:v>
                </c:pt>
                <c:pt idx="210">
                  <c:v>115.52896382920859</c:v>
                </c:pt>
                <c:pt idx="211">
                  <c:v>115.68719558928969</c:v>
                </c:pt>
                <c:pt idx="212">
                  <c:v>117.3387395851361</c:v>
                </c:pt>
                <c:pt idx="213">
                  <c:v>117.16072885504487</c:v>
                </c:pt>
                <c:pt idx="214">
                  <c:v>117.82332435038445</c:v>
                </c:pt>
                <c:pt idx="215">
                  <c:v>117.77140455410785</c:v>
                </c:pt>
                <c:pt idx="216">
                  <c:v>117.85299280539965</c:v>
                </c:pt>
                <c:pt idx="217">
                  <c:v>117.4203278364279</c:v>
                </c:pt>
                <c:pt idx="218">
                  <c:v>116.76762182609339</c:v>
                </c:pt>
                <c:pt idx="219">
                  <c:v>117.80601775162557</c:v>
                </c:pt>
                <c:pt idx="220">
                  <c:v>119.27460627487822</c:v>
                </c:pt>
                <c:pt idx="221">
                  <c:v>119.52678814250748</c:v>
                </c:pt>
                <c:pt idx="222">
                  <c:v>119.87539248893613</c:v>
                </c:pt>
                <c:pt idx="223">
                  <c:v>120.00642816525328</c:v>
                </c:pt>
                <c:pt idx="224">
                  <c:v>120.65913417558779</c:v>
                </c:pt>
                <c:pt idx="225">
                  <c:v>120.50584715800925</c:v>
                </c:pt>
                <c:pt idx="226">
                  <c:v>121.46018246099833</c:v>
                </c:pt>
                <c:pt idx="227">
                  <c:v>121.36623235345019</c:v>
                </c:pt>
                <c:pt idx="228">
                  <c:v>119.38586298118526</c:v>
                </c:pt>
                <c:pt idx="229">
                  <c:v>120.94840161198603</c:v>
                </c:pt>
                <c:pt idx="230">
                  <c:v>122.2216728063886</c:v>
                </c:pt>
                <c:pt idx="231">
                  <c:v>121.77664598116054</c:v>
                </c:pt>
                <c:pt idx="232">
                  <c:v>122.13019507009173</c:v>
                </c:pt>
                <c:pt idx="233">
                  <c:v>123.14881202561376</c:v>
                </c:pt>
                <c:pt idx="234">
                  <c:v>123.20320419314163</c:v>
                </c:pt>
                <c:pt idx="235">
                  <c:v>123.91524711350654</c:v>
                </c:pt>
                <c:pt idx="236">
                  <c:v>123.86085494597869</c:v>
                </c:pt>
                <c:pt idx="237">
                  <c:v>122.15491878260438</c:v>
                </c:pt>
                <c:pt idx="238">
                  <c:v>123.26501347442331</c:v>
                </c:pt>
                <c:pt idx="239">
                  <c:v>124.11550918485918</c:v>
                </c:pt>
                <c:pt idx="240">
                  <c:v>123.49741637204241</c:v>
                </c:pt>
                <c:pt idx="241">
                  <c:v>122.81751427794396</c:v>
                </c:pt>
                <c:pt idx="242">
                  <c:v>122.92877098425099</c:v>
                </c:pt>
                <c:pt idx="243">
                  <c:v>125.47284100180482</c:v>
                </c:pt>
                <c:pt idx="244">
                  <c:v>125.55937399559917</c:v>
                </c:pt>
                <c:pt idx="245">
                  <c:v>125.0995129428635</c:v>
                </c:pt>
                <c:pt idx="246">
                  <c:v>125.33191584048259</c:v>
                </c:pt>
                <c:pt idx="247">
                  <c:v>125.1662669666477</c:v>
                </c:pt>
                <c:pt idx="248">
                  <c:v>125.61623853437831</c:v>
                </c:pt>
                <c:pt idx="249">
                  <c:v>126.79555962123273</c:v>
                </c:pt>
                <c:pt idx="250">
                  <c:v>126.65957920241301</c:v>
                </c:pt>
                <c:pt idx="251">
                  <c:v>125.39372512176428</c:v>
                </c:pt>
                <c:pt idx="252">
                  <c:v>126.02912453333992</c:v>
                </c:pt>
                <c:pt idx="253">
                  <c:v>127.28014438648106</c:v>
                </c:pt>
                <c:pt idx="254">
                  <c:v>126.51618166983954</c:v>
                </c:pt>
                <c:pt idx="255">
                  <c:v>126.40739733478377</c:v>
                </c:pt>
                <c:pt idx="256">
                  <c:v>127.76720152298067</c:v>
                </c:pt>
                <c:pt idx="257">
                  <c:v>127.56693945162804</c:v>
                </c:pt>
                <c:pt idx="258">
                  <c:v>127.31475758399881</c:v>
                </c:pt>
                <c:pt idx="259">
                  <c:v>126.04890350335005</c:v>
                </c:pt>
                <c:pt idx="260">
                  <c:v>126.79803199248398</c:v>
                </c:pt>
                <c:pt idx="261">
                  <c:v>127.5026577990951</c:v>
                </c:pt>
                <c:pt idx="262">
                  <c:v>128.68197888594949</c:v>
                </c:pt>
                <c:pt idx="263">
                  <c:v>129.10722674116747</c:v>
                </c:pt>
                <c:pt idx="264">
                  <c:v>128.86246198729202</c:v>
                </c:pt>
                <c:pt idx="265">
                  <c:v>128.50644052710953</c:v>
                </c:pt>
                <c:pt idx="266">
                  <c:v>128.26909288698789</c:v>
                </c:pt>
                <c:pt idx="267">
                  <c:v>129.34704675254034</c:v>
                </c:pt>
                <c:pt idx="268">
                  <c:v>129.3223230400277</c:v>
                </c:pt>
                <c:pt idx="269">
                  <c:v>129.09733725616238</c:v>
                </c:pt>
                <c:pt idx="270">
                  <c:v>128.27651000074172</c:v>
                </c:pt>
                <c:pt idx="271">
                  <c:v>128.41743516206392</c:v>
                </c:pt>
                <c:pt idx="272">
                  <c:v>126.84995178876059</c:v>
                </c:pt>
                <c:pt idx="273">
                  <c:v>128.17514277943974</c:v>
                </c:pt>
                <c:pt idx="274">
                  <c:v>128.24684154572651</c:v>
                </c:pt>
                <c:pt idx="275">
                  <c:v>128.39518382080252</c:v>
                </c:pt>
                <c:pt idx="276">
                  <c:v>127.10955077014363</c:v>
                </c:pt>
                <c:pt idx="277">
                  <c:v>128.06883081563527</c:v>
                </c:pt>
                <c:pt idx="278">
                  <c:v>126.30108537097931</c:v>
                </c:pt>
                <c:pt idx="279">
                  <c:v>124.71876777016834</c:v>
                </c:pt>
                <c:pt idx="280">
                  <c:v>124.49130961505178</c:v>
                </c:pt>
                <c:pt idx="281">
                  <c:v>123.75454298217419</c:v>
                </c:pt>
                <c:pt idx="282">
                  <c:v>123.49988874329367</c:v>
                </c:pt>
                <c:pt idx="283">
                  <c:v>122.42193487774125</c:v>
                </c:pt>
                <c:pt idx="284">
                  <c:v>123.54933616831903</c:v>
                </c:pt>
                <c:pt idx="285">
                  <c:v>125.01545232032041</c:v>
                </c:pt>
                <c:pt idx="286">
                  <c:v>124.95611541029001</c:v>
                </c:pt>
                <c:pt idx="287">
                  <c:v>124.48142013004673</c:v>
                </c:pt>
                <c:pt idx="288">
                  <c:v>125.66074121690112</c:v>
                </c:pt>
                <c:pt idx="289">
                  <c:v>126.10576804212921</c:v>
                </c:pt>
                <c:pt idx="290">
                  <c:v>124.1080920711054</c:v>
                </c:pt>
                <c:pt idx="291">
                  <c:v>123.70509555714887</c:v>
                </c:pt>
                <c:pt idx="292">
                  <c:v>124.86216530274183</c:v>
                </c:pt>
                <c:pt idx="293">
                  <c:v>126.40986970603505</c:v>
                </c:pt>
                <c:pt idx="294">
                  <c:v>127.71528172670408</c:v>
                </c:pt>
                <c:pt idx="295">
                  <c:v>127.85620688802631</c:v>
                </c:pt>
                <c:pt idx="296">
                  <c:v>127.86856874428265</c:v>
                </c:pt>
                <c:pt idx="297">
                  <c:v>128.6053353771602</c:v>
                </c:pt>
                <c:pt idx="298">
                  <c:v>128.77098425099513</c:v>
                </c:pt>
                <c:pt idx="299">
                  <c:v>128.78829084975399</c:v>
                </c:pt>
                <c:pt idx="300">
                  <c:v>129.37918757880681</c:v>
                </c:pt>
                <c:pt idx="301">
                  <c:v>130.9812841496279</c:v>
                </c:pt>
                <c:pt idx="302">
                  <c:v>130.71179568323981</c:v>
                </c:pt>
                <c:pt idx="303">
                  <c:v>130.89969589833609</c:v>
                </c:pt>
                <c:pt idx="304">
                  <c:v>131.05051054466338</c:v>
                </c:pt>
                <c:pt idx="305">
                  <c:v>131.37191880732811</c:v>
                </c:pt>
                <c:pt idx="306">
                  <c:v>130.99364600588424</c:v>
                </c:pt>
                <c:pt idx="307">
                  <c:v>130.03683833164388</c:v>
                </c:pt>
                <c:pt idx="308">
                  <c:v>130.89722352708483</c:v>
                </c:pt>
                <c:pt idx="309">
                  <c:v>130.9887012633817</c:v>
                </c:pt>
                <c:pt idx="310">
                  <c:v>130.07145152916161</c:v>
                </c:pt>
                <c:pt idx="311">
                  <c:v>129.20859396246939</c:v>
                </c:pt>
                <c:pt idx="312">
                  <c:v>130.38544267807254</c:v>
                </c:pt>
                <c:pt idx="313">
                  <c:v>130.49175464187701</c:v>
                </c:pt>
                <c:pt idx="314">
                  <c:v>130.63762454570178</c:v>
                </c:pt>
                <c:pt idx="315">
                  <c:v>132.19027369149751</c:v>
                </c:pt>
                <c:pt idx="316">
                  <c:v>132.18780132024622</c:v>
                </c:pt>
                <c:pt idx="317">
                  <c:v>132.02709718891387</c:v>
                </c:pt>
                <c:pt idx="318">
                  <c:v>132.43503844537295</c:v>
                </c:pt>
                <c:pt idx="319">
                  <c:v>132.75397433678643</c:v>
                </c:pt>
                <c:pt idx="320">
                  <c:v>133.84429005859519</c:v>
                </c:pt>
                <c:pt idx="321">
                  <c:v>134.11377852498333</c:v>
                </c:pt>
                <c:pt idx="322">
                  <c:v>134.19536677627511</c:v>
                </c:pt>
                <c:pt idx="323">
                  <c:v>135.26343115682252</c:v>
                </c:pt>
                <c:pt idx="324">
                  <c:v>135.6070907607486</c:v>
                </c:pt>
                <c:pt idx="325">
                  <c:v>135.23870744430982</c:v>
                </c:pt>
                <c:pt idx="326">
                  <c:v>134.62308700274431</c:v>
                </c:pt>
                <c:pt idx="327">
                  <c:v>134.18547729127005</c:v>
                </c:pt>
                <c:pt idx="328">
                  <c:v>134.70220288278486</c:v>
                </c:pt>
                <c:pt idx="329">
                  <c:v>134.87032412787104</c:v>
                </c:pt>
                <c:pt idx="330">
                  <c:v>135.08294805547999</c:v>
                </c:pt>
                <c:pt idx="331">
                  <c:v>134.55138823645757</c:v>
                </c:pt>
                <c:pt idx="332">
                  <c:v>134.82829381659951</c:v>
                </c:pt>
                <c:pt idx="333">
                  <c:v>135.73565406581451</c:v>
                </c:pt>
                <c:pt idx="334">
                  <c:v>136.34138502237496</c:v>
                </c:pt>
                <c:pt idx="335">
                  <c:v>137.12759908027786</c:v>
                </c:pt>
                <c:pt idx="336">
                  <c:v>137.28583084035898</c:v>
                </c:pt>
                <c:pt idx="337">
                  <c:v>137.41933888792741</c:v>
                </c:pt>
                <c:pt idx="338">
                  <c:v>138.77914307612431</c:v>
                </c:pt>
                <c:pt idx="339">
                  <c:v>137.58251539051102</c:v>
                </c:pt>
                <c:pt idx="340">
                  <c:v>138.45031769970578</c:v>
                </c:pt>
                <c:pt idx="341">
                  <c:v>138.83106287240091</c:v>
                </c:pt>
                <c:pt idx="342">
                  <c:v>139.65436249907285</c:v>
                </c:pt>
                <c:pt idx="343">
                  <c:v>137.69624446806935</c:v>
                </c:pt>
                <c:pt idx="344">
                  <c:v>136.638069572527</c:v>
                </c:pt>
                <c:pt idx="345">
                  <c:v>135.73070932331197</c:v>
                </c:pt>
                <c:pt idx="346">
                  <c:v>137.13007145152915</c:v>
                </c:pt>
                <c:pt idx="347">
                  <c:v>136.91497515266892</c:v>
                </c:pt>
                <c:pt idx="348">
                  <c:v>133.81214923232872</c:v>
                </c:pt>
                <c:pt idx="349">
                  <c:v>133.11494053947141</c:v>
                </c:pt>
                <c:pt idx="350">
                  <c:v>134.60578040398548</c:v>
                </c:pt>
                <c:pt idx="351">
                  <c:v>134.684896284026</c:v>
                </c:pt>
                <c:pt idx="352">
                  <c:v>134.00252181867629</c:v>
                </c:pt>
                <c:pt idx="353">
                  <c:v>136.18068089104258</c:v>
                </c:pt>
                <c:pt idx="354">
                  <c:v>134.25223131505425</c:v>
                </c:pt>
                <c:pt idx="355">
                  <c:v>131.75266398002324</c:v>
                </c:pt>
                <c:pt idx="356">
                  <c:v>127.9155437980567</c:v>
                </c:pt>
                <c:pt idx="357">
                  <c:v>129.09486488491112</c:v>
                </c:pt>
                <c:pt idx="358">
                  <c:v>128.23200731821888</c:v>
                </c:pt>
                <c:pt idx="359">
                  <c:v>131.19638044848813</c:v>
                </c:pt>
                <c:pt idx="360">
                  <c:v>131.77491532128465</c:v>
                </c:pt>
                <c:pt idx="361">
                  <c:v>131.84414171632011</c:v>
                </c:pt>
                <c:pt idx="362">
                  <c:v>134.01241130368135</c:v>
                </c:pt>
                <c:pt idx="363">
                  <c:v>134.43518678764804</c:v>
                </c:pt>
                <c:pt idx="364">
                  <c:v>136.73943679382896</c:v>
                </c:pt>
                <c:pt idx="365">
                  <c:v>137.04601082898606</c:v>
                </c:pt>
                <c:pt idx="366">
                  <c:v>138.35636759215762</c:v>
                </c:pt>
                <c:pt idx="367">
                  <c:v>138.13138180829233</c:v>
                </c:pt>
                <c:pt idx="368">
                  <c:v>138.60607708853561</c:v>
                </c:pt>
                <c:pt idx="369">
                  <c:v>137.51823373797808</c:v>
                </c:pt>
                <c:pt idx="370">
                  <c:v>138.97940514747694</c:v>
                </c:pt>
                <c:pt idx="371">
                  <c:v>138.64810739980712</c:v>
                </c:pt>
                <c:pt idx="372">
                  <c:v>138.83847998615471</c:v>
                </c:pt>
                <c:pt idx="373">
                  <c:v>138.03248695824161</c:v>
                </c:pt>
                <c:pt idx="374">
                  <c:v>138.04484881449798</c:v>
                </c:pt>
                <c:pt idx="375">
                  <c:v>139.36262269142333</c:v>
                </c:pt>
                <c:pt idx="376">
                  <c:v>136.49467203995351</c:v>
                </c:pt>
                <c:pt idx="377">
                  <c:v>136.21529408856034</c:v>
                </c:pt>
                <c:pt idx="378">
                  <c:v>135.88399634089055</c:v>
                </c:pt>
                <c:pt idx="379">
                  <c:v>133.59705293346849</c:v>
                </c:pt>
                <c:pt idx="380">
                  <c:v>135.09283754048508</c:v>
                </c:pt>
                <c:pt idx="381">
                  <c:v>135.68126189828661</c:v>
                </c:pt>
                <c:pt idx="382">
                  <c:v>137.07320691275001</c:v>
                </c:pt>
                <c:pt idx="383">
                  <c:v>138.22780428709174</c:v>
                </c:pt>
                <c:pt idx="384">
                  <c:v>138.94973669246173</c:v>
                </c:pt>
                <c:pt idx="385">
                  <c:v>139.1549435063169</c:v>
                </c:pt>
                <c:pt idx="386">
                  <c:v>139.21180804509606</c:v>
                </c:pt>
                <c:pt idx="387">
                  <c:v>138.79892204613444</c:v>
                </c:pt>
                <c:pt idx="388">
                  <c:v>141.1674537048483</c:v>
                </c:pt>
                <c:pt idx="389">
                  <c:v>140.49249635325239</c:v>
                </c:pt>
                <c:pt idx="390">
                  <c:v>140.84357307093231</c:v>
                </c:pt>
                <c:pt idx="391">
                  <c:v>141.24656958488885</c:v>
                </c:pt>
                <c:pt idx="392">
                  <c:v>140.9350508072292</c:v>
                </c:pt>
                <c:pt idx="393">
                  <c:v>141.49380671001555</c:v>
                </c:pt>
                <c:pt idx="394">
                  <c:v>141.28859989616041</c:v>
                </c:pt>
                <c:pt idx="395">
                  <c:v>141.85477291270055</c:v>
                </c:pt>
                <c:pt idx="396">
                  <c:v>140.58397408954929</c:v>
                </c:pt>
                <c:pt idx="397">
                  <c:v>140.64331099957968</c:v>
                </c:pt>
                <c:pt idx="398">
                  <c:v>140.38618438944792</c:v>
                </c:pt>
                <c:pt idx="399">
                  <c:v>141.66192795510173</c:v>
                </c:pt>
                <c:pt idx="400">
                  <c:v>140.38123964694535</c:v>
                </c:pt>
                <c:pt idx="401">
                  <c:v>141.70890300887581</c:v>
                </c:pt>
                <c:pt idx="402">
                  <c:v>142.69043439562884</c:v>
                </c:pt>
                <c:pt idx="403">
                  <c:v>142.44072489925085</c:v>
                </c:pt>
                <c:pt idx="404">
                  <c:v>143.293692980938</c:v>
                </c:pt>
                <c:pt idx="405">
                  <c:v>144.46559695403863</c:v>
                </c:pt>
                <c:pt idx="406">
                  <c:v>143.34314040596334</c:v>
                </c:pt>
                <c:pt idx="407">
                  <c:v>143.96617796128263</c:v>
                </c:pt>
                <c:pt idx="408">
                  <c:v>143.978539817539</c:v>
                </c:pt>
                <c:pt idx="409">
                  <c:v>144.53235097782283</c:v>
                </c:pt>
                <c:pt idx="410">
                  <c:v>144.29500333770119</c:v>
                </c:pt>
                <c:pt idx="411">
                  <c:v>144.2183598289119</c:v>
                </c:pt>
                <c:pt idx="412">
                  <c:v>142.90058595198653</c:v>
                </c:pt>
                <c:pt idx="413">
                  <c:v>143.20963235839491</c:v>
                </c:pt>
                <c:pt idx="414">
                  <c:v>143.16018493336958</c:v>
                </c:pt>
                <c:pt idx="415">
                  <c:v>143.60273938734639</c:v>
                </c:pt>
                <c:pt idx="416">
                  <c:v>143.83514228496551</c:v>
                </c:pt>
                <c:pt idx="417">
                  <c:v>143.40000494474251</c:v>
                </c:pt>
                <c:pt idx="418">
                  <c:v>140.5889188320518</c:v>
                </c:pt>
                <c:pt idx="419">
                  <c:v>141.18228793235591</c:v>
                </c:pt>
                <c:pt idx="420">
                  <c:v>140.87818626845007</c:v>
                </c:pt>
                <c:pt idx="421">
                  <c:v>142.58165006057311</c:v>
                </c:pt>
                <c:pt idx="422">
                  <c:v>146.12703043489009</c:v>
                </c:pt>
                <c:pt idx="423">
                  <c:v>147.25690409671915</c:v>
                </c:pt>
                <c:pt idx="424">
                  <c:v>147.89477587954607</c:v>
                </c:pt>
                <c:pt idx="425">
                  <c:v>148.0357010408683</c:v>
                </c:pt>
                <c:pt idx="426">
                  <c:v>147.5758399881326</c:v>
                </c:pt>
                <c:pt idx="427">
                  <c:v>147.64753875441937</c:v>
                </c:pt>
                <c:pt idx="428">
                  <c:v>146.69814819393278</c:v>
                </c:pt>
                <c:pt idx="429">
                  <c:v>144.81914604296981</c:v>
                </c:pt>
                <c:pt idx="430">
                  <c:v>145.41251514327388</c:v>
                </c:pt>
                <c:pt idx="431">
                  <c:v>145.9440749622963</c:v>
                </c:pt>
                <c:pt idx="432">
                  <c:v>145.99352238732166</c:v>
                </c:pt>
                <c:pt idx="433">
                  <c:v>146.77726407397333</c:v>
                </c:pt>
                <c:pt idx="434">
                  <c:v>147.23218038420649</c:v>
                </c:pt>
                <c:pt idx="435">
                  <c:v>147.73159937696244</c:v>
                </c:pt>
                <c:pt idx="436">
                  <c:v>148.50297920735775</c:v>
                </c:pt>
                <c:pt idx="437">
                  <c:v>148.05300763962717</c:v>
                </c:pt>
                <c:pt idx="438">
                  <c:v>148.97272974509849</c:v>
                </c:pt>
                <c:pt idx="439">
                  <c:v>149.23974584023537</c:v>
                </c:pt>
                <c:pt idx="440">
                  <c:v>149.30897223527083</c:v>
                </c:pt>
                <c:pt idx="441">
                  <c:v>150.23611145449598</c:v>
                </c:pt>
                <c:pt idx="442">
                  <c:v>149.98887432936928</c:v>
                </c:pt>
                <c:pt idx="443">
                  <c:v>150.27319702326497</c:v>
                </c:pt>
                <c:pt idx="444">
                  <c:v>149.49934482161839</c:v>
                </c:pt>
                <c:pt idx="445">
                  <c:v>149.03453902638017</c:v>
                </c:pt>
                <c:pt idx="446">
                  <c:v>150.18666402947068</c:v>
                </c:pt>
                <c:pt idx="447">
                  <c:v>149.41281182782407</c:v>
                </c:pt>
                <c:pt idx="448">
                  <c:v>149.38314337280886</c:v>
                </c:pt>
                <c:pt idx="449">
                  <c:v>150.02101515563575</c:v>
                </c:pt>
                <c:pt idx="450">
                  <c:v>149.40292234281898</c:v>
                </c:pt>
                <c:pt idx="451">
                  <c:v>144.95018171928695</c:v>
                </c:pt>
                <c:pt idx="452">
                  <c:v>144.90567903676416</c:v>
                </c:pt>
                <c:pt idx="453">
                  <c:v>146.15422651865401</c:v>
                </c:pt>
                <c:pt idx="454">
                  <c:v>147.02944594160257</c:v>
                </c:pt>
                <c:pt idx="455">
                  <c:v>148.66368333869011</c:v>
                </c:pt>
                <c:pt idx="456">
                  <c:v>148.6735728236952</c:v>
                </c:pt>
                <c:pt idx="457">
                  <c:v>147.10856182164315</c:v>
                </c:pt>
                <c:pt idx="458">
                  <c:v>145.42982174203277</c:v>
                </c:pt>
                <c:pt idx="459">
                  <c:v>144.90073429426161</c:v>
                </c:pt>
                <c:pt idx="460">
                  <c:v>144.54471283407915</c:v>
                </c:pt>
                <c:pt idx="461">
                  <c:v>146.35201621875541</c:v>
                </c:pt>
                <c:pt idx="462">
                  <c:v>147.1950948154375</c:v>
                </c:pt>
                <c:pt idx="463">
                  <c:v>145.53118896333473</c:v>
                </c:pt>
                <c:pt idx="464">
                  <c:v>145.7438128909437</c:v>
                </c:pt>
                <c:pt idx="465">
                  <c:v>143.5186787648033</c:v>
                </c:pt>
                <c:pt idx="466">
                  <c:v>143.74119217741733</c:v>
                </c:pt>
                <c:pt idx="467">
                  <c:v>143.93898187751873</c:v>
                </c:pt>
                <c:pt idx="468">
                  <c:v>146.55722303261055</c:v>
                </c:pt>
                <c:pt idx="469">
                  <c:v>146.27537270996612</c:v>
                </c:pt>
                <c:pt idx="470">
                  <c:v>147.74396123321878</c:v>
                </c:pt>
                <c:pt idx="471">
                  <c:v>149.09634830766186</c:v>
                </c:pt>
                <c:pt idx="472">
                  <c:v>149.93448216184143</c:v>
                </c:pt>
                <c:pt idx="473">
                  <c:v>150.75283704601082</c:v>
                </c:pt>
                <c:pt idx="474">
                  <c:v>150.3127549632853</c:v>
                </c:pt>
                <c:pt idx="475">
                  <c:v>148.18651568719559</c:v>
                </c:pt>
                <c:pt idx="476">
                  <c:v>149.45978688159812</c:v>
                </c:pt>
                <c:pt idx="477">
                  <c:v>148.78977427250473</c:v>
                </c:pt>
                <c:pt idx="478">
                  <c:v>149.588350186664</c:v>
                </c:pt>
                <c:pt idx="479">
                  <c:v>148.79224664375604</c:v>
                </c:pt>
                <c:pt idx="480">
                  <c:v>147.79093628699286</c:v>
                </c:pt>
                <c:pt idx="481">
                  <c:v>148.78235715875095</c:v>
                </c:pt>
                <c:pt idx="482">
                  <c:v>149.38561574406012</c:v>
                </c:pt>
                <c:pt idx="483">
                  <c:v>149.90481370682622</c:v>
                </c:pt>
                <c:pt idx="484">
                  <c:v>148.53264766237297</c:v>
                </c:pt>
                <c:pt idx="485">
                  <c:v>149.54137513288995</c:v>
                </c:pt>
                <c:pt idx="486">
                  <c:v>149.6551042104482</c:v>
                </c:pt>
                <c:pt idx="487">
                  <c:v>149.17299181645117</c:v>
                </c:pt>
                <c:pt idx="488">
                  <c:v>150.74789230350828</c:v>
                </c:pt>
                <c:pt idx="489">
                  <c:v>150.74047518975448</c:v>
                </c:pt>
                <c:pt idx="490">
                  <c:v>151.18302964373129</c:v>
                </c:pt>
                <c:pt idx="491">
                  <c:v>151.53905110391375</c:v>
                </c:pt>
                <c:pt idx="492">
                  <c:v>150.90859643484066</c:v>
                </c:pt>
                <c:pt idx="493">
                  <c:v>148.32744084851782</c:v>
                </c:pt>
                <c:pt idx="494">
                  <c:v>147.65248349692192</c:v>
                </c:pt>
                <c:pt idx="495">
                  <c:v>146.91818923529556</c:v>
                </c:pt>
                <c:pt idx="496">
                  <c:v>146.99236037283356</c:v>
                </c:pt>
                <c:pt idx="497">
                  <c:v>144.64608005538108</c:v>
                </c:pt>
                <c:pt idx="498">
                  <c:v>146.90335500778795</c:v>
                </c:pt>
                <c:pt idx="499">
                  <c:v>144.32961653521892</c:v>
                </c:pt>
                <c:pt idx="500">
                  <c:v>142.62120800059336</c:v>
                </c:pt>
                <c:pt idx="501">
                  <c:v>144.15407817637896</c:v>
                </c:pt>
                <c:pt idx="502">
                  <c:v>141.59517393131753</c:v>
                </c:pt>
                <c:pt idx="503">
                  <c:v>142.38880510297426</c:v>
                </c:pt>
                <c:pt idx="504">
                  <c:v>138.59618760353055</c:v>
                </c:pt>
                <c:pt idx="505">
                  <c:v>137.44406260044008</c:v>
                </c:pt>
                <c:pt idx="506">
                  <c:v>138.17341211956386</c:v>
                </c:pt>
                <c:pt idx="507">
                  <c:v>136.33149553736988</c:v>
                </c:pt>
                <c:pt idx="508">
                  <c:v>139.14752639256309</c:v>
                </c:pt>
                <c:pt idx="509">
                  <c:v>140.22053551561299</c:v>
                </c:pt>
                <c:pt idx="510">
                  <c:v>138.70497193858628</c:v>
                </c:pt>
                <c:pt idx="511">
                  <c:v>140.21559077311048</c:v>
                </c:pt>
                <c:pt idx="512">
                  <c:v>139.81012188790268</c:v>
                </c:pt>
                <c:pt idx="513">
                  <c:v>139.43679382896136</c:v>
                </c:pt>
                <c:pt idx="514">
                  <c:v>141.9338887927411</c:v>
                </c:pt>
                <c:pt idx="515">
                  <c:v>142.27507602541598</c:v>
                </c:pt>
                <c:pt idx="516">
                  <c:v>140.57655697579548</c:v>
                </c:pt>
                <c:pt idx="517">
                  <c:v>140.20322891685416</c:v>
                </c:pt>
                <c:pt idx="518">
                  <c:v>137.37978094790714</c:v>
                </c:pt>
                <c:pt idx="519">
                  <c:v>138.30197542462975</c:v>
                </c:pt>
                <c:pt idx="520">
                  <c:v>138.69261008232996</c:v>
                </c:pt>
                <c:pt idx="521">
                  <c:v>139.57030187652975</c:v>
                </c:pt>
                <c:pt idx="522">
                  <c:v>132.69216505550474</c:v>
                </c:pt>
                <c:pt idx="523">
                  <c:v>124.92397458402351</c:v>
                </c:pt>
                <c:pt idx="524">
                  <c:v>124.70146117140951</c:v>
                </c:pt>
                <c:pt idx="525">
                  <c:v>122.7482878829085</c:v>
                </c:pt>
                <c:pt idx="526">
                  <c:v>135.6392315870151</c:v>
                </c:pt>
                <c:pt idx="527">
                  <c:v>129.69565109896902</c:v>
                </c:pt>
                <c:pt idx="528">
                  <c:v>132.00979059015503</c:v>
                </c:pt>
                <c:pt idx="529">
                  <c:v>133.29047889831136</c:v>
                </c:pt>
                <c:pt idx="530">
                  <c:v>132.91715083937004</c:v>
                </c:pt>
                <c:pt idx="531">
                  <c:v>129.96266719410585</c:v>
                </c:pt>
                <c:pt idx="532">
                  <c:v>130.1480950379509</c:v>
                </c:pt>
                <c:pt idx="533">
                  <c:v>127.05021386011322</c:v>
                </c:pt>
                <c:pt idx="534">
                  <c:v>130.35577422305732</c:v>
                </c:pt>
                <c:pt idx="535">
                  <c:v>132.37570153534253</c:v>
                </c:pt>
                <c:pt idx="536">
                  <c:v>135.16206393552056</c:v>
                </c:pt>
                <c:pt idx="537">
                  <c:v>136.13865057977102</c:v>
                </c:pt>
                <c:pt idx="538">
                  <c:v>136.19057037604767</c:v>
                </c:pt>
                <c:pt idx="539">
                  <c:v>137.04848320023734</c:v>
                </c:pt>
                <c:pt idx="540">
                  <c:v>137.10287536776519</c:v>
                </c:pt>
                <c:pt idx="541">
                  <c:v>138.07451726951319</c:v>
                </c:pt>
                <c:pt idx="542">
                  <c:v>140.12411303681361</c:v>
                </c:pt>
                <c:pt idx="543">
                  <c:v>139.32059238015179</c:v>
                </c:pt>
                <c:pt idx="544">
                  <c:v>138.15610552080497</c:v>
                </c:pt>
                <c:pt idx="545">
                  <c:v>138.73711276485275</c:v>
                </c:pt>
                <c:pt idx="546">
                  <c:v>139.70380992409818</c:v>
                </c:pt>
                <c:pt idx="547">
                  <c:v>139.52579919400696</c:v>
                </c:pt>
                <c:pt idx="548">
                  <c:v>144.1367715776201</c:v>
                </c:pt>
                <c:pt idx="549">
                  <c:v>145.08863450935792</c:v>
                </c:pt>
                <c:pt idx="550">
                  <c:v>145.27406235320294</c:v>
                </c:pt>
                <c:pt idx="551">
                  <c:v>145.98363290231663</c:v>
                </c:pt>
                <c:pt idx="552">
                  <c:v>146.9082997502905</c:v>
                </c:pt>
                <c:pt idx="553">
                  <c:v>147.06900388162285</c:v>
                </c:pt>
                <c:pt idx="554">
                  <c:v>146.57452963136944</c:v>
                </c:pt>
                <c:pt idx="555">
                  <c:v>144.10463075135362</c:v>
                </c:pt>
                <c:pt idx="556">
                  <c:v>144.16149529013276</c:v>
                </c:pt>
                <c:pt idx="557">
                  <c:v>143.17749153212847</c:v>
                </c:pt>
                <c:pt idx="558">
                  <c:v>146.15422651865401</c:v>
                </c:pt>
                <c:pt idx="559">
                  <c:v>145.30867555072069</c:v>
                </c:pt>
                <c:pt idx="560">
                  <c:v>145.88226568101464</c:v>
                </c:pt>
                <c:pt idx="561">
                  <c:v>145.71908917843101</c:v>
                </c:pt>
                <c:pt idx="562">
                  <c:v>146.53991643385172</c:v>
                </c:pt>
                <c:pt idx="563">
                  <c:v>147.37557791677997</c:v>
                </c:pt>
                <c:pt idx="564">
                  <c:v>147.3360199767597</c:v>
                </c:pt>
                <c:pt idx="565">
                  <c:v>146.62397705639475</c:v>
                </c:pt>
                <c:pt idx="566">
                  <c:v>148.12965114841643</c:v>
                </c:pt>
                <c:pt idx="567">
                  <c:v>148.26315919598485</c:v>
                </c:pt>
                <c:pt idx="568">
                  <c:v>149.10376542141569</c:v>
                </c:pt>
                <c:pt idx="569">
                  <c:v>148.67851756619774</c:v>
                </c:pt>
                <c:pt idx="570">
                  <c:v>149.26941429525056</c:v>
                </c:pt>
                <c:pt idx="571">
                  <c:v>147.60056370064527</c:v>
                </c:pt>
                <c:pt idx="572">
                  <c:v>149.00487057136499</c:v>
                </c:pt>
                <c:pt idx="573">
                  <c:v>147.73159937696244</c:v>
                </c:pt>
                <c:pt idx="574">
                  <c:v>147.70934803570103</c:v>
                </c:pt>
                <c:pt idx="575">
                  <c:v>146.92807872030062</c:v>
                </c:pt>
                <c:pt idx="576">
                  <c:v>148.37936064479439</c:v>
                </c:pt>
                <c:pt idx="577">
                  <c:v>150.01854278438449</c:v>
                </c:pt>
                <c:pt idx="578">
                  <c:v>150.10260340692759</c:v>
                </c:pt>
                <c:pt idx="579">
                  <c:v>151.27697975127944</c:v>
                </c:pt>
                <c:pt idx="580">
                  <c:v>152.02858061166461</c:v>
                </c:pt>
                <c:pt idx="581">
                  <c:v>152.75545775953717</c:v>
                </c:pt>
                <c:pt idx="582">
                  <c:v>152.7060103345118</c:v>
                </c:pt>
                <c:pt idx="583">
                  <c:v>153.3982742848666</c:v>
                </c:pt>
                <c:pt idx="584">
                  <c:v>154.60726382673622</c:v>
                </c:pt>
                <c:pt idx="585">
                  <c:v>153.45513882364574</c:v>
                </c:pt>
                <c:pt idx="586">
                  <c:v>153.37107820110268</c:v>
                </c:pt>
                <c:pt idx="587">
                  <c:v>154.290800306574</c:v>
                </c:pt>
                <c:pt idx="588">
                  <c:v>154.72593764679706</c:v>
                </c:pt>
                <c:pt idx="589">
                  <c:v>154.1820159715183</c:v>
                </c:pt>
                <c:pt idx="590">
                  <c:v>154.47622815041905</c:v>
                </c:pt>
                <c:pt idx="591">
                  <c:v>153.81610502633075</c:v>
                </c:pt>
                <c:pt idx="592">
                  <c:v>154.3303582465943</c:v>
                </c:pt>
                <c:pt idx="593">
                  <c:v>155.27480406457832</c:v>
                </c:pt>
                <c:pt idx="594">
                  <c:v>155.16107498702004</c:v>
                </c:pt>
                <c:pt idx="595">
                  <c:v>155.45528716592082</c:v>
                </c:pt>
                <c:pt idx="596">
                  <c:v>155.47753850718223</c:v>
                </c:pt>
                <c:pt idx="597">
                  <c:v>156.80025712661012</c:v>
                </c:pt>
                <c:pt idx="598">
                  <c:v>156.85217692288671</c:v>
                </c:pt>
                <c:pt idx="599">
                  <c:v>157.5147724182263</c:v>
                </c:pt>
                <c:pt idx="600">
                  <c:v>157.47521447820606</c:v>
                </c:pt>
                <c:pt idx="601">
                  <c:v>157.05985610799317</c:v>
                </c:pt>
                <c:pt idx="602">
                  <c:v>156.8620664078918</c:v>
                </c:pt>
                <c:pt idx="603">
                  <c:v>156.27364205009025</c:v>
                </c:pt>
                <c:pt idx="604">
                  <c:v>153.71226543377753</c:v>
                </c:pt>
                <c:pt idx="605">
                  <c:v>156.0486562662249</c:v>
                </c:pt>
                <c:pt idx="606">
                  <c:v>155.25749746581948</c:v>
                </c:pt>
                <c:pt idx="607">
                  <c:v>156.44670803767892</c:v>
                </c:pt>
                <c:pt idx="608">
                  <c:v>156.31567236136178</c:v>
                </c:pt>
                <c:pt idx="609">
                  <c:v>157.53455138823645</c:v>
                </c:pt>
                <c:pt idx="610">
                  <c:v>157.22303261057678</c:v>
                </c:pt>
                <c:pt idx="611">
                  <c:v>158.89682794768461</c:v>
                </c:pt>
                <c:pt idx="612">
                  <c:v>159.44074962296338</c:v>
                </c:pt>
                <c:pt idx="613">
                  <c:v>159.45558385047099</c:v>
                </c:pt>
                <c:pt idx="614">
                  <c:v>159.08225579152966</c:v>
                </c:pt>
                <c:pt idx="615">
                  <c:v>159.0476425940119</c:v>
                </c:pt>
                <c:pt idx="616">
                  <c:v>158.18478502731966</c:v>
                </c:pt>
                <c:pt idx="617">
                  <c:v>157.76448191460429</c:v>
                </c:pt>
                <c:pt idx="618">
                  <c:v>157.13155487427991</c:v>
                </c:pt>
                <c:pt idx="619">
                  <c:v>159.54458921551657</c:v>
                </c:pt>
                <c:pt idx="620">
                  <c:v>158.84243578015676</c:v>
                </c:pt>
                <c:pt idx="621">
                  <c:v>159.50750364674758</c:v>
                </c:pt>
                <c:pt idx="622">
                  <c:v>159.87094222068384</c:v>
                </c:pt>
                <c:pt idx="623">
                  <c:v>160.43711523722399</c:v>
                </c:pt>
                <c:pt idx="624">
                  <c:v>159.48030756298363</c:v>
                </c:pt>
                <c:pt idx="625">
                  <c:v>158.29851410487797</c:v>
                </c:pt>
                <c:pt idx="626">
                  <c:v>159.15642692906766</c:v>
                </c:pt>
                <c:pt idx="627">
                  <c:v>160.48656266224936</c:v>
                </c:pt>
                <c:pt idx="628">
                  <c:v>160.02175686701113</c:v>
                </c:pt>
                <c:pt idx="629">
                  <c:v>160.41486389596261</c:v>
                </c:pt>
                <c:pt idx="630">
                  <c:v>160.78571958365268</c:v>
                </c:pt>
                <c:pt idx="631">
                  <c:v>161.2505253788909</c:v>
                </c:pt>
                <c:pt idx="632">
                  <c:v>162.59055059707765</c:v>
                </c:pt>
                <c:pt idx="633">
                  <c:v>162.53615842954977</c:v>
                </c:pt>
                <c:pt idx="634">
                  <c:v>163.40148836749324</c:v>
                </c:pt>
                <c:pt idx="635">
                  <c:v>163.17650258362795</c:v>
                </c:pt>
                <c:pt idx="636">
                  <c:v>162.97376814102401</c:v>
                </c:pt>
                <c:pt idx="637">
                  <c:v>163.7352584864143</c:v>
                </c:pt>
                <c:pt idx="638">
                  <c:v>164.09127994659679</c:v>
                </c:pt>
                <c:pt idx="639">
                  <c:v>164.86760451949465</c:v>
                </c:pt>
                <c:pt idx="640">
                  <c:v>163.97013375528468</c:v>
                </c:pt>
                <c:pt idx="641">
                  <c:v>163.44846342126732</c:v>
                </c:pt>
                <c:pt idx="642">
                  <c:v>162.69439018963087</c:v>
                </c:pt>
                <c:pt idx="643">
                  <c:v>163.62647415135856</c:v>
                </c:pt>
                <c:pt idx="644">
                  <c:v>164.08633520409421</c:v>
                </c:pt>
                <c:pt idx="645">
                  <c:v>164.70442801691098</c:v>
                </c:pt>
                <c:pt idx="646">
                  <c:v>165.26565629094864</c:v>
                </c:pt>
                <c:pt idx="647">
                  <c:v>165.45602887729621</c:v>
                </c:pt>
                <c:pt idx="648">
                  <c:v>165.45355650604495</c:v>
                </c:pt>
                <c:pt idx="649">
                  <c:v>166.04692560634905</c:v>
                </c:pt>
                <c:pt idx="650">
                  <c:v>165.43130516478354</c:v>
                </c:pt>
                <c:pt idx="651">
                  <c:v>166.41778129403912</c:v>
                </c:pt>
                <c:pt idx="652">
                  <c:v>165.935668900042</c:v>
                </c:pt>
                <c:pt idx="653">
                  <c:v>161.4507874502435</c:v>
                </c:pt>
                <c:pt idx="654">
                  <c:v>163.92810344401315</c:v>
                </c:pt>
                <c:pt idx="655">
                  <c:v>163.72784137266052</c:v>
                </c:pt>
                <c:pt idx="656">
                  <c:v>164.45471852053302</c:v>
                </c:pt>
                <c:pt idx="657">
                  <c:v>163.33473434370904</c:v>
                </c:pt>
                <c:pt idx="658">
                  <c:v>164.2618735629342</c:v>
                </c:pt>
                <c:pt idx="659">
                  <c:v>165.97028209755976</c:v>
                </c:pt>
                <c:pt idx="660">
                  <c:v>165.9678097263085</c:v>
                </c:pt>
                <c:pt idx="661">
                  <c:v>165.10495215961626</c:v>
                </c:pt>
                <c:pt idx="662">
                  <c:v>166.08401117511804</c:v>
                </c:pt>
                <c:pt idx="663">
                  <c:v>167.44134299206368</c:v>
                </c:pt>
                <c:pt idx="664">
                  <c:v>169.4167676218261</c:v>
                </c:pt>
                <c:pt idx="665">
                  <c:v>169.86673918955668</c:v>
                </c:pt>
                <c:pt idx="666">
                  <c:v>169.94832744084852</c:v>
                </c:pt>
                <c:pt idx="667">
                  <c:v>168.0792147748906</c:v>
                </c:pt>
                <c:pt idx="668">
                  <c:v>168.63055356392314</c:v>
                </c:pt>
                <c:pt idx="669">
                  <c:v>168.94701708408536</c:v>
                </c:pt>
                <c:pt idx="670">
                  <c:v>166.94439637055899</c:v>
                </c:pt>
                <c:pt idx="671">
                  <c:v>167.52293124335552</c:v>
                </c:pt>
                <c:pt idx="672">
                  <c:v>165.72551734368432</c:v>
                </c:pt>
                <c:pt idx="673">
                  <c:v>165.88869384626796</c:v>
                </c:pt>
                <c:pt idx="674">
                  <c:v>168.47726654634459</c:v>
                </c:pt>
                <c:pt idx="675">
                  <c:v>168.86295646154227</c:v>
                </c:pt>
                <c:pt idx="676">
                  <c:v>168.95690656909039</c:v>
                </c:pt>
                <c:pt idx="677">
                  <c:v>166.15323757015352</c:v>
                </c:pt>
                <c:pt idx="678">
                  <c:v>166.12604148638957</c:v>
                </c:pt>
                <c:pt idx="679">
                  <c:v>164.57833708309636</c:v>
                </c:pt>
                <c:pt idx="680">
                  <c:v>163.1962815536381</c:v>
                </c:pt>
                <c:pt idx="681">
                  <c:v>163.82673622271119</c:v>
                </c:pt>
                <c:pt idx="682">
                  <c:v>161.32964125893145</c:v>
                </c:pt>
                <c:pt idx="683">
                  <c:v>162.93668257225505</c:v>
                </c:pt>
                <c:pt idx="684">
                  <c:v>165.33488268598413</c:v>
                </c:pt>
                <c:pt idx="685">
                  <c:v>166.89000420303111</c:v>
                </c:pt>
                <c:pt idx="686">
                  <c:v>168.04212920612156</c:v>
                </c:pt>
                <c:pt idx="687">
                  <c:v>168.95937894034168</c:v>
                </c:pt>
                <c:pt idx="688">
                  <c:v>168.18799910994633</c:v>
                </c:pt>
                <c:pt idx="689">
                  <c:v>168.49951788760598</c:v>
                </c:pt>
                <c:pt idx="690">
                  <c:v>169.08299750290502</c:v>
                </c:pt>
                <c:pt idx="691">
                  <c:v>169.20661606546838</c:v>
                </c:pt>
                <c:pt idx="692">
                  <c:v>169.52802432813311</c:v>
                </c:pt>
                <c:pt idx="693">
                  <c:v>169.01871585037208</c:v>
                </c:pt>
                <c:pt idx="694">
                  <c:v>168.87284594654733</c:v>
                </c:pt>
                <c:pt idx="695">
                  <c:v>169.99283012337131</c:v>
                </c:pt>
                <c:pt idx="696">
                  <c:v>170.38840952357404</c:v>
                </c:pt>
                <c:pt idx="697">
                  <c:v>168.55638242638514</c:v>
                </c:pt>
                <c:pt idx="698">
                  <c:v>168.30172818750461</c:v>
                </c:pt>
                <c:pt idx="699">
                  <c:v>167.84186713476893</c:v>
                </c:pt>
                <c:pt idx="700">
                  <c:v>165.99500581007243</c:v>
                </c:pt>
                <c:pt idx="701">
                  <c:v>167.24849803446483</c:v>
                </c:pt>
                <c:pt idx="702">
                  <c:v>168.26711498998691</c:v>
                </c:pt>
                <c:pt idx="703">
                  <c:v>169.31540040052414</c:v>
                </c:pt>
                <c:pt idx="704">
                  <c:v>170.08925260217075</c:v>
                </c:pt>
                <c:pt idx="705">
                  <c:v>170.68756644497736</c:v>
                </c:pt>
                <c:pt idx="706">
                  <c:v>170.6702598462185</c:v>
                </c:pt>
                <c:pt idx="707">
                  <c:v>170.06205651840679</c:v>
                </c:pt>
                <c:pt idx="708">
                  <c:v>169.85437733330036</c:v>
                </c:pt>
                <c:pt idx="709">
                  <c:v>168.59594036640539</c:v>
                </c:pt>
                <c:pt idx="710">
                  <c:v>168.90498677281377</c:v>
                </c:pt>
                <c:pt idx="711">
                  <c:v>170.02991569214032</c:v>
                </c:pt>
                <c:pt idx="712">
                  <c:v>171.04111553390854</c:v>
                </c:pt>
                <c:pt idx="713">
                  <c:v>170.489776744876</c:v>
                </c:pt>
                <c:pt idx="714">
                  <c:v>170.47247014611713</c:v>
                </c:pt>
                <c:pt idx="715">
                  <c:v>171.59987143669494</c:v>
                </c:pt>
                <c:pt idx="716">
                  <c:v>171.86935990308302</c:v>
                </c:pt>
                <c:pt idx="717">
                  <c:v>171.52570029915691</c:v>
                </c:pt>
                <c:pt idx="718">
                  <c:v>170.68262170247485</c:v>
                </c:pt>
                <c:pt idx="719">
                  <c:v>171.14742749771307</c:v>
                </c:pt>
                <c:pt idx="720">
                  <c:v>171.00402996513955</c:v>
                </c:pt>
                <c:pt idx="721">
                  <c:v>167.52293124335552</c:v>
                </c:pt>
                <c:pt idx="722">
                  <c:v>169.45632556184634</c:v>
                </c:pt>
                <c:pt idx="723">
                  <c:v>170.34143446979996</c:v>
                </c:pt>
                <c:pt idx="724">
                  <c:v>170.40324375108165</c:v>
                </c:pt>
                <c:pt idx="725">
                  <c:v>171.26857368902512</c:v>
                </c:pt>
                <c:pt idx="726">
                  <c:v>171.95094815437486</c:v>
                </c:pt>
                <c:pt idx="727">
                  <c:v>171.93364155561596</c:v>
                </c:pt>
                <c:pt idx="728">
                  <c:v>171.59245432294111</c:v>
                </c:pt>
                <c:pt idx="729">
                  <c:v>171.08067347392884</c:v>
                </c:pt>
                <c:pt idx="730">
                  <c:v>171.93116918436471</c:v>
                </c:pt>
                <c:pt idx="731">
                  <c:v>170.47741488861965</c:v>
                </c:pt>
                <c:pt idx="732">
                  <c:v>169.65164289069648</c:v>
                </c:pt>
                <c:pt idx="733">
                  <c:v>167.53282072836055</c:v>
                </c:pt>
                <c:pt idx="734">
                  <c:v>170.74690335500776</c:v>
                </c:pt>
                <c:pt idx="735">
                  <c:v>171.57020298167973</c:v>
                </c:pt>
                <c:pt idx="736">
                  <c:v>171.11775904269783</c:v>
                </c:pt>
                <c:pt idx="737">
                  <c:v>171.07820110267758</c:v>
                </c:pt>
                <c:pt idx="738">
                  <c:v>168.43523623507303</c:v>
                </c:pt>
                <c:pt idx="739">
                  <c:v>168.55391005513388</c:v>
                </c:pt>
                <c:pt idx="740">
                  <c:v>168.82587089277325</c:v>
                </c:pt>
                <c:pt idx="741">
                  <c:v>169.67636660320912</c:v>
                </c:pt>
                <c:pt idx="742">
                  <c:v>169.22886740672979</c:v>
                </c:pt>
                <c:pt idx="743">
                  <c:v>170.45269117610698</c:v>
                </c:pt>
                <c:pt idx="744">
                  <c:v>168.71214181521498</c:v>
                </c:pt>
                <c:pt idx="745">
                  <c:v>169.93843795584345</c:v>
                </c:pt>
                <c:pt idx="746">
                  <c:v>171.37241328157836</c:v>
                </c:pt>
                <c:pt idx="747">
                  <c:v>170.42055034984051</c:v>
                </c:pt>
                <c:pt idx="748">
                  <c:v>169.60219546567112</c:v>
                </c:pt>
                <c:pt idx="749">
                  <c:v>169.69861794447053</c:v>
                </c:pt>
                <c:pt idx="750">
                  <c:v>168.20283333745397</c:v>
                </c:pt>
                <c:pt idx="751">
                  <c:v>169.38957153806214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D-1D45-8DD9-FD68D2443BBC}"/>
            </c:ext>
          </c:extLst>
        </c:ser>
        <c:ser>
          <c:idx val="2"/>
          <c:order val="2"/>
          <c:tx>
            <c:strRef>
              <c:f>'1. Share_Price_Analysis'!$N$63</c:f>
              <c:strCache>
                <c:ptCount val="1"/>
                <c:pt idx="0">
                  <c:v>XLB Normalized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Share_Price_Analysis'!$N$64:$N$815</c:f>
              <c:numCache>
                <c:formatCode>0.00</c:formatCode>
                <c:ptCount val="752"/>
                <c:pt idx="0">
                  <c:v>100</c:v>
                </c:pt>
                <c:pt idx="1">
                  <c:v>98.029556650246306</c:v>
                </c:pt>
                <c:pt idx="2">
                  <c:v>98.510152589210605</c:v>
                </c:pt>
                <c:pt idx="3">
                  <c:v>95.975009011173853</c:v>
                </c:pt>
                <c:pt idx="4">
                  <c:v>93.932476270575521</c:v>
                </c:pt>
                <c:pt idx="5">
                  <c:v>92.971284392646865</c:v>
                </c:pt>
                <c:pt idx="6">
                  <c:v>94.160759341583571</c:v>
                </c:pt>
                <c:pt idx="7">
                  <c:v>91.108975129160157</c:v>
                </c:pt>
                <c:pt idx="8">
                  <c:v>92.154271296407543</c:v>
                </c:pt>
                <c:pt idx="9">
                  <c:v>90.724498377988709</c:v>
                </c:pt>
                <c:pt idx="10">
                  <c:v>92.190315991829877</c:v>
                </c:pt>
                <c:pt idx="11">
                  <c:v>93.307701549921902</c:v>
                </c:pt>
                <c:pt idx="12">
                  <c:v>91.649645560495003</c:v>
                </c:pt>
                <c:pt idx="13">
                  <c:v>91.541511474228031</c:v>
                </c:pt>
                <c:pt idx="14">
                  <c:v>92.286435179622728</c:v>
                </c:pt>
                <c:pt idx="15">
                  <c:v>92.971284392646865</c:v>
                </c:pt>
                <c:pt idx="16">
                  <c:v>93.415835636188874</c:v>
                </c:pt>
                <c:pt idx="17">
                  <c:v>94.713444671392523</c:v>
                </c:pt>
                <c:pt idx="18">
                  <c:v>95.362249188994355</c:v>
                </c:pt>
                <c:pt idx="19">
                  <c:v>96.912171092154267</c:v>
                </c:pt>
                <c:pt idx="20">
                  <c:v>97.52493091433378</c:v>
                </c:pt>
                <c:pt idx="21">
                  <c:v>96.119187792863144</c:v>
                </c:pt>
                <c:pt idx="22">
                  <c:v>95.9029196203292</c:v>
                </c:pt>
                <c:pt idx="23">
                  <c:v>95.67463654932115</c:v>
                </c:pt>
                <c:pt idx="24">
                  <c:v>96.131202691337265</c:v>
                </c:pt>
                <c:pt idx="25">
                  <c:v>96.876126396731948</c:v>
                </c:pt>
                <c:pt idx="26">
                  <c:v>96.948215787576586</c:v>
                </c:pt>
                <c:pt idx="27">
                  <c:v>97.945452360927547</c:v>
                </c:pt>
                <c:pt idx="28">
                  <c:v>97.236573350955197</c:v>
                </c:pt>
                <c:pt idx="29">
                  <c:v>97.801273579238256</c:v>
                </c:pt>
                <c:pt idx="30">
                  <c:v>98.209780127357917</c:v>
                </c:pt>
                <c:pt idx="31">
                  <c:v>97.933437462453441</c:v>
                </c:pt>
                <c:pt idx="32">
                  <c:v>97.825303376186469</c:v>
                </c:pt>
                <c:pt idx="33">
                  <c:v>96.960230686050693</c:v>
                </c:pt>
                <c:pt idx="34">
                  <c:v>97.621050102126631</c:v>
                </c:pt>
                <c:pt idx="35">
                  <c:v>95.506427970683632</c:v>
                </c:pt>
                <c:pt idx="36">
                  <c:v>94.377027514117501</c:v>
                </c:pt>
                <c:pt idx="37">
                  <c:v>95.662621650847043</c:v>
                </c:pt>
                <c:pt idx="38">
                  <c:v>96.780007208939082</c:v>
                </c:pt>
                <c:pt idx="39">
                  <c:v>96.731947615042657</c:v>
                </c:pt>
                <c:pt idx="40">
                  <c:v>95.794785534062228</c:v>
                </c:pt>
                <c:pt idx="41">
                  <c:v>94.737474468340736</c:v>
                </c:pt>
                <c:pt idx="42">
                  <c:v>94.124714646161252</c:v>
                </c:pt>
                <c:pt idx="43">
                  <c:v>95.710681244743483</c:v>
                </c:pt>
                <c:pt idx="44">
                  <c:v>95.398293884416674</c:v>
                </c:pt>
                <c:pt idx="45">
                  <c:v>94.533221194280912</c:v>
                </c:pt>
                <c:pt idx="46">
                  <c:v>94.593295686651444</c:v>
                </c:pt>
                <c:pt idx="47">
                  <c:v>93.668148504145137</c:v>
                </c:pt>
                <c:pt idx="48">
                  <c:v>93.836357082782641</c:v>
                </c:pt>
                <c:pt idx="49">
                  <c:v>94.629340382073764</c:v>
                </c:pt>
                <c:pt idx="50">
                  <c:v>93.067403580439731</c:v>
                </c:pt>
                <c:pt idx="51">
                  <c:v>93.680163402619243</c:v>
                </c:pt>
                <c:pt idx="52">
                  <c:v>94.232848732428209</c:v>
                </c:pt>
                <c:pt idx="53">
                  <c:v>94.473146701910366</c:v>
                </c:pt>
                <c:pt idx="54">
                  <c:v>93.980535864471932</c:v>
                </c:pt>
                <c:pt idx="55">
                  <c:v>92.526733149104885</c:v>
                </c:pt>
                <c:pt idx="56">
                  <c:v>91.469422083383392</c:v>
                </c:pt>
                <c:pt idx="57">
                  <c:v>91.145019824582477</c:v>
                </c:pt>
                <c:pt idx="58">
                  <c:v>91.601585966598577</c:v>
                </c:pt>
                <c:pt idx="59">
                  <c:v>91.108975129160157</c:v>
                </c:pt>
                <c:pt idx="60">
                  <c:v>90.13576835275741</c:v>
                </c:pt>
                <c:pt idx="61">
                  <c:v>91.337258200168208</c:v>
                </c:pt>
                <c:pt idx="62">
                  <c:v>94.401057311065699</c:v>
                </c:pt>
                <c:pt idx="63">
                  <c:v>94.328967920221075</c:v>
                </c:pt>
                <c:pt idx="64">
                  <c:v>94.929712843926467</c:v>
                </c:pt>
                <c:pt idx="65">
                  <c:v>96.059113300492598</c:v>
                </c:pt>
                <c:pt idx="66">
                  <c:v>95.710681244743483</c:v>
                </c:pt>
                <c:pt idx="67">
                  <c:v>94.91769794545236</c:v>
                </c:pt>
                <c:pt idx="68">
                  <c:v>95.350234290520248</c:v>
                </c:pt>
                <c:pt idx="69">
                  <c:v>97.560975609756099</c:v>
                </c:pt>
                <c:pt idx="70">
                  <c:v>97.152469061636424</c:v>
                </c:pt>
                <c:pt idx="71">
                  <c:v>97.981497056349866</c:v>
                </c:pt>
                <c:pt idx="72">
                  <c:v>98.221795025832023</c:v>
                </c:pt>
                <c:pt idx="73">
                  <c:v>96.419560254715847</c:v>
                </c:pt>
                <c:pt idx="74">
                  <c:v>96.731947615042657</c:v>
                </c:pt>
                <c:pt idx="75">
                  <c:v>96.503664544034592</c:v>
                </c:pt>
                <c:pt idx="76">
                  <c:v>95.72269614321759</c:v>
                </c:pt>
                <c:pt idx="77">
                  <c:v>96.719932716568536</c:v>
                </c:pt>
                <c:pt idx="78">
                  <c:v>98.089631142616838</c:v>
                </c:pt>
                <c:pt idx="79">
                  <c:v>97.416796828066794</c:v>
                </c:pt>
                <c:pt idx="80">
                  <c:v>98.64231647242579</c:v>
                </c:pt>
                <c:pt idx="81">
                  <c:v>99.567463654932126</c:v>
                </c:pt>
                <c:pt idx="82">
                  <c:v>99.939925507629468</c:v>
                </c:pt>
                <c:pt idx="83">
                  <c:v>97.476871320437326</c:v>
                </c:pt>
                <c:pt idx="84">
                  <c:v>96.767992310464976</c:v>
                </c:pt>
                <c:pt idx="85">
                  <c:v>97.60903520365251</c:v>
                </c:pt>
                <c:pt idx="86">
                  <c:v>97.585005406704312</c:v>
                </c:pt>
                <c:pt idx="87">
                  <c:v>98.546197284632925</c:v>
                </c:pt>
                <c:pt idx="88">
                  <c:v>99.843806319836574</c:v>
                </c:pt>
                <c:pt idx="89">
                  <c:v>100.6247747206536</c:v>
                </c:pt>
                <c:pt idx="90">
                  <c:v>100.03604469542233</c:v>
                </c:pt>
                <c:pt idx="91">
                  <c:v>100.1321638832152</c:v>
                </c:pt>
                <c:pt idx="92">
                  <c:v>100.91313228403219</c:v>
                </c:pt>
                <c:pt idx="93">
                  <c:v>100.37246185269734</c:v>
                </c:pt>
                <c:pt idx="94">
                  <c:v>100.6127598221795</c:v>
                </c:pt>
                <c:pt idx="95">
                  <c:v>100.6247747206536</c:v>
                </c:pt>
                <c:pt idx="96">
                  <c:v>100.93716208098043</c:v>
                </c:pt>
                <c:pt idx="97">
                  <c:v>102.7514117505707</c:v>
                </c:pt>
                <c:pt idx="98">
                  <c:v>102.40297969482157</c:v>
                </c:pt>
                <c:pt idx="99">
                  <c:v>101.74216027874566</c:v>
                </c:pt>
                <c:pt idx="100">
                  <c:v>102.45103928871799</c:v>
                </c:pt>
                <c:pt idx="101">
                  <c:v>102.99170972005285</c:v>
                </c:pt>
                <c:pt idx="102">
                  <c:v>102.53514357803677</c:v>
                </c:pt>
                <c:pt idx="103">
                  <c:v>101.26156433978133</c:v>
                </c:pt>
                <c:pt idx="104">
                  <c:v>100.63678961912773</c:v>
                </c:pt>
                <c:pt idx="105">
                  <c:v>100.40850654811966</c:v>
                </c:pt>
                <c:pt idx="106">
                  <c:v>101.0693259641956</c:v>
                </c:pt>
                <c:pt idx="107">
                  <c:v>100</c:v>
                </c:pt>
                <c:pt idx="108">
                  <c:v>99.591493451880325</c:v>
                </c:pt>
                <c:pt idx="109">
                  <c:v>99.663582842724978</c:v>
                </c:pt>
                <c:pt idx="110">
                  <c:v>99.387240177820487</c:v>
                </c:pt>
                <c:pt idx="111">
                  <c:v>99.603508350354446</c:v>
                </c:pt>
                <c:pt idx="112">
                  <c:v>97.981497056349866</c:v>
                </c:pt>
                <c:pt idx="113">
                  <c:v>97.320677640273928</c:v>
                </c:pt>
                <c:pt idx="114">
                  <c:v>97.128439264688211</c:v>
                </c:pt>
                <c:pt idx="115">
                  <c:v>97.11642436621409</c:v>
                </c:pt>
                <c:pt idx="116">
                  <c:v>97.128439264688211</c:v>
                </c:pt>
                <c:pt idx="117">
                  <c:v>97.044334975369452</c:v>
                </c:pt>
                <c:pt idx="118">
                  <c:v>97.200528655532864</c:v>
                </c:pt>
                <c:pt idx="119">
                  <c:v>96.792022107413189</c:v>
                </c:pt>
                <c:pt idx="120">
                  <c:v>97.080379670791771</c:v>
                </c:pt>
                <c:pt idx="121">
                  <c:v>97.789258680764149</c:v>
                </c:pt>
                <c:pt idx="122">
                  <c:v>99.4112699747687</c:v>
                </c:pt>
                <c:pt idx="123">
                  <c:v>99.639553045776765</c:v>
                </c:pt>
                <c:pt idx="124">
                  <c:v>99.591493451880325</c:v>
                </c:pt>
                <c:pt idx="125">
                  <c:v>100.70887900997236</c:v>
                </c:pt>
                <c:pt idx="126">
                  <c:v>98.846569746485642</c:v>
                </c:pt>
                <c:pt idx="127">
                  <c:v>98.630301573951698</c:v>
                </c:pt>
                <c:pt idx="128">
                  <c:v>98.185750330409704</c:v>
                </c:pt>
                <c:pt idx="129">
                  <c:v>98.281869518202555</c:v>
                </c:pt>
                <c:pt idx="130">
                  <c:v>98.702390964796351</c:v>
                </c:pt>
                <c:pt idx="131">
                  <c:v>98.474107893788286</c:v>
                </c:pt>
                <c:pt idx="132">
                  <c:v>97.897392767031121</c:v>
                </c:pt>
                <c:pt idx="133">
                  <c:v>99.279106091553516</c:v>
                </c:pt>
                <c:pt idx="134">
                  <c:v>98.173735431935583</c:v>
                </c:pt>
                <c:pt idx="135">
                  <c:v>97.296647843325729</c:v>
                </c:pt>
                <c:pt idx="136">
                  <c:v>97.212543554006956</c:v>
                </c:pt>
                <c:pt idx="137">
                  <c:v>96.191277183707797</c:v>
                </c:pt>
                <c:pt idx="138">
                  <c:v>94.256878529376436</c:v>
                </c:pt>
                <c:pt idx="139">
                  <c:v>94.160759341583571</c:v>
                </c:pt>
                <c:pt idx="140">
                  <c:v>94.90568304697824</c:v>
                </c:pt>
                <c:pt idx="141">
                  <c:v>93.535984620929952</c:v>
                </c:pt>
                <c:pt idx="142">
                  <c:v>93.523969722455845</c:v>
                </c:pt>
                <c:pt idx="143">
                  <c:v>94.533221194280912</c:v>
                </c:pt>
                <c:pt idx="144">
                  <c:v>94.377027514117501</c:v>
                </c:pt>
                <c:pt idx="145">
                  <c:v>93.127478072810291</c:v>
                </c:pt>
                <c:pt idx="146">
                  <c:v>92.875165204854014</c:v>
                </c:pt>
                <c:pt idx="147">
                  <c:v>93.968520965997826</c:v>
                </c:pt>
                <c:pt idx="148">
                  <c:v>92.827105610957588</c:v>
                </c:pt>
                <c:pt idx="149">
                  <c:v>93.704193199567456</c:v>
                </c:pt>
                <c:pt idx="150">
                  <c:v>93.824342184308534</c:v>
                </c:pt>
                <c:pt idx="151">
                  <c:v>94.821578757659495</c:v>
                </c:pt>
                <c:pt idx="152">
                  <c:v>95.049861828667545</c:v>
                </c:pt>
                <c:pt idx="153">
                  <c:v>93.632103808722817</c:v>
                </c:pt>
                <c:pt idx="154">
                  <c:v>93.283671752973689</c:v>
                </c:pt>
                <c:pt idx="155">
                  <c:v>94.19680403700589</c:v>
                </c:pt>
                <c:pt idx="156">
                  <c:v>95.121951219512198</c:v>
                </c:pt>
                <c:pt idx="157">
                  <c:v>92.65889703232007</c:v>
                </c:pt>
                <c:pt idx="158">
                  <c:v>91.577556169650364</c:v>
                </c:pt>
                <c:pt idx="159">
                  <c:v>90.472185510032432</c:v>
                </c:pt>
                <c:pt idx="160">
                  <c:v>89.462934038207365</c:v>
                </c:pt>
                <c:pt idx="161">
                  <c:v>90.520245103928872</c:v>
                </c:pt>
                <c:pt idx="162">
                  <c:v>89.462934038207365</c:v>
                </c:pt>
                <c:pt idx="163">
                  <c:v>90.087708758860984</c:v>
                </c:pt>
                <c:pt idx="164">
                  <c:v>90.051664063438665</c:v>
                </c:pt>
                <c:pt idx="165">
                  <c:v>90.976811245944972</c:v>
                </c:pt>
                <c:pt idx="166">
                  <c:v>91.385317794064633</c:v>
                </c:pt>
                <c:pt idx="167">
                  <c:v>91.433377387961059</c:v>
                </c:pt>
                <c:pt idx="168">
                  <c:v>93.199567463654915</c:v>
                </c:pt>
                <c:pt idx="169">
                  <c:v>94.665385077496097</c:v>
                </c:pt>
                <c:pt idx="170">
                  <c:v>94.19680403700589</c:v>
                </c:pt>
                <c:pt idx="171">
                  <c:v>92.370539468941487</c:v>
                </c:pt>
                <c:pt idx="172">
                  <c:v>92.65889703232007</c:v>
                </c:pt>
                <c:pt idx="173">
                  <c:v>91.865913733028947</c:v>
                </c:pt>
                <c:pt idx="174">
                  <c:v>92.947254595698652</c:v>
                </c:pt>
                <c:pt idx="175">
                  <c:v>92.815090712483467</c:v>
                </c:pt>
                <c:pt idx="176">
                  <c:v>95.554487564580072</c:v>
                </c:pt>
                <c:pt idx="177">
                  <c:v>95.975009011173853</c:v>
                </c:pt>
                <c:pt idx="178">
                  <c:v>96.26336657455245</c:v>
                </c:pt>
                <c:pt idx="179">
                  <c:v>96.443590051664046</c:v>
                </c:pt>
                <c:pt idx="180">
                  <c:v>96.611798630301564</c:v>
                </c:pt>
                <c:pt idx="181">
                  <c:v>96.984260482998906</c:v>
                </c:pt>
                <c:pt idx="182">
                  <c:v>97.044334975369452</c:v>
                </c:pt>
                <c:pt idx="183">
                  <c:v>97.464856421963233</c:v>
                </c:pt>
                <c:pt idx="184">
                  <c:v>97.344707437222141</c:v>
                </c:pt>
                <c:pt idx="185">
                  <c:v>97.536945812807886</c:v>
                </c:pt>
                <c:pt idx="186">
                  <c:v>98.041571548720398</c:v>
                </c:pt>
                <c:pt idx="187">
                  <c:v>99.014778325123146</c:v>
                </c:pt>
                <c:pt idx="188">
                  <c:v>100.14417878168929</c:v>
                </c:pt>
                <c:pt idx="189">
                  <c:v>98.978733629700827</c:v>
                </c:pt>
                <c:pt idx="190">
                  <c:v>97.621050102126631</c:v>
                </c:pt>
                <c:pt idx="191">
                  <c:v>97.416796828066794</c:v>
                </c:pt>
                <c:pt idx="192">
                  <c:v>98.077616244142732</c:v>
                </c:pt>
                <c:pt idx="193">
                  <c:v>98.438063198365981</c:v>
                </c:pt>
                <c:pt idx="194">
                  <c:v>99.134927309864224</c:v>
                </c:pt>
                <c:pt idx="195">
                  <c:v>99.711642436621389</c:v>
                </c:pt>
                <c:pt idx="196">
                  <c:v>100.92514718250631</c:v>
                </c:pt>
                <c:pt idx="197">
                  <c:v>102.5952180704073</c:v>
                </c:pt>
                <c:pt idx="198">
                  <c:v>102.33089030397693</c:v>
                </c:pt>
                <c:pt idx="199">
                  <c:v>101.77820497416796</c:v>
                </c:pt>
                <c:pt idx="200">
                  <c:v>102.71536705514836</c:v>
                </c:pt>
                <c:pt idx="201">
                  <c:v>101.14141535504024</c:v>
                </c:pt>
                <c:pt idx="202">
                  <c:v>102.21074131923584</c:v>
                </c:pt>
                <c:pt idx="203">
                  <c:v>102.84753093836356</c:v>
                </c:pt>
                <c:pt idx="204">
                  <c:v>103.32812687732789</c:v>
                </c:pt>
                <c:pt idx="205">
                  <c:v>103.58043974528415</c:v>
                </c:pt>
                <c:pt idx="206">
                  <c:v>103.18394809563858</c:v>
                </c:pt>
                <c:pt idx="207">
                  <c:v>102.77544154751892</c:v>
                </c:pt>
                <c:pt idx="208">
                  <c:v>102.5952180704073</c:v>
                </c:pt>
                <c:pt idx="209">
                  <c:v>101.48984741078937</c:v>
                </c:pt>
                <c:pt idx="210">
                  <c:v>101.16544515198846</c:v>
                </c:pt>
                <c:pt idx="211">
                  <c:v>101.33365373062597</c:v>
                </c:pt>
                <c:pt idx="212">
                  <c:v>101.76619007569386</c:v>
                </c:pt>
                <c:pt idx="213">
                  <c:v>100.60074492370539</c:v>
                </c:pt>
                <c:pt idx="214">
                  <c:v>100.46858104049021</c:v>
                </c:pt>
                <c:pt idx="215">
                  <c:v>100.1682085786375</c:v>
                </c:pt>
                <c:pt idx="216">
                  <c:v>100.26432776643037</c:v>
                </c:pt>
                <c:pt idx="217">
                  <c:v>99.110897512916011</c:v>
                </c:pt>
                <c:pt idx="218">
                  <c:v>98.390003604469527</c:v>
                </c:pt>
                <c:pt idx="219">
                  <c:v>98.702390964796351</c:v>
                </c:pt>
                <c:pt idx="220">
                  <c:v>98.798510152589216</c:v>
                </c:pt>
                <c:pt idx="221">
                  <c:v>99.086867715967799</c:v>
                </c:pt>
                <c:pt idx="222">
                  <c:v>99.4112699747687</c:v>
                </c:pt>
                <c:pt idx="223">
                  <c:v>98.065601345668625</c:v>
                </c:pt>
                <c:pt idx="224">
                  <c:v>99.098882614441905</c:v>
                </c:pt>
                <c:pt idx="225">
                  <c:v>99.134927309864224</c:v>
                </c:pt>
                <c:pt idx="226">
                  <c:v>99.627538147302658</c:v>
                </c:pt>
                <c:pt idx="227">
                  <c:v>100.08410428931876</c:v>
                </c:pt>
                <c:pt idx="228">
                  <c:v>98.774480355640975</c:v>
                </c:pt>
                <c:pt idx="229">
                  <c:v>100.42052144659377</c:v>
                </c:pt>
                <c:pt idx="230">
                  <c:v>99.831791421362496</c:v>
                </c:pt>
                <c:pt idx="231">
                  <c:v>97.296647843325729</c:v>
                </c:pt>
                <c:pt idx="232">
                  <c:v>99.014778325123146</c:v>
                </c:pt>
                <c:pt idx="233">
                  <c:v>99.807761624414255</c:v>
                </c:pt>
                <c:pt idx="234">
                  <c:v>99.67559774119907</c:v>
                </c:pt>
                <c:pt idx="235">
                  <c:v>99.891865913733028</c:v>
                </c:pt>
                <c:pt idx="236">
                  <c:v>100.68484921302414</c:v>
                </c:pt>
                <c:pt idx="237">
                  <c:v>99.267091193079409</c:v>
                </c:pt>
                <c:pt idx="238">
                  <c:v>99.903880812207134</c:v>
                </c:pt>
                <c:pt idx="239">
                  <c:v>101.79021987264207</c:v>
                </c:pt>
                <c:pt idx="240">
                  <c:v>102.33089030397693</c:v>
                </c:pt>
                <c:pt idx="241">
                  <c:v>102.11462213144299</c:v>
                </c:pt>
                <c:pt idx="242">
                  <c:v>102.67932235972606</c:v>
                </c:pt>
                <c:pt idx="243">
                  <c:v>103.71260362849932</c:v>
                </c:pt>
                <c:pt idx="244">
                  <c:v>104.32536345067885</c:v>
                </c:pt>
                <c:pt idx="245">
                  <c:v>103.70058873002523</c:v>
                </c:pt>
                <c:pt idx="246">
                  <c:v>104.08506548119666</c:v>
                </c:pt>
                <c:pt idx="247">
                  <c:v>104.4094677399976</c:v>
                </c:pt>
                <c:pt idx="248">
                  <c:v>105.20245103928872</c:v>
                </c:pt>
                <c:pt idx="249">
                  <c:v>105.68304697825302</c:v>
                </c:pt>
                <c:pt idx="250">
                  <c:v>106.45200048059593</c:v>
                </c:pt>
                <c:pt idx="251">
                  <c:v>105.88730025231285</c:v>
                </c:pt>
                <c:pt idx="252">
                  <c:v>106.66826865312989</c:v>
                </c:pt>
                <c:pt idx="253">
                  <c:v>107.97789258680763</c:v>
                </c:pt>
                <c:pt idx="254">
                  <c:v>107.35311786615402</c:v>
                </c:pt>
                <c:pt idx="255">
                  <c:v>108.56662261203893</c:v>
                </c:pt>
                <c:pt idx="256">
                  <c:v>108.55460771356479</c:v>
                </c:pt>
                <c:pt idx="257">
                  <c:v>109.62393367776042</c:v>
                </c:pt>
                <c:pt idx="258">
                  <c:v>109.04721855100325</c:v>
                </c:pt>
                <c:pt idx="259">
                  <c:v>109.09527814489968</c:v>
                </c:pt>
                <c:pt idx="260">
                  <c:v>108.90303976931395</c:v>
                </c:pt>
                <c:pt idx="261">
                  <c:v>108.91505466778806</c:v>
                </c:pt>
                <c:pt idx="262">
                  <c:v>110.00841042893188</c:v>
                </c:pt>
                <c:pt idx="263">
                  <c:v>110.46497657094795</c:v>
                </c:pt>
                <c:pt idx="264">
                  <c:v>109.78012735792382</c:v>
                </c:pt>
                <c:pt idx="265">
                  <c:v>109.81617205334615</c:v>
                </c:pt>
                <c:pt idx="266">
                  <c:v>109.73206776402739</c:v>
                </c:pt>
                <c:pt idx="267">
                  <c:v>111.30601946413552</c:v>
                </c:pt>
                <c:pt idx="268">
                  <c:v>111.60639192598822</c:v>
                </c:pt>
                <c:pt idx="269">
                  <c:v>111.34206415955785</c:v>
                </c:pt>
                <c:pt idx="270">
                  <c:v>110.93355761143818</c:v>
                </c:pt>
                <c:pt idx="271">
                  <c:v>111.59437702751411</c:v>
                </c:pt>
                <c:pt idx="272">
                  <c:v>110.46497657094795</c:v>
                </c:pt>
                <c:pt idx="273">
                  <c:v>111.46221314429891</c:v>
                </c:pt>
                <c:pt idx="274">
                  <c:v>111.54631743361769</c:v>
                </c:pt>
                <c:pt idx="275">
                  <c:v>111.81064520004807</c:v>
                </c:pt>
                <c:pt idx="276">
                  <c:v>110.06848492130241</c:v>
                </c:pt>
                <c:pt idx="277">
                  <c:v>109.98438063198365</c:v>
                </c:pt>
                <c:pt idx="278">
                  <c:v>108.03796707917819</c:v>
                </c:pt>
                <c:pt idx="279">
                  <c:v>107.52132644479153</c:v>
                </c:pt>
                <c:pt idx="280">
                  <c:v>106.69229845007808</c:v>
                </c:pt>
                <c:pt idx="281">
                  <c:v>106.93259641956026</c:v>
                </c:pt>
                <c:pt idx="282">
                  <c:v>106.96864111498256</c:v>
                </c:pt>
                <c:pt idx="283">
                  <c:v>106.88453682566382</c:v>
                </c:pt>
                <c:pt idx="284">
                  <c:v>106.99267091193079</c:v>
                </c:pt>
                <c:pt idx="285">
                  <c:v>106.06752372942448</c:v>
                </c:pt>
                <c:pt idx="286">
                  <c:v>106.13961312026913</c:v>
                </c:pt>
                <c:pt idx="287">
                  <c:v>106.89655172413792</c:v>
                </c:pt>
                <c:pt idx="288">
                  <c:v>107.55737114021386</c:v>
                </c:pt>
                <c:pt idx="289">
                  <c:v>108.45848852577195</c:v>
                </c:pt>
                <c:pt idx="290">
                  <c:v>106.48804517601825</c:v>
                </c:pt>
                <c:pt idx="291">
                  <c:v>107.04073050582723</c:v>
                </c:pt>
                <c:pt idx="292">
                  <c:v>106.48804517601825</c:v>
                </c:pt>
                <c:pt idx="293">
                  <c:v>107.56938603868798</c:v>
                </c:pt>
                <c:pt idx="294">
                  <c:v>108.21819055628978</c:v>
                </c:pt>
                <c:pt idx="295">
                  <c:v>109.50378469301934</c:v>
                </c:pt>
                <c:pt idx="296">
                  <c:v>108.99915895710681</c:v>
                </c:pt>
                <c:pt idx="297">
                  <c:v>110.21266370299172</c:v>
                </c:pt>
                <c:pt idx="298">
                  <c:v>110.34482758620689</c:v>
                </c:pt>
                <c:pt idx="299">
                  <c:v>110.27273819536225</c:v>
                </c:pt>
                <c:pt idx="300">
                  <c:v>110.38087228162922</c:v>
                </c:pt>
                <c:pt idx="301">
                  <c:v>110.57311065721494</c:v>
                </c:pt>
                <c:pt idx="302">
                  <c:v>109.78012735792382</c:v>
                </c:pt>
                <c:pt idx="303">
                  <c:v>110.71728943890425</c:v>
                </c:pt>
                <c:pt idx="304">
                  <c:v>110.87348311906764</c:v>
                </c:pt>
                <c:pt idx="305">
                  <c:v>110.87348311906764</c:v>
                </c:pt>
                <c:pt idx="306">
                  <c:v>109.79214225639792</c:v>
                </c:pt>
                <c:pt idx="307">
                  <c:v>108.81893547999518</c:v>
                </c:pt>
                <c:pt idx="308">
                  <c:v>109.76811245944971</c:v>
                </c:pt>
                <c:pt idx="309">
                  <c:v>109.34759101285594</c:v>
                </c:pt>
                <c:pt idx="310">
                  <c:v>107.78565421122191</c:v>
                </c:pt>
                <c:pt idx="311">
                  <c:v>108.66274179983178</c:v>
                </c:pt>
                <c:pt idx="312">
                  <c:v>109.97236573350955</c:v>
                </c:pt>
                <c:pt idx="313">
                  <c:v>109.32356121590772</c:v>
                </c:pt>
                <c:pt idx="314">
                  <c:v>108.11005647002283</c:v>
                </c:pt>
                <c:pt idx="315">
                  <c:v>108.85498017541751</c:v>
                </c:pt>
                <c:pt idx="316">
                  <c:v>108.97512916015859</c:v>
                </c:pt>
                <c:pt idx="317">
                  <c:v>107.88177339901479</c:v>
                </c:pt>
                <c:pt idx="318">
                  <c:v>107.77363931274782</c:v>
                </c:pt>
                <c:pt idx="319">
                  <c:v>107.73759461732548</c:v>
                </c:pt>
                <c:pt idx="320">
                  <c:v>107.94184789138532</c:v>
                </c:pt>
                <c:pt idx="321">
                  <c:v>107.90580319596299</c:v>
                </c:pt>
                <c:pt idx="322">
                  <c:v>106.90856662261203</c:v>
                </c:pt>
                <c:pt idx="323">
                  <c:v>107.70154992190315</c:v>
                </c:pt>
                <c:pt idx="324">
                  <c:v>107.58140093716209</c:v>
                </c:pt>
                <c:pt idx="325">
                  <c:v>107.68953502342904</c:v>
                </c:pt>
                <c:pt idx="326">
                  <c:v>107.70154992190315</c:v>
                </c:pt>
                <c:pt idx="327">
                  <c:v>107.88177339901479</c:v>
                </c:pt>
                <c:pt idx="328">
                  <c:v>106.51207497296649</c:v>
                </c:pt>
                <c:pt idx="329">
                  <c:v>106.43998558212182</c:v>
                </c:pt>
                <c:pt idx="330">
                  <c:v>106.13961312026913</c:v>
                </c:pt>
                <c:pt idx="331">
                  <c:v>106.1035684248468</c:v>
                </c:pt>
                <c:pt idx="332">
                  <c:v>104.46954223236813</c:v>
                </c:pt>
                <c:pt idx="333">
                  <c:v>104.66178060795386</c:v>
                </c:pt>
                <c:pt idx="334">
                  <c:v>105.44274900877089</c:v>
                </c:pt>
                <c:pt idx="335">
                  <c:v>105.61095758740839</c:v>
                </c:pt>
                <c:pt idx="336">
                  <c:v>105.92334494773519</c:v>
                </c:pt>
                <c:pt idx="337">
                  <c:v>104.84200408506548</c:v>
                </c:pt>
                <c:pt idx="338">
                  <c:v>106.24774720653612</c:v>
                </c:pt>
                <c:pt idx="339">
                  <c:v>107.70154992190315</c:v>
                </c:pt>
                <c:pt idx="340">
                  <c:v>108.73483119067645</c:v>
                </c:pt>
                <c:pt idx="341">
                  <c:v>108.45848852577195</c:v>
                </c:pt>
                <c:pt idx="342">
                  <c:v>110.56109575874082</c:v>
                </c:pt>
                <c:pt idx="343">
                  <c:v>110.33281268773278</c:v>
                </c:pt>
                <c:pt idx="344">
                  <c:v>109.23945692658896</c:v>
                </c:pt>
                <c:pt idx="345">
                  <c:v>108.26625015018622</c:v>
                </c:pt>
                <c:pt idx="346">
                  <c:v>108.62669710440946</c:v>
                </c:pt>
                <c:pt idx="347">
                  <c:v>109.05923344947735</c:v>
                </c:pt>
                <c:pt idx="348">
                  <c:v>107.66550522648085</c:v>
                </c:pt>
                <c:pt idx="349">
                  <c:v>107.96587768833352</c:v>
                </c:pt>
                <c:pt idx="350">
                  <c:v>109.73206776402739</c:v>
                </c:pt>
                <c:pt idx="351">
                  <c:v>109.92430613961311</c:v>
                </c:pt>
                <c:pt idx="352">
                  <c:v>109.56385918538987</c:v>
                </c:pt>
                <c:pt idx="353">
                  <c:v>110.70527454043014</c:v>
                </c:pt>
                <c:pt idx="354">
                  <c:v>110.26072329688814</c:v>
                </c:pt>
                <c:pt idx="355">
                  <c:v>108.18214586086748</c:v>
                </c:pt>
                <c:pt idx="356">
                  <c:v>105.76715126757179</c:v>
                </c:pt>
                <c:pt idx="357">
                  <c:v>106.30782169890665</c:v>
                </c:pt>
                <c:pt idx="358">
                  <c:v>104.8660338820137</c:v>
                </c:pt>
                <c:pt idx="359">
                  <c:v>106.48804517601825</c:v>
                </c:pt>
                <c:pt idx="360">
                  <c:v>106.40394088669952</c:v>
                </c:pt>
                <c:pt idx="361">
                  <c:v>105.93535984620929</c:v>
                </c:pt>
                <c:pt idx="362">
                  <c:v>106.99267091193079</c:v>
                </c:pt>
                <c:pt idx="363">
                  <c:v>106.99267091193079</c:v>
                </c:pt>
                <c:pt idx="364">
                  <c:v>108.68677159677999</c:v>
                </c:pt>
                <c:pt idx="365">
                  <c:v>108.81893547999518</c:v>
                </c:pt>
                <c:pt idx="366">
                  <c:v>109.33557611438182</c:v>
                </c:pt>
                <c:pt idx="367">
                  <c:v>108.93908446473628</c:v>
                </c:pt>
                <c:pt idx="368">
                  <c:v>110.18863390604348</c:v>
                </c:pt>
                <c:pt idx="369">
                  <c:v>109.96035083503544</c:v>
                </c:pt>
                <c:pt idx="370">
                  <c:v>111.41415355040249</c:v>
                </c:pt>
                <c:pt idx="371">
                  <c:v>111.90676438784092</c:v>
                </c:pt>
                <c:pt idx="372">
                  <c:v>111.91877928631504</c:v>
                </c:pt>
                <c:pt idx="373">
                  <c:v>111.43818334735072</c:v>
                </c:pt>
                <c:pt idx="374">
                  <c:v>112.05094316953021</c:v>
                </c:pt>
                <c:pt idx="375">
                  <c:v>113.27646281388921</c:v>
                </c:pt>
                <c:pt idx="376">
                  <c:v>110.70527454043014</c:v>
                </c:pt>
                <c:pt idx="377">
                  <c:v>110.24870839841402</c:v>
                </c:pt>
                <c:pt idx="378">
                  <c:v>109.38363570827828</c:v>
                </c:pt>
                <c:pt idx="379">
                  <c:v>108.00192238375585</c:v>
                </c:pt>
                <c:pt idx="380">
                  <c:v>109.04721855100325</c:v>
                </c:pt>
                <c:pt idx="381">
                  <c:v>109.09527814489968</c:v>
                </c:pt>
                <c:pt idx="382">
                  <c:v>109.35960591133005</c:v>
                </c:pt>
                <c:pt idx="383">
                  <c:v>110.36885738315512</c:v>
                </c:pt>
                <c:pt idx="384">
                  <c:v>111.36609395650605</c:v>
                </c:pt>
                <c:pt idx="385">
                  <c:v>112.39937522527934</c:v>
                </c:pt>
                <c:pt idx="386">
                  <c:v>112.61564339781329</c:v>
                </c:pt>
                <c:pt idx="387">
                  <c:v>112.13504745884897</c:v>
                </c:pt>
                <c:pt idx="388">
                  <c:v>113.82914814369818</c:v>
                </c:pt>
                <c:pt idx="389">
                  <c:v>113.02414994593295</c:v>
                </c:pt>
                <c:pt idx="390">
                  <c:v>113.50474588489728</c:v>
                </c:pt>
                <c:pt idx="391">
                  <c:v>115.0546677880572</c:v>
                </c:pt>
                <c:pt idx="392">
                  <c:v>114.28571428571428</c:v>
                </c:pt>
                <c:pt idx="393">
                  <c:v>116.65264928511354</c:v>
                </c:pt>
                <c:pt idx="394">
                  <c:v>116.4483960110537</c:v>
                </c:pt>
                <c:pt idx="395">
                  <c:v>115.79959149345187</c:v>
                </c:pt>
                <c:pt idx="396">
                  <c:v>115.51123393007327</c:v>
                </c:pt>
                <c:pt idx="397">
                  <c:v>115.06668268653128</c:v>
                </c:pt>
                <c:pt idx="398">
                  <c:v>113.79310344827584</c:v>
                </c:pt>
                <c:pt idx="399">
                  <c:v>114.34578877808481</c:v>
                </c:pt>
                <c:pt idx="400">
                  <c:v>114.0093716208098</c:v>
                </c:pt>
                <c:pt idx="401">
                  <c:v>113.48071608794905</c:v>
                </c:pt>
                <c:pt idx="402">
                  <c:v>114.20160999639552</c:v>
                </c:pt>
                <c:pt idx="403">
                  <c:v>114.4659377628259</c:v>
                </c:pt>
                <c:pt idx="404">
                  <c:v>115.2108614682206</c:v>
                </c:pt>
                <c:pt idx="405">
                  <c:v>115.87168088429651</c:v>
                </c:pt>
                <c:pt idx="406">
                  <c:v>115.75153189955545</c:v>
                </c:pt>
                <c:pt idx="407">
                  <c:v>116.65264928511354</c:v>
                </c:pt>
                <c:pt idx="408">
                  <c:v>116.83287276222514</c:v>
                </c:pt>
                <c:pt idx="409">
                  <c:v>117.30145380271534</c:v>
                </c:pt>
                <c:pt idx="410">
                  <c:v>116.40033641715726</c:v>
                </c:pt>
                <c:pt idx="411">
                  <c:v>115.33101045296166</c:v>
                </c:pt>
                <c:pt idx="412">
                  <c:v>115.01862309263487</c:v>
                </c:pt>
                <c:pt idx="413">
                  <c:v>113.61287997116425</c:v>
                </c:pt>
                <c:pt idx="414">
                  <c:v>112.89198606271775</c:v>
                </c:pt>
                <c:pt idx="415">
                  <c:v>113.82914814369818</c:v>
                </c:pt>
                <c:pt idx="416">
                  <c:v>113.09623933677759</c:v>
                </c:pt>
                <c:pt idx="417">
                  <c:v>113.70899915895708</c:v>
                </c:pt>
                <c:pt idx="418">
                  <c:v>112.20713684969361</c:v>
                </c:pt>
                <c:pt idx="419">
                  <c:v>111.8947494893668</c:v>
                </c:pt>
                <c:pt idx="420">
                  <c:v>112.38736032680524</c:v>
                </c:pt>
                <c:pt idx="421">
                  <c:v>112.55556890544275</c:v>
                </c:pt>
                <c:pt idx="422">
                  <c:v>114.10549080860267</c:v>
                </c:pt>
                <c:pt idx="423">
                  <c:v>114.55004205214465</c:v>
                </c:pt>
                <c:pt idx="424">
                  <c:v>113.50474588489728</c:v>
                </c:pt>
                <c:pt idx="425">
                  <c:v>113.01213504745884</c:v>
                </c:pt>
                <c:pt idx="426">
                  <c:v>111.08975129160157</c:v>
                </c:pt>
                <c:pt idx="427">
                  <c:v>111.35407905803196</c:v>
                </c:pt>
                <c:pt idx="428">
                  <c:v>110.44094677399976</c:v>
                </c:pt>
                <c:pt idx="429">
                  <c:v>109.67199327165685</c:v>
                </c:pt>
                <c:pt idx="430">
                  <c:v>110.52505106331851</c:v>
                </c:pt>
                <c:pt idx="431">
                  <c:v>110.16460410909528</c:v>
                </c:pt>
                <c:pt idx="432">
                  <c:v>111.06572149465337</c:v>
                </c:pt>
                <c:pt idx="433">
                  <c:v>112.42340502222754</c:v>
                </c:pt>
                <c:pt idx="434">
                  <c:v>113.04817974288117</c:v>
                </c:pt>
                <c:pt idx="435">
                  <c:v>114.21362489486964</c:v>
                </c:pt>
                <c:pt idx="436">
                  <c:v>113.36056710320797</c:v>
                </c:pt>
                <c:pt idx="437">
                  <c:v>113.30049261083744</c:v>
                </c:pt>
                <c:pt idx="438">
                  <c:v>113.87720773759462</c:v>
                </c:pt>
                <c:pt idx="439">
                  <c:v>113.80511834674995</c:v>
                </c:pt>
                <c:pt idx="440">
                  <c:v>113.44467139252671</c:v>
                </c:pt>
                <c:pt idx="441">
                  <c:v>112.33930073290881</c:v>
                </c:pt>
                <c:pt idx="442">
                  <c:v>110.86146822059352</c:v>
                </c:pt>
                <c:pt idx="443">
                  <c:v>110.42893187552565</c:v>
                </c:pt>
                <c:pt idx="444">
                  <c:v>110.40490207857742</c:v>
                </c:pt>
                <c:pt idx="445">
                  <c:v>109.27550162201129</c:v>
                </c:pt>
                <c:pt idx="446">
                  <c:v>108.89102487083984</c:v>
                </c:pt>
                <c:pt idx="447">
                  <c:v>108.13408626697102</c:v>
                </c:pt>
                <c:pt idx="448">
                  <c:v>107.20893908446473</c:v>
                </c:pt>
                <c:pt idx="449">
                  <c:v>106.2597621050102</c:v>
                </c:pt>
                <c:pt idx="450">
                  <c:v>105.67103207977893</c:v>
                </c:pt>
                <c:pt idx="451">
                  <c:v>102.66730746125194</c:v>
                </c:pt>
                <c:pt idx="452">
                  <c:v>101.561936801634</c:v>
                </c:pt>
                <c:pt idx="453">
                  <c:v>102.82350114141533</c:v>
                </c:pt>
                <c:pt idx="454">
                  <c:v>102.21074131923584</c:v>
                </c:pt>
                <c:pt idx="455">
                  <c:v>102.7634266490448</c:v>
                </c:pt>
                <c:pt idx="456">
                  <c:v>102.60723296888142</c:v>
                </c:pt>
                <c:pt idx="457">
                  <c:v>102.05454763907244</c:v>
                </c:pt>
                <c:pt idx="458">
                  <c:v>100.68484921302414</c:v>
                </c:pt>
                <c:pt idx="459">
                  <c:v>101.09335576114383</c:v>
                </c:pt>
                <c:pt idx="460">
                  <c:v>99.975970203051773</c:v>
                </c:pt>
                <c:pt idx="461">
                  <c:v>99.95194040610356</c:v>
                </c:pt>
                <c:pt idx="462">
                  <c:v>100.6247747206536</c:v>
                </c:pt>
                <c:pt idx="463">
                  <c:v>100.56470022828307</c:v>
                </c:pt>
                <c:pt idx="464">
                  <c:v>101.11738555809202</c:v>
                </c:pt>
                <c:pt idx="465">
                  <c:v>100.08410428931876</c:v>
                </c:pt>
                <c:pt idx="466">
                  <c:v>102.31887540550282</c:v>
                </c:pt>
                <c:pt idx="467">
                  <c:v>103.59245464375826</c:v>
                </c:pt>
                <c:pt idx="468">
                  <c:v>104.5776763186351</c:v>
                </c:pt>
                <c:pt idx="469">
                  <c:v>105.44274900877089</c:v>
                </c:pt>
                <c:pt idx="470">
                  <c:v>106.12759822179503</c:v>
                </c:pt>
                <c:pt idx="471">
                  <c:v>107.48528174936919</c:v>
                </c:pt>
                <c:pt idx="472">
                  <c:v>106.62020905923345</c:v>
                </c:pt>
                <c:pt idx="473">
                  <c:v>107.20893908446473</c:v>
                </c:pt>
                <c:pt idx="474">
                  <c:v>106.93259641956026</c:v>
                </c:pt>
                <c:pt idx="475">
                  <c:v>106.99267091193079</c:v>
                </c:pt>
                <c:pt idx="476">
                  <c:v>106.64423885618166</c:v>
                </c:pt>
                <c:pt idx="477">
                  <c:v>106.45200048059593</c:v>
                </c:pt>
                <c:pt idx="478">
                  <c:v>107.46125195242099</c:v>
                </c:pt>
                <c:pt idx="479">
                  <c:v>106.68028355160399</c:v>
                </c:pt>
                <c:pt idx="480">
                  <c:v>106.78841763787095</c:v>
                </c:pt>
                <c:pt idx="481">
                  <c:v>107.10080499819776</c:v>
                </c:pt>
                <c:pt idx="482">
                  <c:v>107.01670070887899</c:v>
                </c:pt>
                <c:pt idx="483">
                  <c:v>107.38916256157634</c:v>
                </c:pt>
                <c:pt idx="484">
                  <c:v>106.0795386278986</c:v>
                </c:pt>
                <c:pt idx="485">
                  <c:v>106.62020905923345</c:v>
                </c:pt>
                <c:pt idx="486">
                  <c:v>107.24498377988706</c:v>
                </c:pt>
                <c:pt idx="487">
                  <c:v>106.47603027754415</c:v>
                </c:pt>
                <c:pt idx="488">
                  <c:v>108.32632464255676</c:v>
                </c:pt>
                <c:pt idx="489">
                  <c:v>107.95386278985941</c:v>
                </c:pt>
                <c:pt idx="490">
                  <c:v>109.32356121590772</c:v>
                </c:pt>
                <c:pt idx="491">
                  <c:v>108.03796707917819</c:v>
                </c:pt>
                <c:pt idx="492">
                  <c:v>107.78565421122191</c:v>
                </c:pt>
                <c:pt idx="493">
                  <c:v>105.81521086146822</c:v>
                </c:pt>
                <c:pt idx="494">
                  <c:v>105.69506187672712</c:v>
                </c:pt>
                <c:pt idx="495">
                  <c:v>106.51207497296649</c:v>
                </c:pt>
                <c:pt idx="496">
                  <c:v>106.46401537907005</c:v>
                </c:pt>
                <c:pt idx="497">
                  <c:v>105.74312147062356</c:v>
                </c:pt>
                <c:pt idx="498">
                  <c:v>106.64423885618166</c:v>
                </c:pt>
                <c:pt idx="499">
                  <c:v>104.50558692779046</c:v>
                </c:pt>
                <c:pt idx="500">
                  <c:v>103.08782890784572</c:v>
                </c:pt>
                <c:pt idx="501">
                  <c:v>105.7791661660459</c:v>
                </c:pt>
                <c:pt idx="502">
                  <c:v>105.22648083623693</c:v>
                </c:pt>
                <c:pt idx="503">
                  <c:v>105.51483839961551</c:v>
                </c:pt>
                <c:pt idx="504">
                  <c:v>103.31611197885377</c:v>
                </c:pt>
                <c:pt idx="505">
                  <c:v>102.52312867956266</c:v>
                </c:pt>
                <c:pt idx="506">
                  <c:v>102.04253274059833</c:v>
                </c:pt>
                <c:pt idx="507">
                  <c:v>101.97044334975369</c:v>
                </c:pt>
                <c:pt idx="508">
                  <c:v>103.30409708037966</c:v>
                </c:pt>
                <c:pt idx="509">
                  <c:v>104.60170611558333</c:v>
                </c:pt>
                <c:pt idx="510">
                  <c:v>104.42148263847169</c:v>
                </c:pt>
                <c:pt idx="511">
                  <c:v>104.76991469422083</c:v>
                </c:pt>
                <c:pt idx="512">
                  <c:v>104.10909527814489</c:v>
                </c:pt>
                <c:pt idx="513">
                  <c:v>103.07581400937163</c:v>
                </c:pt>
                <c:pt idx="514">
                  <c:v>103.97693139492972</c:v>
                </c:pt>
                <c:pt idx="515">
                  <c:v>103.95290159798149</c:v>
                </c:pt>
                <c:pt idx="516">
                  <c:v>104.14513997356723</c:v>
                </c:pt>
                <c:pt idx="517">
                  <c:v>104.09708037967079</c:v>
                </c:pt>
                <c:pt idx="518">
                  <c:v>102.18671152228762</c:v>
                </c:pt>
                <c:pt idx="519">
                  <c:v>103.30409708037966</c:v>
                </c:pt>
                <c:pt idx="520">
                  <c:v>103.68857383155112</c:v>
                </c:pt>
                <c:pt idx="521">
                  <c:v>104.54163162321279</c:v>
                </c:pt>
                <c:pt idx="522">
                  <c:v>99.819776522888375</c:v>
                </c:pt>
                <c:pt idx="523">
                  <c:v>93.572029316352271</c:v>
                </c:pt>
                <c:pt idx="524">
                  <c:v>92.07016700708877</c:v>
                </c:pt>
                <c:pt idx="525">
                  <c:v>89.234650967199315</c:v>
                </c:pt>
                <c:pt idx="526">
                  <c:v>97.032320076895346</c:v>
                </c:pt>
                <c:pt idx="527">
                  <c:v>93.932476270575521</c:v>
                </c:pt>
                <c:pt idx="528">
                  <c:v>96.719932716568536</c:v>
                </c:pt>
                <c:pt idx="529">
                  <c:v>97.885377868557001</c:v>
                </c:pt>
                <c:pt idx="530">
                  <c:v>97.11642436621409</c:v>
                </c:pt>
                <c:pt idx="531">
                  <c:v>96.359485762345315</c:v>
                </c:pt>
                <c:pt idx="532">
                  <c:v>97.020305178421239</c:v>
                </c:pt>
                <c:pt idx="533">
                  <c:v>95.542472666105965</c:v>
                </c:pt>
                <c:pt idx="534">
                  <c:v>97.777243782290029</c:v>
                </c:pt>
                <c:pt idx="535">
                  <c:v>97.897392767031121</c:v>
                </c:pt>
                <c:pt idx="536">
                  <c:v>100.01201489847409</c:v>
                </c:pt>
                <c:pt idx="537">
                  <c:v>99.267091193079409</c:v>
                </c:pt>
                <c:pt idx="538">
                  <c:v>99.44731467019102</c:v>
                </c:pt>
                <c:pt idx="539">
                  <c:v>100.27634266490446</c:v>
                </c:pt>
                <c:pt idx="540">
                  <c:v>100.79298329929112</c:v>
                </c:pt>
                <c:pt idx="541">
                  <c:v>100.34843205574913</c:v>
                </c:pt>
                <c:pt idx="542">
                  <c:v>102.04253274059833</c:v>
                </c:pt>
                <c:pt idx="543">
                  <c:v>101.28559413672953</c:v>
                </c:pt>
                <c:pt idx="544">
                  <c:v>100.55268532980897</c:v>
                </c:pt>
                <c:pt idx="545">
                  <c:v>100</c:v>
                </c:pt>
                <c:pt idx="546">
                  <c:v>101.33365373062597</c:v>
                </c:pt>
                <c:pt idx="547">
                  <c:v>101.59798149705634</c:v>
                </c:pt>
                <c:pt idx="548">
                  <c:v>103.95290159798149</c:v>
                </c:pt>
                <c:pt idx="549">
                  <c:v>103.43626096359486</c:v>
                </c:pt>
                <c:pt idx="550">
                  <c:v>102.48708398414033</c:v>
                </c:pt>
                <c:pt idx="551">
                  <c:v>103.53238015138773</c:v>
                </c:pt>
                <c:pt idx="552">
                  <c:v>104.58969121710922</c:v>
                </c:pt>
                <c:pt idx="553">
                  <c:v>104.85401898353959</c:v>
                </c:pt>
                <c:pt idx="554">
                  <c:v>104.67379550642796</c:v>
                </c:pt>
                <c:pt idx="555">
                  <c:v>103.28006728343144</c:v>
                </c:pt>
                <c:pt idx="556">
                  <c:v>103.17193319716449</c:v>
                </c:pt>
                <c:pt idx="557">
                  <c:v>102.96767992310465</c:v>
                </c:pt>
                <c:pt idx="558">
                  <c:v>104.76991469422083</c:v>
                </c:pt>
                <c:pt idx="559">
                  <c:v>103.340141775802</c:v>
                </c:pt>
                <c:pt idx="560">
                  <c:v>103.72461852697343</c:v>
                </c:pt>
                <c:pt idx="561">
                  <c:v>103.73663342544755</c:v>
                </c:pt>
                <c:pt idx="562">
                  <c:v>104.34939324762705</c:v>
                </c:pt>
                <c:pt idx="563">
                  <c:v>105.41871921182265</c:v>
                </c:pt>
                <c:pt idx="564">
                  <c:v>105.81521086146822</c:v>
                </c:pt>
                <c:pt idx="565">
                  <c:v>105.1904361408146</c:v>
                </c:pt>
                <c:pt idx="566">
                  <c:v>105.46677880571909</c:v>
                </c:pt>
                <c:pt idx="567">
                  <c:v>106.17565781569145</c:v>
                </c:pt>
                <c:pt idx="568">
                  <c:v>106.83647723176739</c:v>
                </c:pt>
                <c:pt idx="569">
                  <c:v>105.7791661660459</c:v>
                </c:pt>
                <c:pt idx="570">
                  <c:v>106.22371740958786</c:v>
                </c:pt>
                <c:pt idx="571">
                  <c:v>104.98618286675476</c:v>
                </c:pt>
                <c:pt idx="572">
                  <c:v>105.87528535383876</c:v>
                </c:pt>
                <c:pt idx="573">
                  <c:v>104.84200408506548</c:v>
                </c:pt>
                <c:pt idx="574">
                  <c:v>104.54163162321279</c:v>
                </c:pt>
                <c:pt idx="575">
                  <c:v>103.83275261324042</c:v>
                </c:pt>
                <c:pt idx="576">
                  <c:v>104.45752733389402</c:v>
                </c:pt>
                <c:pt idx="577">
                  <c:v>105.32260002402978</c:v>
                </c:pt>
                <c:pt idx="578">
                  <c:v>104.31334855220472</c:v>
                </c:pt>
                <c:pt idx="579">
                  <c:v>105.46677880571909</c:v>
                </c:pt>
                <c:pt idx="580">
                  <c:v>105.59894268893429</c:v>
                </c:pt>
                <c:pt idx="581">
                  <c:v>105.50282350114142</c:v>
                </c:pt>
                <c:pt idx="582">
                  <c:v>108.23020545476389</c:v>
                </c:pt>
                <c:pt idx="583">
                  <c:v>109.85221674876848</c:v>
                </c:pt>
                <c:pt idx="584">
                  <c:v>109.78012735792382</c:v>
                </c:pt>
                <c:pt idx="585">
                  <c:v>108.72281629220232</c:v>
                </c:pt>
                <c:pt idx="586">
                  <c:v>109.61191877928631</c:v>
                </c:pt>
                <c:pt idx="587">
                  <c:v>110.27273819536225</c:v>
                </c:pt>
                <c:pt idx="588">
                  <c:v>110.86146822059352</c:v>
                </c:pt>
                <c:pt idx="589">
                  <c:v>109.96035083503544</c:v>
                </c:pt>
                <c:pt idx="590">
                  <c:v>109.34759101285594</c:v>
                </c:pt>
                <c:pt idx="591">
                  <c:v>107.10080499819776</c:v>
                </c:pt>
                <c:pt idx="592">
                  <c:v>107.38916256157634</c:v>
                </c:pt>
                <c:pt idx="593">
                  <c:v>108.14610116544516</c:v>
                </c:pt>
                <c:pt idx="594">
                  <c:v>108.39841403340141</c:v>
                </c:pt>
                <c:pt idx="595">
                  <c:v>108.95109936321039</c:v>
                </c:pt>
                <c:pt idx="596">
                  <c:v>110.45296167247388</c:v>
                </c:pt>
                <c:pt idx="597">
                  <c:v>110.8254235251712</c:v>
                </c:pt>
                <c:pt idx="598">
                  <c:v>109.68400817013098</c:v>
                </c:pt>
                <c:pt idx="599">
                  <c:v>110.98161720533462</c:v>
                </c:pt>
                <c:pt idx="600">
                  <c:v>109.37162080980416</c:v>
                </c:pt>
                <c:pt idx="601">
                  <c:v>108.95109936321039</c:v>
                </c:pt>
                <c:pt idx="602">
                  <c:v>106.75237294244862</c:v>
                </c:pt>
                <c:pt idx="603">
                  <c:v>105.40670431334856</c:v>
                </c:pt>
                <c:pt idx="604">
                  <c:v>104.19319956746365</c:v>
                </c:pt>
                <c:pt idx="605">
                  <c:v>105.57491289198606</c:v>
                </c:pt>
                <c:pt idx="606">
                  <c:v>106.31983659738073</c:v>
                </c:pt>
                <c:pt idx="607">
                  <c:v>105.16640634386638</c:v>
                </c:pt>
                <c:pt idx="608">
                  <c:v>105.62297248588249</c:v>
                </c:pt>
                <c:pt idx="609">
                  <c:v>106.15162801874322</c:v>
                </c:pt>
                <c:pt idx="610">
                  <c:v>105.91133004926108</c:v>
                </c:pt>
                <c:pt idx="611">
                  <c:v>107.29304337378349</c:v>
                </c:pt>
                <c:pt idx="612">
                  <c:v>109.31154631743362</c:v>
                </c:pt>
                <c:pt idx="613">
                  <c:v>108.17013096239336</c:v>
                </c:pt>
                <c:pt idx="614">
                  <c:v>108.17013096239336</c:v>
                </c:pt>
                <c:pt idx="615">
                  <c:v>107.54535624173975</c:v>
                </c:pt>
                <c:pt idx="616">
                  <c:v>108.19416075934159</c:v>
                </c:pt>
                <c:pt idx="617">
                  <c:v>108.27826504866034</c:v>
                </c:pt>
                <c:pt idx="618">
                  <c:v>108.60266730746125</c:v>
                </c:pt>
                <c:pt idx="619">
                  <c:v>110.75333413432658</c:v>
                </c:pt>
                <c:pt idx="620">
                  <c:v>110.14057431214705</c:v>
                </c:pt>
                <c:pt idx="621">
                  <c:v>110.44094677399976</c:v>
                </c:pt>
                <c:pt idx="622">
                  <c:v>110.71728943890425</c:v>
                </c:pt>
                <c:pt idx="623">
                  <c:v>110.71728943890425</c:v>
                </c:pt>
                <c:pt idx="624">
                  <c:v>110.87348311906764</c:v>
                </c:pt>
                <c:pt idx="625">
                  <c:v>110.04445512435419</c:v>
                </c:pt>
                <c:pt idx="626">
                  <c:v>109.29953141895949</c:v>
                </c:pt>
                <c:pt idx="627">
                  <c:v>109.72005286555327</c:v>
                </c:pt>
                <c:pt idx="628">
                  <c:v>110.48900636789618</c:v>
                </c:pt>
                <c:pt idx="629">
                  <c:v>110.58512555568905</c:v>
                </c:pt>
                <c:pt idx="630">
                  <c:v>108.78289078457288</c:v>
                </c:pt>
                <c:pt idx="631">
                  <c:v>108.98714405863271</c:v>
                </c:pt>
                <c:pt idx="632">
                  <c:v>111.26997476871321</c:v>
                </c:pt>
                <c:pt idx="633">
                  <c:v>110.15258921062116</c:v>
                </c:pt>
                <c:pt idx="634">
                  <c:v>109.26348672353718</c:v>
                </c:pt>
                <c:pt idx="635">
                  <c:v>108.92706956626215</c:v>
                </c:pt>
                <c:pt idx="636">
                  <c:v>109.17938243421843</c:v>
                </c:pt>
                <c:pt idx="637">
                  <c:v>109.17938243421843</c:v>
                </c:pt>
                <c:pt idx="638">
                  <c:v>109.13132284032199</c:v>
                </c:pt>
                <c:pt idx="639">
                  <c:v>108.57863751051305</c:v>
                </c:pt>
                <c:pt idx="640">
                  <c:v>108.23020545476389</c:v>
                </c:pt>
                <c:pt idx="641">
                  <c:v>106.90856662261203</c:v>
                </c:pt>
                <c:pt idx="642">
                  <c:v>105.51483839961551</c:v>
                </c:pt>
                <c:pt idx="643">
                  <c:v>106.74035804397452</c:v>
                </c:pt>
                <c:pt idx="644">
                  <c:v>107.14886459209421</c:v>
                </c:pt>
                <c:pt idx="645">
                  <c:v>107.67752012495495</c:v>
                </c:pt>
                <c:pt idx="646">
                  <c:v>106.54811966838879</c:v>
                </c:pt>
                <c:pt idx="647">
                  <c:v>107.78565421122191</c:v>
                </c:pt>
                <c:pt idx="648">
                  <c:v>107.96587768833352</c:v>
                </c:pt>
                <c:pt idx="649">
                  <c:v>107.86975850054066</c:v>
                </c:pt>
                <c:pt idx="650">
                  <c:v>107.43722215547278</c:v>
                </c:pt>
                <c:pt idx="651">
                  <c:v>108.01393728222996</c:v>
                </c:pt>
                <c:pt idx="652">
                  <c:v>106.53610476991469</c:v>
                </c:pt>
                <c:pt idx="653">
                  <c:v>104.34939324762705</c:v>
                </c:pt>
                <c:pt idx="654">
                  <c:v>106.00744923705395</c:v>
                </c:pt>
                <c:pt idx="655">
                  <c:v>107.06476030277543</c:v>
                </c:pt>
                <c:pt idx="656">
                  <c:v>106.58416436381111</c:v>
                </c:pt>
                <c:pt idx="657">
                  <c:v>105.79118106451999</c:v>
                </c:pt>
                <c:pt idx="658">
                  <c:v>105.58692779046015</c:v>
                </c:pt>
                <c:pt idx="659">
                  <c:v>106.8484921302415</c:v>
                </c:pt>
                <c:pt idx="660">
                  <c:v>106.43998558212182</c:v>
                </c:pt>
                <c:pt idx="661">
                  <c:v>106.11558332332089</c:v>
                </c:pt>
                <c:pt idx="662">
                  <c:v>107.38916256157634</c:v>
                </c:pt>
                <c:pt idx="663">
                  <c:v>106.94461131803436</c:v>
                </c:pt>
                <c:pt idx="664">
                  <c:v>106.89655172413792</c:v>
                </c:pt>
                <c:pt idx="665">
                  <c:v>107.04073050582723</c:v>
                </c:pt>
                <c:pt idx="666">
                  <c:v>104.93812327285835</c:v>
                </c:pt>
                <c:pt idx="667">
                  <c:v>103.53238015138773</c:v>
                </c:pt>
                <c:pt idx="668">
                  <c:v>102.93163522768232</c:v>
                </c:pt>
                <c:pt idx="669">
                  <c:v>102.2948456085546</c:v>
                </c:pt>
                <c:pt idx="670">
                  <c:v>101.79021987264207</c:v>
                </c:pt>
                <c:pt idx="671">
                  <c:v>102.39096479634746</c:v>
                </c:pt>
                <c:pt idx="672">
                  <c:v>101.88633906043493</c:v>
                </c:pt>
                <c:pt idx="673">
                  <c:v>103.11185870479393</c:v>
                </c:pt>
                <c:pt idx="674">
                  <c:v>104.08506548119666</c:v>
                </c:pt>
                <c:pt idx="675">
                  <c:v>105.16640634386638</c:v>
                </c:pt>
                <c:pt idx="676">
                  <c:v>105.91133004926108</c:v>
                </c:pt>
                <c:pt idx="677">
                  <c:v>105.2144659377628</c:v>
                </c:pt>
                <c:pt idx="678">
                  <c:v>104.25327405983418</c:v>
                </c:pt>
                <c:pt idx="679">
                  <c:v>102.66730746125194</c:v>
                </c:pt>
                <c:pt idx="680">
                  <c:v>102.7514117505707</c:v>
                </c:pt>
                <c:pt idx="681">
                  <c:v>103.01573951700107</c:v>
                </c:pt>
                <c:pt idx="682">
                  <c:v>101.47783251231526</c:v>
                </c:pt>
                <c:pt idx="683">
                  <c:v>103.74864832392166</c:v>
                </c:pt>
                <c:pt idx="684">
                  <c:v>103.95290159798149</c:v>
                </c:pt>
                <c:pt idx="685">
                  <c:v>105.50282350114142</c:v>
                </c:pt>
                <c:pt idx="686">
                  <c:v>106.80043253634506</c:v>
                </c:pt>
                <c:pt idx="687">
                  <c:v>107.41319235852458</c:v>
                </c:pt>
                <c:pt idx="688">
                  <c:v>107.14886459209421</c:v>
                </c:pt>
                <c:pt idx="689">
                  <c:v>106.17565781569145</c:v>
                </c:pt>
                <c:pt idx="690">
                  <c:v>106.92058152108615</c:v>
                </c:pt>
                <c:pt idx="691">
                  <c:v>106.29580680043253</c:v>
                </c:pt>
                <c:pt idx="692">
                  <c:v>105.94737474468342</c:v>
                </c:pt>
                <c:pt idx="693">
                  <c:v>104.48155713084223</c:v>
                </c:pt>
                <c:pt idx="694">
                  <c:v>104.26528895830829</c:v>
                </c:pt>
                <c:pt idx="695">
                  <c:v>106.30782169890665</c:v>
                </c:pt>
                <c:pt idx="696">
                  <c:v>108.42244383034962</c:v>
                </c:pt>
                <c:pt idx="697">
                  <c:v>108.49453322119427</c:v>
                </c:pt>
                <c:pt idx="698">
                  <c:v>108.42244383034962</c:v>
                </c:pt>
                <c:pt idx="699">
                  <c:v>108.13408626697102</c:v>
                </c:pt>
                <c:pt idx="700">
                  <c:v>108.59065240898713</c:v>
                </c:pt>
                <c:pt idx="701">
                  <c:v>108.54259281509071</c:v>
                </c:pt>
                <c:pt idx="702">
                  <c:v>109.02318875405501</c:v>
                </c:pt>
                <c:pt idx="703">
                  <c:v>109.74408266250151</c:v>
                </c:pt>
                <c:pt idx="704">
                  <c:v>109.93632103808721</c:v>
                </c:pt>
                <c:pt idx="705">
                  <c:v>110.15258921062116</c:v>
                </c:pt>
                <c:pt idx="706">
                  <c:v>110.80139372822299</c:v>
                </c:pt>
                <c:pt idx="707">
                  <c:v>109.91229124113902</c:v>
                </c:pt>
                <c:pt idx="708">
                  <c:v>109.88826144419079</c:v>
                </c:pt>
                <c:pt idx="709">
                  <c:v>108.97512916015859</c:v>
                </c:pt>
                <c:pt idx="710">
                  <c:v>110.8254235251712</c:v>
                </c:pt>
                <c:pt idx="711">
                  <c:v>111.93079418478914</c:v>
                </c:pt>
                <c:pt idx="712">
                  <c:v>114.141535504025</c:v>
                </c:pt>
                <c:pt idx="713">
                  <c:v>112.17109215427131</c:v>
                </c:pt>
                <c:pt idx="714">
                  <c:v>114.141535504025</c:v>
                </c:pt>
                <c:pt idx="715">
                  <c:v>115.96780007208937</c:v>
                </c:pt>
                <c:pt idx="716">
                  <c:v>116.59257479274301</c:v>
                </c:pt>
                <c:pt idx="717">
                  <c:v>117.09720052865551</c:v>
                </c:pt>
                <c:pt idx="718">
                  <c:v>117.14526012255195</c:v>
                </c:pt>
                <c:pt idx="719">
                  <c:v>117.6498858584645</c:v>
                </c:pt>
                <c:pt idx="720">
                  <c:v>116.97705154391444</c:v>
                </c:pt>
                <c:pt idx="721">
                  <c:v>115.79959149345187</c:v>
                </c:pt>
                <c:pt idx="722">
                  <c:v>118.32272017301453</c:v>
                </c:pt>
                <c:pt idx="723">
                  <c:v>118.99555448756458</c:v>
                </c:pt>
                <c:pt idx="724">
                  <c:v>120.0768953502343</c:v>
                </c:pt>
                <c:pt idx="725">
                  <c:v>120.22107413192357</c:v>
                </c:pt>
                <c:pt idx="726">
                  <c:v>120.10092514718249</c:v>
                </c:pt>
                <c:pt idx="727">
                  <c:v>120.02883575633787</c:v>
                </c:pt>
                <c:pt idx="728">
                  <c:v>120.14898474107893</c:v>
                </c:pt>
                <c:pt idx="729">
                  <c:v>118.3948095638592</c:v>
                </c:pt>
                <c:pt idx="730">
                  <c:v>119.30794184789137</c:v>
                </c:pt>
                <c:pt idx="731">
                  <c:v>121.83107052745406</c:v>
                </c:pt>
                <c:pt idx="732">
                  <c:v>124.69061636429171</c:v>
                </c:pt>
                <c:pt idx="733">
                  <c:v>121.35047458848973</c:v>
                </c:pt>
                <c:pt idx="734">
                  <c:v>123.7774840802595</c:v>
                </c:pt>
                <c:pt idx="735">
                  <c:v>125.38748047578999</c:v>
                </c:pt>
                <c:pt idx="736">
                  <c:v>127.14165565300972</c:v>
                </c:pt>
                <c:pt idx="737">
                  <c:v>128.84777123633305</c:v>
                </c:pt>
                <c:pt idx="738">
                  <c:v>126.94941727742399</c:v>
                </c:pt>
                <c:pt idx="739">
                  <c:v>128.10284753093836</c:v>
                </c:pt>
                <c:pt idx="740">
                  <c:v>126.63702991709719</c:v>
                </c:pt>
                <c:pt idx="741">
                  <c:v>127.40598341944012</c:v>
                </c:pt>
                <c:pt idx="742">
                  <c:v>126.94941727742399</c:v>
                </c:pt>
                <c:pt idx="743">
                  <c:v>127.26180463775081</c:v>
                </c:pt>
                <c:pt idx="744">
                  <c:v>127.26180463775081</c:v>
                </c:pt>
                <c:pt idx="745">
                  <c:v>128.22299651567943</c:v>
                </c:pt>
                <c:pt idx="746">
                  <c:v>127.50210260723296</c:v>
                </c:pt>
                <c:pt idx="747">
                  <c:v>127.35792382554368</c:v>
                </c:pt>
                <c:pt idx="748">
                  <c:v>128.34314550042049</c:v>
                </c:pt>
                <c:pt idx="749">
                  <c:v>127.95866874924906</c:v>
                </c:pt>
                <c:pt idx="750">
                  <c:v>124.81076534903279</c:v>
                </c:pt>
                <c:pt idx="751">
                  <c:v>124.76270575513637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2D-1D45-8DD9-FD68D2443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300256"/>
        <c:axId val="1905233520"/>
      </c:lineChart>
      <c:dateAx>
        <c:axId val="1014300256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VN"/>
          </a:p>
        </c:txPr>
        <c:crossAx val="1905233520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190523352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VN"/>
          </a:p>
        </c:txPr>
        <c:crossAx val="1014300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Price vs EMA200 vs EMA50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Share_Price_Analysis'!$C$63</c:f>
              <c:strCache>
                <c:ptCount val="1"/>
                <c:pt idx="0">
                  <c:v>VMC Adj Close</c:v>
                </c:pt>
              </c:strCache>
            </c:strRef>
          </c:tx>
          <c:spPr>
            <a:ln w="28575" cap="rnd">
              <a:solidFill>
                <a:srgbClr val="334BFF"/>
              </a:solidFill>
              <a:prstDash val="solid"/>
              <a:round/>
            </a:ln>
          </c:spPr>
          <c:marker>
            <c:symbol val="none"/>
          </c:marke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Share_Price_Analysis'!$C$64:$C$815</c:f>
              <c:numCache>
                <c:formatCode>\$#,##0.00</c:formatCode>
                <c:ptCount val="752"/>
                <c:pt idx="0">
                  <c:v>179.79</c:v>
                </c:pt>
                <c:pt idx="1">
                  <c:v>177.23</c:v>
                </c:pt>
                <c:pt idx="2">
                  <c:v>178.92</c:v>
                </c:pt>
                <c:pt idx="3">
                  <c:v>174.07</c:v>
                </c:pt>
                <c:pt idx="4">
                  <c:v>169.29</c:v>
                </c:pt>
                <c:pt idx="5">
                  <c:v>165.98</c:v>
                </c:pt>
                <c:pt idx="6">
                  <c:v>167.51</c:v>
                </c:pt>
                <c:pt idx="7">
                  <c:v>162.81</c:v>
                </c:pt>
                <c:pt idx="8">
                  <c:v>166.21</c:v>
                </c:pt>
                <c:pt idx="9">
                  <c:v>161.02000000000001</c:v>
                </c:pt>
                <c:pt idx="10">
                  <c:v>163.27000000000001</c:v>
                </c:pt>
                <c:pt idx="11">
                  <c:v>166.14</c:v>
                </c:pt>
                <c:pt idx="12">
                  <c:v>163.71</c:v>
                </c:pt>
                <c:pt idx="13">
                  <c:v>164.5</c:v>
                </c:pt>
                <c:pt idx="14">
                  <c:v>166.2</c:v>
                </c:pt>
                <c:pt idx="15">
                  <c:v>165.8</c:v>
                </c:pt>
                <c:pt idx="16">
                  <c:v>168.04</c:v>
                </c:pt>
                <c:pt idx="17">
                  <c:v>169.99</c:v>
                </c:pt>
                <c:pt idx="18">
                  <c:v>170.14</c:v>
                </c:pt>
                <c:pt idx="19">
                  <c:v>171.56</c:v>
                </c:pt>
                <c:pt idx="20">
                  <c:v>172.93</c:v>
                </c:pt>
                <c:pt idx="21">
                  <c:v>168.86</c:v>
                </c:pt>
                <c:pt idx="22">
                  <c:v>164.06</c:v>
                </c:pt>
                <c:pt idx="23">
                  <c:v>164.93</c:v>
                </c:pt>
                <c:pt idx="24">
                  <c:v>166.01</c:v>
                </c:pt>
                <c:pt idx="25">
                  <c:v>166.57</c:v>
                </c:pt>
                <c:pt idx="26">
                  <c:v>167.32</c:v>
                </c:pt>
                <c:pt idx="27">
                  <c:v>169.46</c:v>
                </c:pt>
                <c:pt idx="28">
                  <c:v>169.08</c:v>
                </c:pt>
                <c:pt idx="29">
                  <c:v>171.88</c:v>
                </c:pt>
                <c:pt idx="30">
                  <c:v>172.36</c:v>
                </c:pt>
                <c:pt idx="31">
                  <c:v>173.54</c:v>
                </c:pt>
                <c:pt idx="32">
                  <c:v>172.44</c:v>
                </c:pt>
                <c:pt idx="33">
                  <c:v>171.14</c:v>
                </c:pt>
                <c:pt idx="34">
                  <c:v>171.41</c:v>
                </c:pt>
                <c:pt idx="35">
                  <c:v>169.67</c:v>
                </c:pt>
                <c:pt idx="36">
                  <c:v>166.65</c:v>
                </c:pt>
                <c:pt idx="37">
                  <c:v>172.98</c:v>
                </c:pt>
                <c:pt idx="38">
                  <c:v>175.12</c:v>
                </c:pt>
                <c:pt idx="39">
                  <c:v>177.51</c:v>
                </c:pt>
                <c:pt idx="40">
                  <c:v>179.27</c:v>
                </c:pt>
                <c:pt idx="41">
                  <c:v>178.62</c:v>
                </c:pt>
                <c:pt idx="42">
                  <c:v>190.23</c:v>
                </c:pt>
                <c:pt idx="43">
                  <c:v>193.57</c:v>
                </c:pt>
                <c:pt idx="44">
                  <c:v>192.83</c:v>
                </c:pt>
                <c:pt idx="45">
                  <c:v>193.11</c:v>
                </c:pt>
                <c:pt idx="46">
                  <c:v>196.09</c:v>
                </c:pt>
                <c:pt idx="47">
                  <c:v>194.83</c:v>
                </c:pt>
                <c:pt idx="48">
                  <c:v>195.38</c:v>
                </c:pt>
                <c:pt idx="49">
                  <c:v>196.17</c:v>
                </c:pt>
                <c:pt idx="50">
                  <c:v>195.01</c:v>
                </c:pt>
                <c:pt idx="51">
                  <c:v>196.51</c:v>
                </c:pt>
                <c:pt idx="52">
                  <c:v>196.41</c:v>
                </c:pt>
                <c:pt idx="53">
                  <c:v>197.22</c:v>
                </c:pt>
                <c:pt idx="54">
                  <c:v>197.26</c:v>
                </c:pt>
                <c:pt idx="55">
                  <c:v>195.2</c:v>
                </c:pt>
                <c:pt idx="56">
                  <c:v>194.1</c:v>
                </c:pt>
                <c:pt idx="57">
                  <c:v>195.1</c:v>
                </c:pt>
                <c:pt idx="58">
                  <c:v>196</c:v>
                </c:pt>
                <c:pt idx="59">
                  <c:v>196.05</c:v>
                </c:pt>
                <c:pt idx="60">
                  <c:v>195.5</c:v>
                </c:pt>
                <c:pt idx="61">
                  <c:v>198.8</c:v>
                </c:pt>
                <c:pt idx="62">
                  <c:v>202.73</c:v>
                </c:pt>
                <c:pt idx="63">
                  <c:v>202.24</c:v>
                </c:pt>
                <c:pt idx="64">
                  <c:v>203.12</c:v>
                </c:pt>
                <c:pt idx="65">
                  <c:v>204.99</c:v>
                </c:pt>
                <c:pt idx="66">
                  <c:v>206.18</c:v>
                </c:pt>
                <c:pt idx="67">
                  <c:v>206.64</c:v>
                </c:pt>
                <c:pt idx="68">
                  <c:v>205.89</c:v>
                </c:pt>
                <c:pt idx="69">
                  <c:v>207.7</c:v>
                </c:pt>
                <c:pt idx="70">
                  <c:v>207.39</c:v>
                </c:pt>
                <c:pt idx="71">
                  <c:v>208.94</c:v>
                </c:pt>
                <c:pt idx="72">
                  <c:v>207.31</c:v>
                </c:pt>
                <c:pt idx="73">
                  <c:v>208.68</c:v>
                </c:pt>
                <c:pt idx="74">
                  <c:v>210.57</c:v>
                </c:pt>
                <c:pt idx="75">
                  <c:v>213.45</c:v>
                </c:pt>
                <c:pt idx="76">
                  <c:v>214.43</c:v>
                </c:pt>
                <c:pt idx="77">
                  <c:v>214.77</c:v>
                </c:pt>
                <c:pt idx="78">
                  <c:v>220.42</c:v>
                </c:pt>
                <c:pt idx="79">
                  <c:v>220.86</c:v>
                </c:pt>
                <c:pt idx="80">
                  <c:v>224.84</c:v>
                </c:pt>
                <c:pt idx="81">
                  <c:v>225.44</c:v>
                </c:pt>
                <c:pt idx="82">
                  <c:v>223.34</c:v>
                </c:pt>
                <c:pt idx="83">
                  <c:v>220.63</c:v>
                </c:pt>
                <c:pt idx="84">
                  <c:v>217.99</c:v>
                </c:pt>
                <c:pt idx="85">
                  <c:v>217.38</c:v>
                </c:pt>
                <c:pt idx="86">
                  <c:v>219.39</c:v>
                </c:pt>
                <c:pt idx="87">
                  <c:v>223.61</c:v>
                </c:pt>
                <c:pt idx="88">
                  <c:v>220.28</c:v>
                </c:pt>
                <c:pt idx="89">
                  <c:v>223.36</c:v>
                </c:pt>
                <c:pt idx="90">
                  <c:v>224.75</c:v>
                </c:pt>
                <c:pt idx="91">
                  <c:v>223.71</c:v>
                </c:pt>
                <c:pt idx="92">
                  <c:v>223.9</c:v>
                </c:pt>
                <c:pt idx="93">
                  <c:v>221.34</c:v>
                </c:pt>
                <c:pt idx="94">
                  <c:v>221.63</c:v>
                </c:pt>
                <c:pt idx="95">
                  <c:v>222.3</c:v>
                </c:pt>
                <c:pt idx="96">
                  <c:v>222.6</c:v>
                </c:pt>
                <c:pt idx="97">
                  <c:v>222.25</c:v>
                </c:pt>
                <c:pt idx="98">
                  <c:v>223.46</c:v>
                </c:pt>
                <c:pt idx="99">
                  <c:v>218.29</c:v>
                </c:pt>
                <c:pt idx="100">
                  <c:v>220.19</c:v>
                </c:pt>
                <c:pt idx="101">
                  <c:v>220.5</c:v>
                </c:pt>
                <c:pt idx="102">
                  <c:v>223.97</c:v>
                </c:pt>
                <c:pt idx="103">
                  <c:v>223.08</c:v>
                </c:pt>
                <c:pt idx="104">
                  <c:v>226.19</c:v>
                </c:pt>
                <c:pt idx="105">
                  <c:v>226</c:v>
                </c:pt>
                <c:pt idx="106">
                  <c:v>228.72</c:v>
                </c:pt>
                <c:pt idx="107">
                  <c:v>226.84</c:v>
                </c:pt>
                <c:pt idx="108">
                  <c:v>223.38</c:v>
                </c:pt>
                <c:pt idx="109">
                  <c:v>224.31</c:v>
                </c:pt>
                <c:pt idx="110">
                  <c:v>223.92</c:v>
                </c:pt>
                <c:pt idx="111">
                  <c:v>225.13</c:v>
                </c:pt>
                <c:pt idx="112">
                  <c:v>224.14</c:v>
                </c:pt>
                <c:pt idx="113">
                  <c:v>222.5</c:v>
                </c:pt>
                <c:pt idx="114">
                  <c:v>213.33</c:v>
                </c:pt>
                <c:pt idx="115">
                  <c:v>211.8</c:v>
                </c:pt>
                <c:pt idx="116">
                  <c:v>212.57</c:v>
                </c:pt>
                <c:pt idx="117">
                  <c:v>214.58</c:v>
                </c:pt>
                <c:pt idx="118">
                  <c:v>217.06</c:v>
                </c:pt>
                <c:pt idx="119">
                  <c:v>214.98</c:v>
                </c:pt>
                <c:pt idx="120">
                  <c:v>214.83</c:v>
                </c:pt>
                <c:pt idx="121">
                  <c:v>215.11</c:v>
                </c:pt>
                <c:pt idx="122">
                  <c:v>218.59</c:v>
                </c:pt>
                <c:pt idx="123">
                  <c:v>218.24</c:v>
                </c:pt>
                <c:pt idx="124">
                  <c:v>218.25</c:v>
                </c:pt>
                <c:pt idx="125">
                  <c:v>222.92</c:v>
                </c:pt>
                <c:pt idx="126">
                  <c:v>216.24</c:v>
                </c:pt>
                <c:pt idx="127">
                  <c:v>215.2</c:v>
                </c:pt>
                <c:pt idx="128">
                  <c:v>215.56</c:v>
                </c:pt>
                <c:pt idx="129">
                  <c:v>216.25</c:v>
                </c:pt>
                <c:pt idx="130">
                  <c:v>216.59</c:v>
                </c:pt>
                <c:pt idx="131">
                  <c:v>214.77</c:v>
                </c:pt>
                <c:pt idx="132">
                  <c:v>213.74</c:v>
                </c:pt>
                <c:pt idx="133">
                  <c:v>214.97</c:v>
                </c:pt>
                <c:pt idx="134">
                  <c:v>210.59</c:v>
                </c:pt>
                <c:pt idx="135">
                  <c:v>211.69</c:v>
                </c:pt>
                <c:pt idx="136">
                  <c:v>209.88</c:v>
                </c:pt>
                <c:pt idx="137">
                  <c:v>209.55</c:v>
                </c:pt>
                <c:pt idx="138">
                  <c:v>202.35</c:v>
                </c:pt>
                <c:pt idx="139">
                  <c:v>200.62</c:v>
                </c:pt>
                <c:pt idx="140">
                  <c:v>202.04</c:v>
                </c:pt>
                <c:pt idx="141">
                  <c:v>201.35</c:v>
                </c:pt>
                <c:pt idx="142">
                  <c:v>203.6</c:v>
                </c:pt>
                <c:pt idx="143">
                  <c:v>205.03</c:v>
                </c:pt>
                <c:pt idx="144">
                  <c:v>202.02</c:v>
                </c:pt>
                <c:pt idx="145">
                  <c:v>200.93</c:v>
                </c:pt>
                <c:pt idx="146">
                  <c:v>199.99</c:v>
                </c:pt>
                <c:pt idx="147">
                  <c:v>205.03</c:v>
                </c:pt>
                <c:pt idx="148">
                  <c:v>206.95</c:v>
                </c:pt>
                <c:pt idx="149">
                  <c:v>212.4</c:v>
                </c:pt>
                <c:pt idx="150">
                  <c:v>210.25</c:v>
                </c:pt>
                <c:pt idx="151">
                  <c:v>211</c:v>
                </c:pt>
                <c:pt idx="152">
                  <c:v>214.76</c:v>
                </c:pt>
                <c:pt idx="153">
                  <c:v>210.63</c:v>
                </c:pt>
                <c:pt idx="154">
                  <c:v>209.29</c:v>
                </c:pt>
                <c:pt idx="155">
                  <c:v>213.04</c:v>
                </c:pt>
                <c:pt idx="156">
                  <c:v>214.79</c:v>
                </c:pt>
                <c:pt idx="157">
                  <c:v>203.74</c:v>
                </c:pt>
                <c:pt idx="158">
                  <c:v>202.69</c:v>
                </c:pt>
                <c:pt idx="159">
                  <c:v>201.55</c:v>
                </c:pt>
                <c:pt idx="160">
                  <c:v>202.5</c:v>
                </c:pt>
                <c:pt idx="161">
                  <c:v>205.15</c:v>
                </c:pt>
                <c:pt idx="162">
                  <c:v>203.37</c:v>
                </c:pt>
                <c:pt idx="163">
                  <c:v>193.97</c:v>
                </c:pt>
                <c:pt idx="164">
                  <c:v>193.69</c:v>
                </c:pt>
                <c:pt idx="165">
                  <c:v>195.99</c:v>
                </c:pt>
                <c:pt idx="166">
                  <c:v>196.49</c:v>
                </c:pt>
                <c:pt idx="167">
                  <c:v>203.8</c:v>
                </c:pt>
                <c:pt idx="168">
                  <c:v>206.82</c:v>
                </c:pt>
                <c:pt idx="169">
                  <c:v>207.78</c:v>
                </c:pt>
                <c:pt idx="170">
                  <c:v>207.14</c:v>
                </c:pt>
                <c:pt idx="171">
                  <c:v>207.21</c:v>
                </c:pt>
                <c:pt idx="172">
                  <c:v>208.43</c:v>
                </c:pt>
                <c:pt idx="173">
                  <c:v>209.23</c:v>
                </c:pt>
                <c:pt idx="174">
                  <c:v>211.66</c:v>
                </c:pt>
                <c:pt idx="175">
                  <c:v>210.49</c:v>
                </c:pt>
                <c:pt idx="176">
                  <c:v>216.54</c:v>
                </c:pt>
                <c:pt idx="177">
                  <c:v>210.87</c:v>
                </c:pt>
                <c:pt idx="178">
                  <c:v>212.27</c:v>
                </c:pt>
                <c:pt idx="179">
                  <c:v>212.35</c:v>
                </c:pt>
                <c:pt idx="180">
                  <c:v>210.38</c:v>
                </c:pt>
                <c:pt idx="181">
                  <c:v>209.84</c:v>
                </c:pt>
                <c:pt idx="182">
                  <c:v>211.9</c:v>
                </c:pt>
                <c:pt idx="183">
                  <c:v>211.68</c:v>
                </c:pt>
                <c:pt idx="184">
                  <c:v>212.85</c:v>
                </c:pt>
                <c:pt idx="185">
                  <c:v>211.16</c:v>
                </c:pt>
                <c:pt idx="186">
                  <c:v>212.68</c:v>
                </c:pt>
                <c:pt idx="187">
                  <c:v>213.56</c:v>
                </c:pt>
                <c:pt idx="188">
                  <c:v>215.63</c:v>
                </c:pt>
                <c:pt idx="189">
                  <c:v>214.8</c:v>
                </c:pt>
                <c:pt idx="190">
                  <c:v>212.02</c:v>
                </c:pt>
                <c:pt idx="191">
                  <c:v>211.93</c:v>
                </c:pt>
                <c:pt idx="192">
                  <c:v>214.17</c:v>
                </c:pt>
                <c:pt idx="193">
                  <c:v>216.03</c:v>
                </c:pt>
                <c:pt idx="194">
                  <c:v>218.86</c:v>
                </c:pt>
                <c:pt idx="195">
                  <c:v>220.9</c:v>
                </c:pt>
                <c:pt idx="196">
                  <c:v>223.67</c:v>
                </c:pt>
                <c:pt idx="197">
                  <c:v>224.76</c:v>
                </c:pt>
                <c:pt idx="198">
                  <c:v>224.35</c:v>
                </c:pt>
                <c:pt idx="199">
                  <c:v>222.7</c:v>
                </c:pt>
                <c:pt idx="200">
                  <c:v>224.69</c:v>
                </c:pt>
                <c:pt idx="201">
                  <c:v>221.18</c:v>
                </c:pt>
                <c:pt idx="202">
                  <c:v>223.28</c:v>
                </c:pt>
                <c:pt idx="203">
                  <c:v>224.93</c:v>
                </c:pt>
                <c:pt idx="204">
                  <c:v>225.65</c:v>
                </c:pt>
                <c:pt idx="205">
                  <c:v>225.82</c:v>
                </c:pt>
                <c:pt idx="206">
                  <c:v>225.44</c:v>
                </c:pt>
                <c:pt idx="207">
                  <c:v>227.01</c:v>
                </c:pt>
                <c:pt idx="208">
                  <c:v>223.6</c:v>
                </c:pt>
                <c:pt idx="209">
                  <c:v>219.33</c:v>
                </c:pt>
                <c:pt idx="210">
                  <c:v>220.68</c:v>
                </c:pt>
                <c:pt idx="211">
                  <c:v>221.62</c:v>
                </c:pt>
                <c:pt idx="212">
                  <c:v>224</c:v>
                </c:pt>
                <c:pt idx="213">
                  <c:v>223.42</c:v>
                </c:pt>
                <c:pt idx="214">
                  <c:v>226.11</c:v>
                </c:pt>
                <c:pt idx="215">
                  <c:v>224.36</c:v>
                </c:pt>
                <c:pt idx="216">
                  <c:v>223.96</c:v>
                </c:pt>
                <c:pt idx="217">
                  <c:v>222.38</c:v>
                </c:pt>
                <c:pt idx="218">
                  <c:v>221.26</c:v>
                </c:pt>
                <c:pt idx="219">
                  <c:v>225.12</c:v>
                </c:pt>
                <c:pt idx="220">
                  <c:v>226.08</c:v>
                </c:pt>
                <c:pt idx="221">
                  <c:v>227.28</c:v>
                </c:pt>
                <c:pt idx="222">
                  <c:v>222.8</c:v>
                </c:pt>
                <c:pt idx="223">
                  <c:v>219.8</c:v>
                </c:pt>
                <c:pt idx="224">
                  <c:v>223.41</c:v>
                </c:pt>
                <c:pt idx="225">
                  <c:v>222.36</c:v>
                </c:pt>
                <c:pt idx="226">
                  <c:v>229.37</c:v>
                </c:pt>
                <c:pt idx="227">
                  <c:v>231.05</c:v>
                </c:pt>
                <c:pt idx="228">
                  <c:v>226.01</c:v>
                </c:pt>
                <c:pt idx="229">
                  <c:v>230.36</c:v>
                </c:pt>
                <c:pt idx="230">
                  <c:v>234.44</c:v>
                </c:pt>
                <c:pt idx="231">
                  <c:v>229.65</c:v>
                </c:pt>
                <c:pt idx="232">
                  <c:v>231.58</c:v>
                </c:pt>
                <c:pt idx="233">
                  <c:v>236.52</c:v>
                </c:pt>
                <c:pt idx="234">
                  <c:v>238.44</c:v>
                </c:pt>
                <c:pt idx="235">
                  <c:v>240</c:v>
                </c:pt>
                <c:pt idx="236">
                  <c:v>240.13</c:v>
                </c:pt>
                <c:pt idx="237">
                  <c:v>237.12</c:v>
                </c:pt>
                <c:pt idx="238">
                  <c:v>241.1</c:v>
                </c:pt>
                <c:pt idx="239">
                  <c:v>242.46</c:v>
                </c:pt>
                <c:pt idx="240">
                  <c:v>255.15</c:v>
                </c:pt>
                <c:pt idx="241">
                  <c:v>251.38</c:v>
                </c:pt>
                <c:pt idx="242">
                  <c:v>253.43</c:v>
                </c:pt>
                <c:pt idx="243">
                  <c:v>256.94</c:v>
                </c:pt>
                <c:pt idx="244">
                  <c:v>257.23</c:v>
                </c:pt>
                <c:pt idx="245">
                  <c:v>261.08</c:v>
                </c:pt>
                <c:pt idx="246">
                  <c:v>263.56</c:v>
                </c:pt>
                <c:pt idx="247">
                  <c:v>262.3</c:v>
                </c:pt>
                <c:pt idx="248">
                  <c:v>265.85000000000002</c:v>
                </c:pt>
                <c:pt idx="249">
                  <c:v>267.43</c:v>
                </c:pt>
                <c:pt idx="250">
                  <c:v>267.85000000000002</c:v>
                </c:pt>
                <c:pt idx="251">
                  <c:v>264.98</c:v>
                </c:pt>
                <c:pt idx="252">
                  <c:v>267.33999999999997</c:v>
                </c:pt>
                <c:pt idx="253">
                  <c:v>271.17</c:v>
                </c:pt>
                <c:pt idx="254">
                  <c:v>266.7</c:v>
                </c:pt>
                <c:pt idx="255">
                  <c:v>264.95</c:v>
                </c:pt>
                <c:pt idx="256">
                  <c:v>269.58</c:v>
                </c:pt>
                <c:pt idx="257">
                  <c:v>269.32</c:v>
                </c:pt>
                <c:pt idx="258">
                  <c:v>270.73</c:v>
                </c:pt>
                <c:pt idx="259">
                  <c:v>266.86</c:v>
                </c:pt>
                <c:pt idx="260">
                  <c:v>269.42</c:v>
                </c:pt>
                <c:pt idx="261">
                  <c:v>269.01</c:v>
                </c:pt>
                <c:pt idx="262">
                  <c:v>271.74</c:v>
                </c:pt>
                <c:pt idx="263">
                  <c:v>275.58999999999997</c:v>
                </c:pt>
                <c:pt idx="264">
                  <c:v>274.36</c:v>
                </c:pt>
                <c:pt idx="265">
                  <c:v>272.62</c:v>
                </c:pt>
                <c:pt idx="266">
                  <c:v>273.87</c:v>
                </c:pt>
                <c:pt idx="267">
                  <c:v>272.79000000000002</c:v>
                </c:pt>
                <c:pt idx="268">
                  <c:v>272.92</c:v>
                </c:pt>
                <c:pt idx="269">
                  <c:v>269.69</c:v>
                </c:pt>
                <c:pt idx="270">
                  <c:v>266.25</c:v>
                </c:pt>
                <c:pt idx="271">
                  <c:v>268.77</c:v>
                </c:pt>
                <c:pt idx="272">
                  <c:v>265.89</c:v>
                </c:pt>
                <c:pt idx="273">
                  <c:v>270.14999999999998</c:v>
                </c:pt>
                <c:pt idx="274">
                  <c:v>269.72000000000003</c:v>
                </c:pt>
                <c:pt idx="275">
                  <c:v>265.62</c:v>
                </c:pt>
                <c:pt idx="276">
                  <c:v>264.56</c:v>
                </c:pt>
                <c:pt idx="277">
                  <c:v>265.5</c:v>
                </c:pt>
                <c:pt idx="278">
                  <c:v>262.77999999999997</c:v>
                </c:pt>
                <c:pt idx="279">
                  <c:v>260.47000000000003</c:v>
                </c:pt>
                <c:pt idx="280">
                  <c:v>258.54000000000002</c:v>
                </c:pt>
                <c:pt idx="281">
                  <c:v>258.26</c:v>
                </c:pt>
                <c:pt idx="282">
                  <c:v>255.07</c:v>
                </c:pt>
                <c:pt idx="283">
                  <c:v>252.06</c:v>
                </c:pt>
                <c:pt idx="284">
                  <c:v>254.48</c:v>
                </c:pt>
                <c:pt idx="285">
                  <c:v>259.33999999999997</c:v>
                </c:pt>
                <c:pt idx="286">
                  <c:v>256.39999999999998</c:v>
                </c:pt>
                <c:pt idx="287">
                  <c:v>258.54000000000002</c:v>
                </c:pt>
                <c:pt idx="288">
                  <c:v>261.24</c:v>
                </c:pt>
                <c:pt idx="289">
                  <c:v>261.45</c:v>
                </c:pt>
                <c:pt idx="290">
                  <c:v>257.63</c:v>
                </c:pt>
                <c:pt idx="291">
                  <c:v>259.73</c:v>
                </c:pt>
                <c:pt idx="292">
                  <c:v>264.41000000000003</c:v>
                </c:pt>
                <c:pt idx="293">
                  <c:v>264.44</c:v>
                </c:pt>
                <c:pt idx="294">
                  <c:v>266.61</c:v>
                </c:pt>
                <c:pt idx="295">
                  <c:v>268.35000000000002</c:v>
                </c:pt>
                <c:pt idx="296">
                  <c:v>267.93</c:v>
                </c:pt>
                <c:pt idx="297">
                  <c:v>270.69</c:v>
                </c:pt>
                <c:pt idx="298">
                  <c:v>272.07</c:v>
                </c:pt>
                <c:pt idx="299">
                  <c:v>270.08999999999997</c:v>
                </c:pt>
                <c:pt idx="300">
                  <c:v>267.75</c:v>
                </c:pt>
                <c:pt idx="301">
                  <c:v>270.5</c:v>
                </c:pt>
                <c:pt idx="302">
                  <c:v>260</c:v>
                </c:pt>
                <c:pt idx="303">
                  <c:v>259.10000000000002</c:v>
                </c:pt>
                <c:pt idx="304">
                  <c:v>260.20999999999998</c:v>
                </c:pt>
                <c:pt idx="305">
                  <c:v>262.18</c:v>
                </c:pt>
                <c:pt idx="306">
                  <c:v>260.87</c:v>
                </c:pt>
                <c:pt idx="307">
                  <c:v>257.20999999999998</c:v>
                </c:pt>
                <c:pt idx="308">
                  <c:v>259.25</c:v>
                </c:pt>
                <c:pt idx="309">
                  <c:v>253.98</c:v>
                </c:pt>
                <c:pt idx="310">
                  <c:v>251.91</c:v>
                </c:pt>
                <c:pt idx="311">
                  <c:v>254.08</c:v>
                </c:pt>
                <c:pt idx="312">
                  <c:v>255.77</c:v>
                </c:pt>
                <c:pt idx="313">
                  <c:v>252.19</c:v>
                </c:pt>
                <c:pt idx="314">
                  <c:v>250.46</c:v>
                </c:pt>
                <c:pt idx="315">
                  <c:v>251.18</c:v>
                </c:pt>
                <c:pt idx="316">
                  <c:v>248.58</c:v>
                </c:pt>
                <c:pt idx="317">
                  <c:v>247.59</c:v>
                </c:pt>
                <c:pt idx="318">
                  <c:v>247.81</c:v>
                </c:pt>
                <c:pt idx="319">
                  <c:v>244.64</c:v>
                </c:pt>
                <c:pt idx="320">
                  <c:v>249.12</c:v>
                </c:pt>
                <c:pt idx="321">
                  <c:v>253.95</c:v>
                </c:pt>
                <c:pt idx="322">
                  <c:v>252.64</c:v>
                </c:pt>
                <c:pt idx="323">
                  <c:v>256.35000000000002</c:v>
                </c:pt>
                <c:pt idx="324">
                  <c:v>255.61</c:v>
                </c:pt>
                <c:pt idx="325">
                  <c:v>246.46</c:v>
                </c:pt>
                <c:pt idx="326">
                  <c:v>247.81</c:v>
                </c:pt>
                <c:pt idx="327">
                  <c:v>247.58</c:v>
                </c:pt>
                <c:pt idx="328">
                  <c:v>246.15</c:v>
                </c:pt>
                <c:pt idx="329">
                  <c:v>245.88</c:v>
                </c:pt>
                <c:pt idx="330">
                  <c:v>247.76</c:v>
                </c:pt>
                <c:pt idx="331">
                  <c:v>248.68</c:v>
                </c:pt>
                <c:pt idx="332">
                  <c:v>243.72</c:v>
                </c:pt>
                <c:pt idx="333">
                  <c:v>245.07</c:v>
                </c:pt>
                <c:pt idx="334">
                  <c:v>243.92</c:v>
                </c:pt>
                <c:pt idx="335">
                  <c:v>244.21</c:v>
                </c:pt>
                <c:pt idx="336">
                  <c:v>241.97</c:v>
                </c:pt>
                <c:pt idx="337">
                  <c:v>242.25</c:v>
                </c:pt>
                <c:pt idx="338">
                  <c:v>247.72</c:v>
                </c:pt>
                <c:pt idx="339">
                  <c:v>254.69</c:v>
                </c:pt>
                <c:pt idx="340">
                  <c:v>252.51</c:v>
                </c:pt>
                <c:pt idx="341">
                  <c:v>253.9</c:v>
                </c:pt>
                <c:pt idx="342">
                  <c:v>262.81</c:v>
                </c:pt>
                <c:pt idx="343">
                  <c:v>255.8</c:v>
                </c:pt>
                <c:pt idx="344">
                  <c:v>256.08999999999997</c:v>
                </c:pt>
                <c:pt idx="345">
                  <c:v>256.14</c:v>
                </c:pt>
                <c:pt idx="346">
                  <c:v>260.61</c:v>
                </c:pt>
                <c:pt idx="347">
                  <c:v>260.14999999999998</c:v>
                </c:pt>
                <c:pt idx="348">
                  <c:v>250.51</c:v>
                </c:pt>
                <c:pt idx="349">
                  <c:v>253.77</c:v>
                </c:pt>
                <c:pt idx="350">
                  <c:v>261.70999999999998</c:v>
                </c:pt>
                <c:pt idx="351">
                  <c:v>264.52999999999997</c:v>
                </c:pt>
                <c:pt idx="352">
                  <c:v>270</c:v>
                </c:pt>
                <c:pt idx="353">
                  <c:v>274.51</c:v>
                </c:pt>
                <c:pt idx="354">
                  <c:v>271.13</c:v>
                </c:pt>
                <c:pt idx="355">
                  <c:v>266.33999999999997</c:v>
                </c:pt>
                <c:pt idx="356">
                  <c:v>257.43</c:v>
                </c:pt>
                <c:pt idx="357">
                  <c:v>246.14</c:v>
                </c:pt>
                <c:pt idx="358">
                  <c:v>241.22</c:v>
                </c:pt>
                <c:pt idx="359">
                  <c:v>246.33</c:v>
                </c:pt>
                <c:pt idx="360">
                  <c:v>244.34</c:v>
                </c:pt>
                <c:pt idx="361">
                  <c:v>241.9</c:v>
                </c:pt>
                <c:pt idx="362">
                  <c:v>243.84</c:v>
                </c:pt>
                <c:pt idx="363">
                  <c:v>242.5</c:v>
                </c:pt>
                <c:pt idx="364">
                  <c:v>246.57</c:v>
                </c:pt>
                <c:pt idx="365">
                  <c:v>244.43</c:v>
                </c:pt>
                <c:pt idx="366">
                  <c:v>244.29</c:v>
                </c:pt>
                <c:pt idx="367">
                  <c:v>245.6</c:v>
                </c:pt>
                <c:pt idx="368">
                  <c:v>247.84</c:v>
                </c:pt>
                <c:pt idx="369">
                  <c:v>247.98</c:v>
                </c:pt>
                <c:pt idx="370">
                  <c:v>254.89</c:v>
                </c:pt>
                <c:pt idx="371">
                  <c:v>250.68</c:v>
                </c:pt>
                <c:pt idx="372">
                  <c:v>240.41</c:v>
                </c:pt>
                <c:pt idx="373">
                  <c:v>235.77</c:v>
                </c:pt>
                <c:pt idx="374">
                  <c:v>241.28</c:v>
                </c:pt>
                <c:pt idx="375">
                  <c:v>245.21</c:v>
                </c:pt>
                <c:pt idx="376">
                  <c:v>239.02</c:v>
                </c:pt>
                <c:pt idx="377">
                  <c:v>234.83</c:v>
                </c:pt>
                <c:pt idx="378">
                  <c:v>232.16</c:v>
                </c:pt>
                <c:pt idx="379">
                  <c:v>231.97</c:v>
                </c:pt>
                <c:pt idx="380">
                  <c:v>231.83</c:v>
                </c:pt>
                <c:pt idx="381">
                  <c:v>232.95</c:v>
                </c:pt>
                <c:pt idx="382">
                  <c:v>232.95</c:v>
                </c:pt>
                <c:pt idx="383">
                  <c:v>236.27</c:v>
                </c:pt>
                <c:pt idx="384">
                  <c:v>237.47</c:v>
                </c:pt>
                <c:pt idx="385">
                  <c:v>242.87</c:v>
                </c:pt>
                <c:pt idx="386">
                  <c:v>245.12</c:v>
                </c:pt>
                <c:pt idx="387">
                  <c:v>244.4</c:v>
                </c:pt>
                <c:pt idx="388">
                  <c:v>253.67</c:v>
                </c:pt>
                <c:pt idx="389">
                  <c:v>252.05</c:v>
                </c:pt>
                <c:pt idx="390">
                  <c:v>252.33</c:v>
                </c:pt>
                <c:pt idx="391">
                  <c:v>249.87</c:v>
                </c:pt>
                <c:pt idx="392">
                  <c:v>249.63</c:v>
                </c:pt>
                <c:pt idx="393">
                  <c:v>250.58</c:v>
                </c:pt>
                <c:pt idx="394">
                  <c:v>250.24</c:v>
                </c:pt>
                <c:pt idx="395">
                  <c:v>250.43</c:v>
                </c:pt>
                <c:pt idx="396">
                  <c:v>247.49</c:v>
                </c:pt>
                <c:pt idx="397">
                  <c:v>240.46</c:v>
                </c:pt>
                <c:pt idx="398">
                  <c:v>241.1</c:v>
                </c:pt>
                <c:pt idx="399">
                  <c:v>241.43</c:v>
                </c:pt>
                <c:pt idx="400">
                  <c:v>238.03</c:v>
                </c:pt>
                <c:pt idx="401">
                  <c:v>238.19</c:v>
                </c:pt>
                <c:pt idx="402">
                  <c:v>241.64</c:v>
                </c:pt>
                <c:pt idx="403">
                  <c:v>243.9</c:v>
                </c:pt>
                <c:pt idx="404">
                  <c:v>247.51</c:v>
                </c:pt>
                <c:pt idx="405">
                  <c:v>248.7</c:v>
                </c:pt>
                <c:pt idx="406">
                  <c:v>252.79</c:v>
                </c:pt>
                <c:pt idx="407">
                  <c:v>256.48</c:v>
                </c:pt>
                <c:pt idx="408">
                  <c:v>258.64</c:v>
                </c:pt>
                <c:pt idx="409">
                  <c:v>261.72000000000003</c:v>
                </c:pt>
                <c:pt idx="410">
                  <c:v>259.94</c:v>
                </c:pt>
                <c:pt idx="411">
                  <c:v>253.72</c:v>
                </c:pt>
                <c:pt idx="412">
                  <c:v>253.57</c:v>
                </c:pt>
                <c:pt idx="413">
                  <c:v>256.14</c:v>
                </c:pt>
                <c:pt idx="414">
                  <c:v>256.54000000000002</c:v>
                </c:pt>
                <c:pt idx="415">
                  <c:v>258.5</c:v>
                </c:pt>
                <c:pt idx="416">
                  <c:v>259.55</c:v>
                </c:pt>
                <c:pt idx="417">
                  <c:v>276.23</c:v>
                </c:pt>
                <c:pt idx="418">
                  <c:v>273.93</c:v>
                </c:pt>
                <c:pt idx="419">
                  <c:v>270.39</c:v>
                </c:pt>
                <c:pt idx="420">
                  <c:v>268.86</c:v>
                </c:pt>
                <c:pt idx="421">
                  <c:v>272.67</c:v>
                </c:pt>
                <c:pt idx="422">
                  <c:v>290.45</c:v>
                </c:pt>
                <c:pt idx="423">
                  <c:v>290.58999999999997</c:v>
                </c:pt>
                <c:pt idx="424">
                  <c:v>292.31</c:v>
                </c:pt>
                <c:pt idx="425">
                  <c:v>292.04000000000002</c:v>
                </c:pt>
                <c:pt idx="426">
                  <c:v>288.38</c:v>
                </c:pt>
                <c:pt idx="427">
                  <c:v>287.70999999999998</c:v>
                </c:pt>
                <c:pt idx="428">
                  <c:v>282.68</c:v>
                </c:pt>
                <c:pt idx="429">
                  <c:v>279.27999999999997</c:v>
                </c:pt>
                <c:pt idx="430">
                  <c:v>278.74</c:v>
                </c:pt>
                <c:pt idx="431">
                  <c:v>278.01</c:v>
                </c:pt>
                <c:pt idx="432">
                  <c:v>277.81</c:v>
                </c:pt>
                <c:pt idx="433">
                  <c:v>281.18</c:v>
                </c:pt>
                <c:pt idx="434">
                  <c:v>284.61</c:v>
                </c:pt>
                <c:pt idx="435">
                  <c:v>290.37</c:v>
                </c:pt>
                <c:pt idx="436">
                  <c:v>288.39999999999998</c:v>
                </c:pt>
                <c:pt idx="437">
                  <c:v>286.39</c:v>
                </c:pt>
                <c:pt idx="438">
                  <c:v>288.13</c:v>
                </c:pt>
                <c:pt idx="439">
                  <c:v>287.05</c:v>
                </c:pt>
                <c:pt idx="440">
                  <c:v>286.5</c:v>
                </c:pt>
                <c:pt idx="441">
                  <c:v>285.64999999999998</c:v>
                </c:pt>
                <c:pt idx="442">
                  <c:v>287.63</c:v>
                </c:pt>
                <c:pt idx="443">
                  <c:v>286.86</c:v>
                </c:pt>
                <c:pt idx="444">
                  <c:v>281.23</c:v>
                </c:pt>
                <c:pt idx="445">
                  <c:v>276.31</c:v>
                </c:pt>
                <c:pt idx="446">
                  <c:v>279.56</c:v>
                </c:pt>
                <c:pt idx="447">
                  <c:v>278.11</c:v>
                </c:pt>
                <c:pt idx="448">
                  <c:v>275.77</c:v>
                </c:pt>
                <c:pt idx="449">
                  <c:v>277</c:v>
                </c:pt>
                <c:pt idx="450">
                  <c:v>272.64999999999998</c:v>
                </c:pt>
                <c:pt idx="451">
                  <c:v>264.89</c:v>
                </c:pt>
                <c:pt idx="452">
                  <c:v>260.92</c:v>
                </c:pt>
                <c:pt idx="453">
                  <c:v>263.13</c:v>
                </c:pt>
                <c:pt idx="454">
                  <c:v>262.87</c:v>
                </c:pt>
                <c:pt idx="455">
                  <c:v>264.31</c:v>
                </c:pt>
                <c:pt idx="456">
                  <c:v>264.55</c:v>
                </c:pt>
                <c:pt idx="457">
                  <c:v>262.36</c:v>
                </c:pt>
                <c:pt idx="458">
                  <c:v>258.16000000000003</c:v>
                </c:pt>
                <c:pt idx="459">
                  <c:v>257.23</c:v>
                </c:pt>
                <c:pt idx="460">
                  <c:v>255.57</c:v>
                </c:pt>
                <c:pt idx="461">
                  <c:v>257.13</c:v>
                </c:pt>
                <c:pt idx="462">
                  <c:v>257.38</c:v>
                </c:pt>
                <c:pt idx="463">
                  <c:v>251.98</c:v>
                </c:pt>
                <c:pt idx="464">
                  <c:v>255.28</c:v>
                </c:pt>
                <c:pt idx="465">
                  <c:v>251.69</c:v>
                </c:pt>
                <c:pt idx="466">
                  <c:v>256.02999999999997</c:v>
                </c:pt>
                <c:pt idx="467">
                  <c:v>260.07</c:v>
                </c:pt>
                <c:pt idx="468">
                  <c:v>268.19</c:v>
                </c:pt>
                <c:pt idx="469">
                  <c:v>269.17</c:v>
                </c:pt>
                <c:pt idx="470">
                  <c:v>270.10000000000002</c:v>
                </c:pt>
                <c:pt idx="471">
                  <c:v>275.52999999999997</c:v>
                </c:pt>
                <c:pt idx="472">
                  <c:v>274.38</c:v>
                </c:pt>
                <c:pt idx="473">
                  <c:v>274.83</c:v>
                </c:pt>
                <c:pt idx="474">
                  <c:v>277.54000000000002</c:v>
                </c:pt>
                <c:pt idx="475">
                  <c:v>274.99</c:v>
                </c:pt>
                <c:pt idx="476">
                  <c:v>275.10000000000002</c:v>
                </c:pt>
                <c:pt idx="477">
                  <c:v>272.2</c:v>
                </c:pt>
                <c:pt idx="478">
                  <c:v>276.36</c:v>
                </c:pt>
                <c:pt idx="479">
                  <c:v>274.14999999999998</c:v>
                </c:pt>
                <c:pt idx="480">
                  <c:v>271.16000000000003</c:v>
                </c:pt>
                <c:pt idx="481">
                  <c:v>272.07</c:v>
                </c:pt>
                <c:pt idx="482">
                  <c:v>274.33</c:v>
                </c:pt>
                <c:pt idx="483">
                  <c:v>277.20999999999998</c:v>
                </c:pt>
                <c:pt idx="484">
                  <c:v>272.92</c:v>
                </c:pt>
                <c:pt idx="485">
                  <c:v>268.56</c:v>
                </c:pt>
                <c:pt idx="486">
                  <c:v>267.77</c:v>
                </c:pt>
                <c:pt idx="487">
                  <c:v>263.81</c:v>
                </c:pt>
                <c:pt idx="488">
                  <c:v>269.33</c:v>
                </c:pt>
                <c:pt idx="489">
                  <c:v>270.45999999999998</c:v>
                </c:pt>
                <c:pt idx="490">
                  <c:v>272.76</c:v>
                </c:pt>
                <c:pt idx="491">
                  <c:v>264.97000000000003</c:v>
                </c:pt>
                <c:pt idx="492">
                  <c:v>258.58999999999997</c:v>
                </c:pt>
                <c:pt idx="493">
                  <c:v>252.86</c:v>
                </c:pt>
                <c:pt idx="494">
                  <c:v>251.56</c:v>
                </c:pt>
                <c:pt idx="495">
                  <c:v>249.79</c:v>
                </c:pt>
                <c:pt idx="496">
                  <c:v>250.53</c:v>
                </c:pt>
                <c:pt idx="497">
                  <c:v>245.12</c:v>
                </c:pt>
                <c:pt idx="498">
                  <c:v>247.31</c:v>
                </c:pt>
                <c:pt idx="499">
                  <c:v>239.77</c:v>
                </c:pt>
                <c:pt idx="500">
                  <c:v>234.86</c:v>
                </c:pt>
                <c:pt idx="501">
                  <c:v>240.35</c:v>
                </c:pt>
                <c:pt idx="502">
                  <c:v>235.17</c:v>
                </c:pt>
                <c:pt idx="503">
                  <c:v>220.9</c:v>
                </c:pt>
                <c:pt idx="504">
                  <c:v>221.34</c:v>
                </c:pt>
                <c:pt idx="505">
                  <c:v>224.71</c:v>
                </c:pt>
                <c:pt idx="506">
                  <c:v>227.17</c:v>
                </c:pt>
                <c:pt idx="507">
                  <c:v>225.04</c:v>
                </c:pt>
                <c:pt idx="508">
                  <c:v>231.32</c:v>
                </c:pt>
                <c:pt idx="509">
                  <c:v>235.08</c:v>
                </c:pt>
                <c:pt idx="510">
                  <c:v>236.5</c:v>
                </c:pt>
                <c:pt idx="511">
                  <c:v>241.11</c:v>
                </c:pt>
                <c:pt idx="512">
                  <c:v>238.72</c:v>
                </c:pt>
                <c:pt idx="513">
                  <c:v>234.08</c:v>
                </c:pt>
                <c:pt idx="514">
                  <c:v>240.81</c:v>
                </c:pt>
                <c:pt idx="515">
                  <c:v>240.98</c:v>
                </c:pt>
                <c:pt idx="516">
                  <c:v>237.06</c:v>
                </c:pt>
                <c:pt idx="517">
                  <c:v>237.54</c:v>
                </c:pt>
                <c:pt idx="518">
                  <c:v>232.94</c:v>
                </c:pt>
                <c:pt idx="519">
                  <c:v>233.3</c:v>
                </c:pt>
                <c:pt idx="520">
                  <c:v>237.27</c:v>
                </c:pt>
                <c:pt idx="521">
                  <c:v>240.1</c:v>
                </c:pt>
                <c:pt idx="522">
                  <c:v>237.18</c:v>
                </c:pt>
                <c:pt idx="523">
                  <c:v>230.74</c:v>
                </c:pt>
                <c:pt idx="524">
                  <c:v>228.53</c:v>
                </c:pt>
                <c:pt idx="525">
                  <c:v>226.49</c:v>
                </c:pt>
                <c:pt idx="526">
                  <c:v>239.53</c:v>
                </c:pt>
                <c:pt idx="527">
                  <c:v>235.58</c:v>
                </c:pt>
                <c:pt idx="528">
                  <c:v>242.3</c:v>
                </c:pt>
                <c:pt idx="529">
                  <c:v>243.48</c:v>
                </c:pt>
                <c:pt idx="530">
                  <c:v>244.53</c:v>
                </c:pt>
                <c:pt idx="531">
                  <c:v>240.55</c:v>
                </c:pt>
                <c:pt idx="532">
                  <c:v>241.93</c:v>
                </c:pt>
                <c:pt idx="533">
                  <c:v>234.17</c:v>
                </c:pt>
                <c:pt idx="534">
                  <c:v>240.57</c:v>
                </c:pt>
                <c:pt idx="535">
                  <c:v>244.54</c:v>
                </c:pt>
                <c:pt idx="536">
                  <c:v>249.51</c:v>
                </c:pt>
                <c:pt idx="537">
                  <c:v>247.04</c:v>
                </c:pt>
                <c:pt idx="538">
                  <c:v>245.39</c:v>
                </c:pt>
                <c:pt idx="539">
                  <c:v>245.35</c:v>
                </c:pt>
                <c:pt idx="540">
                  <c:v>262.33</c:v>
                </c:pt>
                <c:pt idx="541">
                  <c:v>263.63</c:v>
                </c:pt>
                <c:pt idx="542">
                  <c:v>267.05</c:v>
                </c:pt>
                <c:pt idx="543">
                  <c:v>270.04000000000002</c:v>
                </c:pt>
                <c:pt idx="544">
                  <c:v>267.24</c:v>
                </c:pt>
                <c:pt idx="545">
                  <c:v>265.83999999999997</c:v>
                </c:pt>
                <c:pt idx="546">
                  <c:v>268.42</c:v>
                </c:pt>
                <c:pt idx="547">
                  <c:v>269.63</c:v>
                </c:pt>
                <c:pt idx="548">
                  <c:v>272.36</c:v>
                </c:pt>
                <c:pt idx="549">
                  <c:v>268.58999999999997</c:v>
                </c:pt>
                <c:pt idx="550">
                  <c:v>266.32</c:v>
                </c:pt>
                <c:pt idx="551">
                  <c:v>271.07</c:v>
                </c:pt>
                <c:pt idx="552">
                  <c:v>275.51</c:v>
                </c:pt>
                <c:pt idx="553">
                  <c:v>276.01</c:v>
                </c:pt>
                <c:pt idx="554">
                  <c:v>273.33</c:v>
                </c:pt>
                <c:pt idx="555">
                  <c:v>270.54000000000002</c:v>
                </c:pt>
                <c:pt idx="556">
                  <c:v>271.68</c:v>
                </c:pt>
                <c:pt idx="557">
                  <c:v>268.19</c:v>
                </c:pt>
                <c:pt idx="558">
                  <c:v>270.16000000000003</c:v>
                </c:pt>
                <c:pt idx="559">
                  <c:v>262.52999999999997</c:v>
                </c:pt>
                <c:pt idx="560">
                  <c:v>265.31</c:v>
                </c:pt>
                <c:pt idx="561">
                  <c:v>265.07</c:v>
                </c:pt>
                <c:pt idx="562">
                  <c:v>263.38</c:v>
                </c:pt>
                <c:pt idx="563">
                  <c:v>264.94</c:v>
                </c:pt>
                <c:pt idx="564">
                  <c:v>266.08</c:v>
                </c:pt>
                <c:pt idx="565">
                  <c:v>265.67</c:v>
                </c:pt>
                <c:pt idx="566">
                  <c:v>264.81</c:v>
                </c:pt>
                <c:pt idx="567">
                  <c:v>266</c:v>
                </c:pt>
                <c:pt idx="568">
                  <c:v>265.10000000000002</c:v>
                </c:pt>
                <c:pt idx="569">
                  <c:v>261.12</c:v>
                </c:pt>
                <c:pt idx="570">
                  <c:v>265.52999999999997</c:v>
                </c:pt>
                <c:pt idx="571">
                  <c:v>260.77</c:v>
                </c:pt>
                <c:pt idx="572">
                  <c:v>261.18</c:v>
                </c:pt>
                <c:pt idx="573">
                  <c:v>259.04000000000002</c:v>
                </c:pt>
                <c:pt idx="574">
                  <c:v>258.14</c:v>
                </c:pt>
                <c:pt idx="575">
                  <c:v>255.94</c:v>
                </c:pt>
                <c:pt idx="576">
                  <c:v>261.04000000000002</c:v>
                </c:pt>
                <c:pt idx="577">
                  <c:v>264.48</c:v>
                </c:pt>
                <c:pt idx="578">
                  <c:v>254.64</c:v>
                </c:pt>
                <c:pt idx="579">
                  <c:v>256.95999999999998</c:v>
                </c:pt>
                <c:pt idx="580">
                  <c:v>262.18</c:v>
                </c:pt>
                <c:pt idx="581">
                  <c:v>260.82</c:v>
                </c:pt>
                <c:pt idx="582">
                  <c:v>264.67</c:v>
                </c:pt>
                <c:pt idx="583">
                  <c:v>265.70999999999998</c:v>
                </c:pt>
                <c:pt idx="584">
                  <c:v>266.24</c:v>
                </c:pt>
                <c:pt idx="585">
                  <c:v>267</c:v>
                </c:pt>
                <c:pt idx="586">
                  <c:v>266.45</c:v>
                </c:pt>
                <c:pt idx="587">
                  <c:v>269.95</c:v>
                </c:pt>
                <c:pt idx="588">
                  <c:v>270.73</c:v>
                </c:pt>
                <c:pt idx="589">
                  <c:v>269</c:v>
                </c:pt>
                <c:pt idx="590">
                  <c:v>269.93</c:v>
                </c:pt>
                <c:pt idx="591">
                  <c:v>261.56</c:v>
                </c:pt>
                <c:pt idx="592">
                  <c:v>260.62</c:v>
                </c:pt>
                <c:pt idx="593">
                  <c:v>263.01</c:v>
                </c:pt>
                <c:pt idx="594">
                  <c:v>266.60000000000002</c:v>
                </c:pt>
                <c:pt idx="595">
                  <c:v>265.01</c:v>
                </c:pt>
                <c:pt idx="596">
                  <c:v>267.77999999999997</c:v>
                </c:pt>
                <c:pt idx="597">
                  <c:v>269.11</c:v>
                </c:pt>
                <c:pt idx="598">
                  <c:v>271.42</c:v>
                </c:pt>
                <c:pt idx="599">
                  <c:v>274.83</c:v>
                </c:pt>
                <c:pt idx="600">
                  <c:v>270.11</c:v>
                </c:pt>
                <c:pt idx="601">
                  <c:v>273.92</c:v>
                </c:pt>
                <c:pt idx="602">
                  <c:v>272.77</c:v>
                </c:pt>
                <c:pt idx="603">
                  <c:v>274.67</c:v>
                </c:pt>
                <c:pt idx="604">
                  <c:v>274.94</c:v>
                </c:pt>
                <c:pt idx="605">
                  <c:v>281.85000000000002</c:v>
                </c:pt>
                <c:pt idx="606">
                  <c:v>283.17</c:v>
                </c:pt>
                <c:pt idx="607">
                  <c:v>281.58999999999997</c:v>
                </c:pt>
                <c:pt idx="608">
                  <c:v>282.10000000000002</c:v>
                </c:pt>
                <c:pt idx="609">
                  <c:v>286.52</c:v>
                </c:pt>
                <c:pt idx="610">
                  <c:v>285.24</c:v>
                </c:pt>
                <c:pt idx="611">
                  <c:v>291.89</c:v>
                </c:pt>
                <c:pt idx="612">
                  <c:v>295.64</c:v>
                </c:pt>
                <c:pt idx="613">
                  <c:v>293.10000000000002</c:v>
                </c:pt>
                <c:pt idx="614">
                  <c:v>291.62</c:v>
                </c:pt>
                <c:pt idx="615">
                  <c:v>289.88</c:v>
                </c:pt>
                <c:pt idx="616">
                  <c:v>292.83999999999997</c:v>
                </c:pt>
                <c:pt idx="617">
                  <c:v>286.27999999999997</c:v>
                </c:pt>
                <c:pt idx="618">
                  <c:v>288.27999999999997</c:v>
                </c:pt>
                <c:pt idx="619">
                  <c:v>292.39999999999998</c:v>
                </c:pt>
                <c:pt idx="620">
                  <c:v>290.3</c:v>
                </c:pt>
                <c:pt idx="621">
                  <c:v>291.2</c:v>
                </c:pt>
                <c:pt idx="622">
                  <c:v>291.14999999999998</c:v>
                </c:pt>
                <c:pt idx="623">
                  <c:v>291.16000000000003</c:v>
                </c:pt>
                <c:pt idx="624">
                  <c:v>291.16000000000003</c:v>
                </c:pt>
                <c:pt idx="625">
                  <c:v>292.49</c:v>
                </c:pt>
                <c:pt idx="626">
                  <c:v>288.05</c:v>
                </c:pt>
                <c:pt idx="627">
                  <c:v>292.33</c:v>
                </c:pt>
                <c:pt idx="628">
                  <c:v>294.81</c:v>
                </c:pt>
                <c:pt idx="629">
                  <c:v>298.91000000000003</c:v>
                </c:pt>
                <c:pt idx="630">
                  <c:v>292.44</c:v>
                </c:pt>
                <c:pt idx="631">
                  <c:v>294.43</c:v>
                </c:pt>
                <c:pt idx="632">
                  <c:v>301.64999999999998</c:v>
                </c:pt>
                <c:pt idx="633">
                  <c:v>294.94</c:v>
                </c:pt>
                <c:pt idx="634">
                  <c:v>294.02999999999997</c:v>
                </c:pt>
                <c:pt idx="635">
                  <c:v>291.95999999999998</c:v>
                </c:pt>
                <c:pt idx="636">
                  <c:v>292.25</c:v>
                </c:pt>
                <c:pt idx="637">
                  <c:v>298.58</c:v>
                </c:pt>
                <c:pt idx="638">
                  <c:v>297.79000000000002</c:v>
                </c:pt>
                <c:pt idx="639">
                  <c:v>298.89</c:v>
                </c:pt>
                <c:pt idx="640">
                  <c:v>297.58999999999997</c:v>
                </c:pt>
                <c:pt idx="641">
                  <c:v>293.81</c:v>
                </c:pt>
                <c:pt idx="642">
                  <c:v>294.76</c:v>
                </c:pt>
                <c:pt idx="643">
                  <c:v>299.29000000000002</c:v>
                </c:pt>
                <c:pt idx="644">
                  <c:v>303.02</c:v>
                </c:pt>
                <c:pt idx="645">
                  <c:v>307.62</c:v>
                </c:pt>
                <c:pt idx="646">
                  <c:v>301.64</c:v>
                </c:pt>
                <c:pt idx="647">
                  <c:v>303.37</c:v>
                </c:pt>
                <c:pt idx="648">
                  <c:v>304.7</c:v>
                </c:pt>
                <c:pt idx="649">
                  <c:v>304.67</c:v>
                </c:pt>
                <c:pt idx="650">
                  <c:v>300.89999999999998</c:v>
                </c:pt>
                <c:pt idx="651">
                  <c:v>304.43</c:v>
                </c:pt>
                <c:pt idx="652">
                  <c:v>302.89999999999998</c:v>
                </c:pt>
                <c:pt idx="653">
                  <c:v>301.43</c:v>
                </c:pt>
                <c:pt idx="654">
                  <c:v>302.75</c:v>
                </c:pt>
                <c:pt idx="655">
                  <c:v>309.07</c:v>
                </c:pt>
                <c:pt idx="656">
                  <c:v>303.10000000000002</c:v>
                </c:pt>
                <c:pt idx="657">
                  <c:v>296.23</c:v>
                </c:pt>
                <c:pt idx="658">
                  <c:v>295.35000000000002</c:v>
                </c:pt>
                <c:pt idx="659">
                  <c:v>295.47000000000003</c:v>
                </c:pt>
                <c:pt idx="660">
                  <c:v>297.57</c:v>
                </c:pt>
                <c:pt idx="661">
                  <c:v>293.67</c:v>
                </c:pt>
                <c:pt idx="662">
                  <c:v>292.06</c:v>
                </c:pt>
                <c:pt idx="663">
                  <c:v>292.74</c:v>
                </c:pt>
                <c:pt idx="664">
                  <c:v>292.01</c:v>
                </c:pt>
                <c:pt idx="665">
                  <c:v>292.58999999999997</c:v>
                </c:pt>
                <c:pt idx="666">
                  <c:v>294.97000000000003</c:v>
                </c:pt>
                <c:pt idx="667">
                  <c:v>290</c:v>
                </c:pt>
                <c:pt idx="668">
                  <c:v>289.5</c:v>
                </c:pt>
                <c:pt idx="669">
                  <c:v>288.55</c:v>
                </c:pt>
                <c:pt idx="670">
                  <c:v>292.26</c:v>
                </c:pt>
                <c:pt idx="671">
                  <c:v>285.10000000000002</c:v>
                </c:pt>
                <c:pt idx="672">
                  <c:v>286.3</c:v>
                </c:pt>
                <c:pt idx="673">
                  <c:v>287.3</c:v>
                </c:pt>
                <c:pt idx="674">
                  <c:v>292.83999999999997</c:v>
                </c:pt>
                <c:pt idx="675">
                  <c:v>295.10000000000002</c:v>
                </c:pt>
                <c:pt idx="676">
                  <c:v>295.08999999999997</c:v>
                </c:pt>
                <c:pt idx="677">
                  <c:v>284.08999999999997</c:v>
                </c:pt>
                <c:pt idx="678">
                  <c:v>280.58</c:v>
                </c:pt>
                <c:pt idx="679">
                  <c:v>280.08</c:v>
                </c:pt>
                <c:pt idx="680">
                  <c:v>281.87</c:v>
                </c:pt>
                <c:pt idx="681">
                  <c:v>284.23</c:v>
                </c:pt>
                <c:pt idx="682">
                  <c:v>285.97000000000003</c:v>
                </c:pt>
                <c:pt idx="683">
                  <c:v>287.83</c:v>
                </c:pt>
                <c:pt idx="684">
                  <c:v>287.19</c:v>
                </c:pt>
                <c:pt idx="685">
                  <c:v>292.72000000000003</c:v>
                </c:pt>
                <c:pt idx="686">
                  <c:v>295.08</c:v>
                </c:pt>
                <c:pt idx="687">
                  <c:v>297.24</c:v>
                </c:pt>
                <c:pt idx="688">
                  <c:v>291.85000000000002</c:v>
                </c:pt>
                <c:pt idx="689">
                  <c:v>289.83999999999997</c:v>
                </c:pt>
                <c:pt idx="690">
                  <c:v>292.58999999999997</c:v>
                </c:pt>
                <c:pt idx="691">
                  <c:v>293.64999999999998</c:v>
                </c:pt>
                <c:pt idx="692">
                  <c:v>294.87</c:v>
                </c:pt>
                <c:pt idx="693">
                  <c:v>295.77999999999997</c:v>
                </c:pt>
                <c:pt idx="694">
                  <c:v>291.04000000000002</c:v>
                </c:pt>
                <c:pt idx="695">
                  <c:v>296.77</c:v>
                </c:pt>
                <c:pt idx="696">
                  <c:v>299.27</c:v>
                </c:pt>
                <c:pt idx="697">
                  <c:v>295.94</c:v>
                </c:pt>
                <c:pt idx="698">
                  <c:v>296.68</c:v>
                </c:pt>
                <c:pt idx="699">
                  <c:v>292.01</c:v>
                </c:pt>
                <c:pt idx="700">
                  <c:v>285.41000000000003</c:v>
                </c:pt>
                <c:pt idx="701">
                  <c:v>288.33999999999997</c:v>
                </c:pt>
                <c:pt idx="702">
                  <c:v>291.87</c:v>
                </c:pt>
                <c:pt idx="703">
                  <c:v>291.88</c:v>
                </c:pt>
                <c:pt idx="704">
                  <c:v>292.83999999999997</c:v>
                </c:pt>
                <c:pt idx="705">
                  <c:v>293.64</c:v>
                </c:pt>
                <c:pt idx="706">
                  <c:v>294.2</c:v>
                </c:pt>
                <c:pt idx="707">
                  <c:v>292.02</c:v>
                </c:pt>
                <c:pt idx="708">
                  <c:v>288.88</c:v>
                </c:pt>
                <c:pt idx="709">
                  <c:v>285.22000000000003</c:v>
                </c:pt>
                <c:pt idx="710">
                  <c:v>292.64999999999998</c:v>
                </c:pt>
                <c:pt idx="711">
                  <c:v>296.67</c:v>
                </c:pt>
                <c:pt idx="712">
                  <c:v>299.85000000000002</c:v>
                </c:pt>
                <c:pt idx="713">
                  <c:v>292.12</c:v>
                </c:pt>
                <c:pt idx="714">
                  <c:v>299.13</c:v>
                </c:pt>
                <c:pt idx="715">
                  <c:v>311.62</c:v>
                </c:pt>
                <c:pt idx="716">
                  <c:v>309.62</c:v>
                </c:pt>
                <c:pt idx="717">
                  <c:v>311.04000000000002</c:v>
                </c:pt>
                <c:pt idx="718">
                  <c:v>298.48</c:v>
                </c:pt>
                <c:pt idx="719">
                  <c:v>301.70999999999998</c:v>
                </c:pt>
                <c:pt idx="720">
                  <c:v>305.97000000000003</c:v>
                </c:pt>
                <c:pt idx="721">
                  <c:v>296.14999999999998</c:v>
                </c:pt>
                <c:pt idx="722">
                  <c:v>299.01</c:v>
                </c:pt>
                <c:pt idx="723">
                  <c:v>303.27</c:v>
                </c:pt>
                <c:pt idx="724">
                  <c:v>300.07</c:v>
                </c:pt>
                <c:pt idx="725">
                  <c:v>300.39999999999998</c:v>
                </c:pt>
                <c:pt idx="726">
                  <c:v>298.67</c:v>
                </c:pt>
                <c:pt idx="727">
                  <c:v>299.73</c:v>
                </c:pt>
                <c:pt idx="728">
                  <c:v>299.47000000000003</c:v>
                </c:pt>
                <c:pt idx="729">
                  <c:v>300.54000000000002</c:v>
                </c:pt>
                <c:pt idx="730">
                  <c:v>305.92</c:v>
                </c:pt>
                <c:pt idx="731">
                  <c:v>311.01</c:v>
                </c:pt>
                <c:pt idx="732">
                  <c:v>311.49</c:v>
                </c:pt>
                <c:pt idx="733">
                  <c:v>310.76</c:v>
                </c:pt>
                <c:pt idx="734">
                  <c:v>323.72000000000003</c:v>
                </c:pt>
                <c:pt idx="735">
                  <c:v>327.32</c:v>
                </c:pt>
                <c:pt idx="736">
                  <c:v>330.37</c:v>
                </c:pt>
                <c:pt idx="737">
                  <c:v>319.77999999999997</c:v>
                </c:pt>
                <c:pt idx="738">
                  <c:v>321.92</c:v>
                </c:pt>
                <c:pt idx="739">
                  <c:v>327.64999999999998</c:v>
                </c:pt>
                <c:pt idx="740">
                  <c:v>302.22000000000003</c:v>
                </c:pt>
                <c:pt idx="741">
                  <c:v>299.36</c:v>
                </c:pt>
                <c:pt idx="742">
                  <c:v>302.85000000000002</c:v>
                </c:pt>
                <c:pt idx="743">
                  <c:v>305.29000000000002</c:v>
                </c:pt>
                <c:pt idx="744">
                  <c:v>310.79000000000002</c:v>
                </c:pt>
                <c:pt idx="745">
                  <c:v>317.89</c:v>
                </c:pt>
                <c:pt idx="746">
                  <c:v>305.52999999999997</c:v>
                </c:pt>
                <c:pt idx="747">
                  <c:v>308.99</c:v>
                </c:pt>
                <c:pt idx="748">
                  <c:v>310</c:v>
                </c:pt>
                <c:pt idx="749">
                  <c:v>306.2</c:v>
                </c:pt>
                <c:pt idx="750">
                  <c:v>300</c:v>
                </c:pt>
                <c:pt idx="751">
                  <c:v>295.98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8-FD44-A401-42ED503CD025}"/>
            </c:ext>
          </c:extLst>
        </c:ser>
        <c:ser>
          <c:idx val="1"/>
          <c:order val="1"/>
          <c:tx>
            <c:v>VMC EMA200</c:v>
          </c:tx>
          <c:spPr>
            <a:ln w="28575" cap="rnd">
              <a:solidFill>
                <a:srgbClr val="FF6B35"/>
              </a:solidFill>
              <a:prstDash val="solid"/>
              <a:round/>
            </a:ln>
          </c:spPr>
          <c:marker>
            <c:symbol val="none"/>
          </c:marke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Share_Price_Analysis'!$T$64:$T$815</c:f>
              <c:numCache>
                <c:formatCode>0.000</c:formatCode>
                <c:ptCount val="752"/>
                <c:pt idx="0">
                  <c:v>179.79</c:v>
                </c:pt>
                <c:pt idx="1">
                  <c:v>179.7645273631841</c:v>
                </c:pt>
                <c:pt idx="2">
                  <c:v>179.75612410583898</c:v>
                </c:pt>
                <c:pt idx="3">
                  <c:v>179.69954575652713</c:v>
                </c:pt>
                <c:pt idx="4">
                  <c:v>179.59596818681047</c:v>
                </c:pt>
                <c:pt idx="5">
                  <c:v>179.46048591629494</c:v>
                </c:pt>
                <c:pt idx="6">
                  <c:v>179.3415756086701</c:v>
                </c:pt>
                <c:pt idx="7">
                  <c:v>179.1770823190316</c:v>
                </c:pt>
                <c:pt idx="8">
                  <c:v>179.04805662431488</c:v>
                </c:pt>
                <c:pt idx="9">
                  <c:v>178.86867297631176</c:v>
                </c:pt>
                <c:pt idx="10">
                  <c:v>178.71346229993057</c:v>
                </c:pt>
                <c:pt idx="11">
                  <c:v>178.58835322231934</c:v>
                </c:pt>
                <c:pt idx="12">
                  <c:v>178.4403099066744</c:v>
                </c:pt>
                <c:pt idx="13">
                  <c:v>178.30160035536423</c:v>
                </c:pt>
                <c:pt idx="14">
                  <c:v>178.18118642148002</c:v>
                </c:pt>
                <c:pt idx="15">
                  <c:v>178.05799053668918</c:v>
                </c:pt>
                <c:pt idx="16">
                  <c:v>177.95830903881168</c:v>
                </c:pt>
                <c:pt idx="17">
                  <c:v>177.87902238170906</c:v>
                </c:pt>
                <c:pt idx="18">
                  <c:v>177.80201718388113</c:v>
                </c:pt>
                <c:pt idx="19">
                  <c:v>177.73990756016093</c:v>
                </c:pt>
                <c:pt idx="20">
                  <c:v>177.69204778344292</c:v>
                </c:pt>
                <c:pt idx="21">
                  <c:v>177.60416671097084</c:v>
                </c:pt>
                <c:pt idx="22">
                  <c:v>177.46939888300099</c:v>
                </c:pt>
                <c:pt idx="23">
                  <c:v>177.34462874486169</c:v>
                </c:pt>
                <c:pt idx="24">
                  <c:v>177.23184636929096</c:v>
                </c:pt>
                <c:pt idx="25">
                  <c:v>177.12575834571592</c:v>
                </c:pt>
                <c:pt idx="26">
                  <c:v>177.02818861093269</c:v>
                </c:pt>
                <c:pt idx="27">
                  <c:v>176.95288325161994</c:v>
                </c:pt>
                <c:pt idx="28">
                  <c:v>176.87454610483763</c:v>
                </c:pt>
                <c:pt idx="29">
                  <c:v>176.82484912867011</c:v>
                </c:pt>
                <c:pt idx="30">
                  <c:v>176.78042276918086</c:v>
                </c:pt>
                <c:pt idx="31">
                  <c:v>176.74817975655219</c:v>
                </c:pt>
                <c:pt idx="32">
                  <c:v>176.70531229628801</c:v>
                </c:pt>
                <c:pt idx="33">
                  <c:v>176.64993605453392</c:v>
                </c:pt>
                <c:pt idx="34">
                  <c:v>176.59779738732465</c:v>
                </c:pt>
                <c:pt idx="35">
                  <c:v>176.52886407998807</c:v>
                </c:pt>
                <c:pt idx="36">
                  <c:v>176.4305669249633</c:v>
                </c:pt>
                <c:pt idx="37">
                  <c:v>176.39623292570994</c:v>
                </c:pt>
                <c:pt idx="38">
                  <c:v>176.38353409062825</c:v>
                </c:pt>
                <c:pt idx="39">
                  <c:v>176.39474270664189</c:v>
                </c:pt>
                <c:pt idx="40">
                  <c:v>176.42335223194894</c:v>
                </c:pt>
                <c:pt idx="41">
                  <c:v>176.44520942367086</c:v>
                </c:pt>
                <c:pt idx="42">
                  <c:v>176.58237151895773</c:v>
                </c:pt>
                <c:pt idx="43">
                  <c:v>176.75140264812234</c:v>
                </c:pt>
                <c:pt idx="44">
                  <c:v>176.91138869142461</c:v>
                </c:pt>
                <c:pt idx="45">
                  <c:v>177.07256890345025</c:v>
                </c:pt>
                <c:pt idx="46">
                  <c:v>177.26179707356516</c:v>
                </c:pt>
                <c:pt idx="47">
                  <c:v>177.43660506288293</c:v>
                </c:pt>
                <c:pt idx="48">
                  <c:v>177.61514630603833</c:v>
                </c:pt>
                <c:pt idx="49">
                  <c:v>177.7997717159285</c:v>
                </c:pt>
                <c:pt idx="50">
                  <c:v>177.97101776850636</c:v>
                </c:pt>
                <c:pt idx="51">
                  <c:v>178.15548525339688</c:v>
                </c:pt>
                <c:pt idx="52">
                  <c:v>178.33712221604966</c:v>
                </c:pt>
                <c:pt idx="53">
                  <c:v>178.52501154723325</c:v>
                </c:pt>
                <c:pt idx="54">
                  <c:v>178.71142934278316</c:v>
                </c:pt>
                <c:pt idx="55">
                  <c:v>178.87549472245698</c:v>
                </c:pt>
                <c:pt idx="56">
                  <c:v>179.0269823371589</c:v>
                </c:pt>
                <c:pt idx="57">
                  <c:v>179.18691286116729</c:v>
                </c:pt>
                <c:pt idx="58">
                  <c:v>179.35420726055867</c:v>
                </c:pt>
                <c:pt idx="59">
                  <c:v>179.52033455149839</c:v>
                </c:pt>
                <c:pt idx="60">
                  <c:v>179.67933619775215</c:v>
                </c:pt>
                <c:pt idx="61">
                  <c:v>179.86959155896855</c:v>
                </c:pt>
                <c:pt idx="62">
                  <c:v>180.09705830962557</c:v>
                </c:pt>
                <c:pt idx="63">
                  <c:v>180.31738608763925</c:v>
                </c:pt>
                <c:pt idx="64">
                  <c:v>180.54427776835925</c:v>
                </c:pt>
                <c:pt idx="65">
                  <c:v>180.78751878558953</c:v>
                </c:pt>
                <c:pt idx="66">
                  <c:v>181.04018029021054</c:v>
                </c:pt>
                <c:pt idx="67">
                  <c:v>181.29490486443731</c:v>
                </c:pt>
                <c:pt idx="68">
                  <c:v>181.53963217921904</c:v>
                </c:pt>
                <c:pt idx="69">
                  <c:v>181.79993434658999</c:v>
                </c:pt>
                <c:pt idx="70">
                  <c:v>182.05456186552939</c:v>
                </c:pt>
                <c:pt idx="71">
                  <c:v>182.32207866288732</c:v>
                </c:pt>
                <c:pt idx="72">
                  <c:v>182.57071469609244</c:v>
                </c:pt>
                <c:pt idx="73">
                  <c:v>182.83050857971341</c:v>
                </c:pt>
                <c:pt idx="74">
                  <c:v>183.10652341971627</c:v>
                </c:pt>
                <c:pt idx="75">
                  <c:v>183.40844855981859</c:v>
                </c:pt>
                <c:pt idx="76">
                  <c:v>183.71712071345226</c:v>
                </c:pt>
                <c:pt idx="77">
                  <c:v>184.02610458695025</c:v>
                </c:pt>
                <c:pt idx="78">
                  <c:v>184.38823289951793</c:v>
                </c:pt>
                <c:pt idx="79">
                  <c:v>184.75113605474661</c:v>
                </c:pt>
                <c:pt idx="80">
                  <c:v>185.15003022335608</c:v>
                </c:pt>
                <c:pt idx="81">
                  <c:v>185.55092544501426</c:v>
                </c:pt>
                <c:pt idx="82">
                  <c:v>185.9269361371037</c:v>
                </c:pt>
                <c:pt idx="83">
                  <c:v>186.27224025514246</c:v>
                </c:pt>
                <c:pt idx="84">
                  <c:v>186.5878398545938</c:v>
                </c:pt>
                <c:pt idx="85">
                  <c:v>186.89422950778194</c:v>
                </c:pt>
                <c:pt idx="86">
                  <c:v>187.21757050770452</c:v>
                </c:pt>
                <c:pt idx="87">
                  <c:v>187.57968423399603</c:v>
                </c:pt>
                <c:pt idx="88">
                  <c:v>187.90506051027469</c:v>
                </c:pt>
                <c:pt idx="89">
                  <c:v>188.25784597783417</c:v>
                </c:pt>
                <c:pt idx="90">
                  <c:v>188.62095198800498</c:v>
                </c:pt>
                <c:pt idx="91">
                  <c:v>188.97009674434324</c:v>
                </c:pt>
                <c:pt idx="92">
                  <c:v>189.3176579707677</c:v>
                </c:pt>
                <c:pt idx="93">
                  <c:v>189.6362882397153</c:v>
                </c:pt>
                <c:pt idx="94">
                  <c:v>189.9546336303649</c:v>
                </c:pt>
                <c:pt idx="95">
                  <c:v>190.27647807185383</c:v>
                </c:pt>
                <c:pt idx="96">
                  <c:v>190.59810515571598</c:v>
                </c:pt>
                <c:pt idx="97">
                  <c:v>190.9130493830223</c:v>
                </c:pt>
                <c:pt idx="98">
                  <c:v>191.23689963791759</c:v>
                </c:pt>
                <c:pt idx="99">
                  <c:v>191.50608471614729</c:v>
                </c:pt>
                <c:pt idx="100">
                  <c:v>191.79149680852396</c:v>
                </c:pt>
                <c:pt idx="101">
                  <c:v>192.07715355669785</c:v>
                </c:pt>
                <c:pt idx="102">
                  <c:v>192.3944953123526</c:v>
                </c:pt>
                <c:pt idx="103">
                  <c:v>192.69982371720485</c:v>
                </c:pt>
                <c:pt idx="104">
                  <c:v>193.03305930210828</c:v>
                </c:pt>
                <c:pt idx="105">
                  <c:v>193.36108856278383</c:v>
                </c:pt>
                <c:pt idx="106">
                  <c:v>193.71291852733327</c:v>
                </c:pt>
                <c:pt idx="107">
                  <c:v>194.04254122855386</c:v>
                </c:pt>
                <c:pt idx="108">
                  <c:v>194.33445624120506</c:v>
                </c:pt>
                <c:pt idx="109">
                  <c:v>194.63272035820799</c:v>
                </c:pt>
                <c:pt idx="110">
                  <c:v>194.92413607603677</c:v>
                </c:pt>
                <c:pt idx="111">
                  <c:v>195.22469193597672</c:v>
                </c:pt>
                <c:pt idx="112">
                  <c:v>195.51240644407648</c:v>
                </c:pt>
                <c:pt idx="113">
                  <c:v>195.78093971328965</c:v>
                </c:pt>
                <c:pt idx="114">
                  <c:v>195.95555722858032</c:v>
                </c:pt>
                <c:pt idx="115">
                  <c:v>196.11321337555964</c:v>
                </c:pt>
                <c:pt idx="116">
                  <c:v>196.27696249620084</c:v>
                </c:pt>
                <c:pt idx="117">
                  <c:v>196.45908227235805</c:v>
                </c:pt>
                <c:pt idx="118">
                  <c:v>196.66406652835451</c:v>
                </c:pt>
                <c:pt idx="119">
                  <c:v>196.84631462259975</c:v>
                </c:pt>
                <c:pt idx="120">
                  <c:v>197.02525676565847</c:v>
                </c:pt>
                <c:pt idx="121">
                  <c:v>197.20520445953252</c:v>
                </c:pt>
                <c:pt idx="122">
                  <c:v>197.41798849476106</c:v>
                </c:pt>
                <c:pt idx="123">
                  <c:v>197.62517268884307</c:v>
                </c:pt>
                <c:pt idx="124">
                  <c:v>197.83039485114315</c:v>
                </c:pt>
                <c:pt idx="125">
                  <c:v>198.0800426635696</c:v>
                </c:pt>
                <c:pt idx="126">
                  <c:v>198.26073875646941</c:v>
                </c:pt>
                <c:pt idx="127">
                  <c:v>198.4292886195891</c:v>
                </c:pt>
                <c:pt idx="128">
                  <c:v>198.5997434591952</c:v>
                </c:pt>
                <c:pt idx="129">
                  <c:v>198.77536790238727</c:v>
                </c:pt>
                <c:pt idx="130">
                  <c:v>198.95262792325906</c:v>
                </c:pt>
                <c:pt idx="131">
                  <c:v>199.11001471009232</c:v>
                </c:pt>
                <c:pt idx="132">
                  <c:v>199.25558670302672</c:v>
                </c:pt>
                <c:pt idx="133">
                  <c:v>199.41194902438966</c:v>
                </c:pt>
                <c:pt idx="134">
                  <c:v>199.52317341220669</c:v>
                </c:pt>
                <c:pt idx="135">
                  <c:v>199.64423636332901</c:v>
                </c:pt>
                <c:pt idx="136">
                  <c:v>199.74608475772374</c:v>
                </c:pt>
                <c:pt idx="137">
                  <c:v>199.84363615316926</c:v>
                </c:pt>
                <c:pt idx="138">
                  <c:v>199.86857509691885</c:v>
                </c:pt>
                <c:pt idx="139">
                  <c:v>199.87605196162613</c:v>
                </c:pt>
                <c:pt idx="140">
                  <c:v>199.8975837829035</c:v>
                </c:pt>
                <c:pt idx="141">
                  <c:v>199.91203568556116</c:v>
                </c:pt>
                <c:pt idx="142">
                  <c:v>199.9487318478939</c:v>
                </c:pt>
                <c:pt idx="143">
                  <c:v>199.99929173000439</c:v>
                </c:pt>
                <c:pt idx="144">
                  <c:v>200.0193982799546</c:v>
                </c:pt>
                <c:pt idx="145">
                  <c:v>200.0284589935869</c:v>
                </c:pt>
                <c:pt idx="146">
                  <c:v>200.02807631703382</c:v>
                </c:pt>
                <c:pt idx="147">
                  <c:v>200.07784670193897</c:v>
                </c:pt>
                <c:pt idx="148">
                  <c:v>200.14622633674557</c:v>
                </c:pt>
                <c:pt idx="149">
                  <c:v>200.26815443289738</c:v>
                </c:pt>
                <c:pt idx="150">
                  <c:v>200.36747627933622</c:v>
                </c:pt>
                <c:pt idx="151">
                  <c:v>200.47327253526322</c:v>
                </c:pt>
                <c:pt idx="152">
                  <c:v>200.61542902744966</c:v>
                </c:pt>
                <c:pt idx="153">
                  <c:v>200.71507649981336</c:v>
                </c:pt>
                <c:pt idx="154">
                  <c:v>200.80039912170577</c:v>
                </c:pt>
                <c:pt idx="155">
                  <c:v>200.92218619512164</c:v>
                </c:pt>
                <c:pt idx="156">
                  <c:v>201.0601743921851</c:v>
                </c:pt>
                <c:pt idx="157">
                  <c:v>201.08683932360617</c:v>
                </c:pt>
                <c:pt idx="158">
                  <c:v>201.10279117113248</c:v>
                </c:pt>
                <c:pt idx="159">
                  <c:v>201.10724101022569</c:v>
                </c:pt>
                <c:pt idx="160">
                  <c:v>201.12109930863141</c:v>
                </c:pt>
                <c:pt idx="161">
                  <c:v>201.16118787272464</c:v>
                </c:pt>
                <c:pt idx="162">
                  <c:v>201.1831661028468</c:v>
                </c:pt>
                <c:pt idx="163">
                  <c:v>201.11139330580355</c:v>
                </c:pt>
                <c:pt idx="164">
                  <c:v>201.03754859629308</c:v>
                </c:pt>
                <c:pt idx="165">
                  <c:v>200.98732423215088</c:v>
                </c:pt>
                <c:pt idx="166">
                  <c:v>200.9425747373036</c:v>
                </c:pt>
                <c:pt idx="167">
                  <c:v>200.97100682946976</c:v>
                </c:pt>
                <c:pt idx="168">
                  <c:v>201.02920576648998</c:v>
                </c:pt>
                <c:pt idx="169">
                  <c:v>201.09637784841544</c:v>
                </c:pt>
                <c:pt idx="170">
                  <c:v>201.15651339221233</c:v>
                </c:pt>
                <c:pt idx="171">
                  <c:v>201.21674708980228</c:v>
                </c:pt>
                <c:pt idx="172">
                  <c:v>201.28852075060027</c:v>
                </c:pt>
                <c:pt idx="173">
                  <c:v>201.36754044462415</c:v>
                </c:pt>
                <c:pt idx="174">
                  <c:v>201.46995297751346</c:v>
                </c:pt>
                <c:pt idx="175">
                  <c:v>201.55970468918002</c:v>
                </c:pt>
                <c:pt idx="176">
                  <c:v>201.70876235396432</c:v>
                </c:pt>
                <c:pt idx="177">
                  <c:v>201.7999189474572</c:v>
                </c:pt>
                <c:pt idx="178">
                  <c:v>201.9040988584278</c:v>
                </c:pt>
                <c:pt idx="179">
                  <c:v>202.00803817326931</c:v>
                </c:pt>
                <c:pt idx="180">
                  <c:v>202.09134127602286</c:v>
                </c:pt>
                <c:pt idx="181">
                  <c:v>202.16844235785351</c:v>
                </c:pt>
                <c:pt idx="182">
                  <c:v>202.26527377717835</c:v>
                </c:pt>
                <c:pt idx="183">
                  <c:v>202.35895264506715</c:v>
                </c:pt>
                <c:pt idx="184">
                  <c:v>202.46334117596203</c:v>
                </c:pt>
                <c:pt idx="185">
                  <c:v>202.54987509460918</c:v>
                </c:pt>
                <c:pt idx="186">
                  <c:v>202.65067235734938</c:v>
                </c:pt>
                <c:pt idx="187">
                  <c:v>202.75922288115683</c:v>
                </c:pt>
                <c:pt idx="188">
                  <c:v>202.88729031517519</c:v>
                </c:pt>
                <c:pt idx="189">
                  <c:v>203.00582473989982</c:v>
                </c:pt>
                <c:pt idx="190">
                  <c:v>203.09551802606998</c:v>
                </c:pt>
                <c:pt idx="191">
                  <c:v>203.18342331934295</c:v>
                </c:pt>
                <c:pt idx="192">
                  <c:v>203.29274249029478</c:v>
                </c:pt>
                <c:pt idx="193">
                  <c:v>203.41948137098836</c:v>
                </c:pt>
                <c:pt idx="194">
                  <c:v>203.57311837227206</c:v>
                </c:pt>
                <c:pt idx="195">
                  <c:v>203.74552515463751</c:v>
                </c:pt>
                <c:pt idx="196">
                  <c:v>203.9437786356859</c:v>
                </c:pt>
                <c:pt idx="197">
                  <c:v>204.15090521642534</c:v>
                </c:pt>
                <c:pt idx="198">
                  <c:v>204.35189123417237</c:v>
                </c:pt>
                <c:pt idx="199">
                  <c:v>204.53445948059854</c:v>
                </c:pt>
                <c:pt idx="200">
                  <c:v>204.73501212258265</c:v>
                </c:pt>
                <c:pt idx="201">
                  <c:v>204.89864384275597</c:v>
                </c:pt>
                <c:pt idx="202">
                  <c:v>205.08154290899722</c:v>
                </c:pt>
                <c:pt idx="203">
                  <c:v>205.27903999447986</c:v>
                </c:pt>
                <c:pt idx="204">
                  <c:v>205.48173611393779</c:v>
                </c:pt>
                <c:pt idx="205">
                  <c:v>205.68410689887372</c:v>
                </c:pt>
                <c:pt idx="206">
                  <c:v>205.88068294963122</c:v>
                </c:pt>
                <c:pt idx="207">
                  <c:v>206.09092491033141</c:v>
                </c:pt>
                <c:pt idx="208">
                  <c:v>206.26514456296496</c:v>
                </c:pt>
                <c:pt idx="209">
                  <c:v>206.39514312452749</c:v>
                </c:pt>
                <c:pt idx="210">
                  <c:v>206.53728100388543</c:v>
                </c:pt>
                <c:pt idx="211">
                  <c:v>206.68735780981692</c:v>
                </c:pt>
                <c:pt idx="212">
                  <c:v>206.85962290623667</c:v>
                </c:pt>
                <c:pt idx="213">
                  <c:v>207.02440277781642</c:v>
                </c:pt>
                <c:pt idx="214">
                  <c:v>207.21430921783815</c:v>
                </c:pt>
                <c:pt idx="215">
                  <c:v>207.38491310621788</c:v>
                </c:pt>
                <c:pt idx="216">
                  <c:v>207.54983934396697</c:v>
                </c:pt>
                <c:pt idx="217">
                  <c:v>207.6974031315892</c:v>
                </c:pt>
                <c:pt idx="218">
                  <c:v>207.83235434421022</c:v>
                </c:pt>
                <c:pt idx="219">
                  <c:v>208.00437071889471</c:v>
                </c:pt>
                <c:pt idx="220">
                  <c:v>208.1842277266669</c:v>
                </c:pt>
                <c:pt idx="221">
                  <c:v>208.37423541097868</c:v>
                </c:pt>
                <c:pt idx="222">
                  <c:v>208.51777535713811</c:v>
                </c:pt>
                <c:pt idx="223">
                  <c:v>208.63003629885816</c:v>
                </c:pt>
                <c:pt idx="224">
                  <c:v>208.77710061429244</c:v>
                </c:pt>
                <c:pt idx="225">
                  <c:v>208.91225384201093</c:v>
                </c:pt>
                <c:pt idx="226">
                  <c:v>209.1158135052745</c:v>
                </c:pt>
                <c:pt idx="227">
                  <c:v>209.33406411716231</c:v>
                </c:pt>
                <c:pt idx="228">
                  <c:v>209.49999382743931</c:v>
                </c:pt>
                <c:pt idx="229">
                  <c:v>209.70755607791259</c:v>
                </c:pt>
                <c:pt idx="230">
                  <c:v>209.9536500472866</c:v>
                </c:pt>
                <c:pt idx="231">
                  <c:v>210.14963362890566</c:v>
                </c:pt>
                <c:pt idx="232">
                  <c:v>210.36287110523497</c:v>
                </c:pt>
                <c:pt idx="233">
                  <c:v>210.62314104448637</c:v>
                </c:pt>
                <c:pt idx="234">
                  <c:v>210.89992571071042</c:v>
                </c:pt>
                <c:pt idx="235">
                  <c:v>211.18947868871334</c:v>
                </c:pt>
                <c:pt idx="236">
                  <c:v>211.47744407489529</c:v>
                </c:pt>
                <c:pt idx="237">
                  <c:v>211.73259388509535</c:v>
                </c:pt>
                <c:pt idx="238">
                  <c:v>212.02480688126357</c:v>
                </c:pt>
                <c:pt idx="239">
                  <c:v>212.32764462373856</c:v>
                </c:pt>
                <c:pt idx="240">
                  <c:v>212.75373771205957</c:v>
                </c:pt>
                <c:pt idx="241">
                  <c:v>213.13807863034754</c:v>
                </c:pt>
                <c:pt idx="242">
                  <c:v>213.53899327084159</c:v>
                </c:pt>
                <c:pt idx="243">
                  <c:v>213.97084408406707</c:v>
                </c:pt>
                <c:pt idx="244">
                  <c:v>214.40128344641465</c:v>
                </c:pt>
                <c:pt idx="245">
                  <c:v>214.86574828774388</c:v>
                </c:pt>
                <c:pt idx="246">
                  <c:v>215.35026820527878</c:v>
                </c:pt>
                <c:pt idx="247">
                  <c:v>215.81742971567402</c:v>
                </c:pt>
                <c:pt idx="248">
                  <c:v>216.31526623591608</c:v>
                </c:pt>
                <c:pt idx="249">
                  <c:v>216.82387055197665</c:v>
                </c:pt>
                <c:pt idx="250">
                  <c:v>217.33159323305154</c:v>
                </c:pt>
                <c:pt idx="251">
                  <c:v>217.80570673322018</c:v>
                </c:pt>
                <c:pt idx="252">
                  <c:v>218.29858527318814</c:v>
                </c:pt>
                <c:pt idx="253">
                  <c:v>218.82466900181316</c:v>
                </c:pt>
                <c:pt idx="254">
                  <c:v>219.30104045453146</c:v>
                </c:pt>
                <c:pt idx="255">
                  <c:v>219.75525895747145</c:v>
                </c:pt>
                <c:pt idx="256">
                  <c:v>220.25102752505879</c:v>
                </c:pt>
                <c:pt idx="257">
                  <c:v>220.73927600739651</c:v>
                </c:pt>
                <c:pt idx="258">
                  <c:v>221.2366961466264</c:v>
                </c:pt>
                <c:pt idx="259">
                  <c:v>221.69065936904803</c:v>
                </c:pt>
                <c:pt idx="260">
                  <c:v>222.16557818129633</c:v>
                </c:pt>
                <c:pt idx="261">
                  <c:v>222.6316918312337</c:v>
                </c:pt>
                <c:pt idx="262">
                  <c:v>223.12033171350998</c:v>
                </c:pt>
                <c:pt idx="263">
                  <c:v>223.64241796511686</c:v>
                </c:pt>
                <c:pt idx="264">
                  <c:v>224.14707052267789</c:v>
                </c:pt>
                <c:pt idx="265">
                  <c:v>224.62938822891991</c:v>
                </c:pt>
                <c:pt idx="266">
                  <c:v>225.11934456495058</c:v>
                </c:pt>
                <c:pt idx="267">
                  <c:v>225.59367944490131</c:v>
                </c:pt>
                <c:pt idx="268">
                  <c:v>226.06458810714111</c:v>
                </c:pt>
                <c:pt idx="269">
                  <c:v>226.49867180756758</c:v>
                </c:pt>
                <c:pt idx="270">
                  <c:v>226.89420741147239</c:v>
                </c:pt>
                <c:pt idx="271">
                  <c:v>227.31088196459208</c:v>
                </c:pt>
                <c:pt idx="272">
                  <c:v>227.69475378583994</c:v>
                </c:pt>
                <c:pt idx="273">
                  <c:v>228.11719404667735</c:v>
                </c:pt>
                <c:pt idx="274">
                  <c:v>228.53115231486964</c:v>
                </c:pt>
                <c:pt idx="275">
                  <c:v>228.90019557541822</c:v>
                </c:pt>
                <c:pt idx="276">
                  <c:v>229.25501950004093</c:v>
                </c:pt>
                <c:pt idx="277">
                  <c:v>229.61566607217983</c:v>
                </c:pt>
                <c:pt idx="278">
                  <c:v>229.94565944459598</c:v>
                </c:pt>
                <c:pt idx="279">
                  <c:v>230.2493842262418</c:v>
                </c:pt>
                <c:pt idx="280">
                  <c:v>230.53088289065732</c:v>
                </c:pt>
                <c:pt idx="281">
                  <c:v>230.80679450368564</c:v>
                </c:pt>
                <c:pt idx="282">
                  <c:v>231.04821943399722</c:v>
                </c:pt>
                <c:pt idx="283">
                  <c:v>231.25729187744003</c:v>
                </c:pt>
                <c:pt idx="284">
                  <c:v>231.48836360005257</c:v>
                </c:pt>
                <c:pt idx="285">
                  <c:v>231.7654943104998</c:v>
                </c:pt>
                <c:pt idx="286">
                  <c:v>232.01061377009682</c:v>
                </c:pt>
                <c:pt idx="287">
                  <c:v>232.27458776243418</c:v>
                </c:pt>
                <c:pt idx="288">
                  <c:v>232.5628008195244</c:v>
                </c:pt>
                <c:pt idx="289">
                  <c:v>232.85023563724056</c:v>
                </c:pt>
                <c:pt idx="290">
                  <c:v>233.0968004567705</c:v>
                </c:pt>
                <c:pt idx="291">
                  <c:v>233.36180741739966</c:v>
                </c:pt>
                <c:pt idx="292">
                  <c:v>233.67074465702754</c:v>
                </c:pt>
                <c:pt idx="293">
                  <c:v>233.97690640173374</c:v>
                </c:pt>
                <c:pt idx="294">
                  <c:v>234.30161380072147</c:v>
                </c:pt>
                <c:pt idx="295">
                  <c:v>234.64040371315212</c:v>
                </c:pt>
                <c:pt idx="296">
                  <c:v>234.97164347720036</c:v>
                </c:pt>
                <c:pt idx="297">
                  <c:v>235.32705000976554</c:v>
                </c:pt>
                <c:pt idx="298">
                  <c:v>235.69265150220568</c:v>
                </c:pt>
                <c:pt idx="299">
                  <c:v>236.0349136763131</c:v>
                </c:pt>
                <c:pt idx="300">
                  <c:v>236.35048667455877</c:v>
                </c:pt>
                <c:pt idx="301">
                  <c:v>236.69028282705071</c:v>
                </c:pt>
                <c:pt idx="302">
                  <c:v>236.92222031135867</c:v>
                </c:pt>
                <c:pt idx="303">
                  <c:v>237.14289473612129</c:v>
                </c:pt>
                <c:pt idx="304">
                  <c:v>237.37241817158281</c:v>
                </c:pt>
                <c:pt idx="305">
                  <c:v>237.61925978181583</c:v>
                </c:pt>
                <c:pt idx="306">
                  <c:v>237.85061043075299</c:v>
                </c:pt>
                <c:pt idx="307">
                  <c:v>238.04324117273558</c:v>
                </c:pt>
                <c:pt idx="308">
                  <c:v>238.25425369838001</c:v>
                </c:pt>
                <c:pt idx="309">
                  <c:v>238.41072878595836</c:v>
                </c:pt>
                <c:pt idx="310">
                  <c:v>238.54504989256574</c:v>
                </c:pt>
                <c:pt idx="311">
                  <c:v>238.69962651055016</c:v>
                </c:pt>
                <c:pt idx="312">
                  <c:v>238.86948097313177</c:v>
                </c:pt>
                <c:pt idx="313">
                  <c:v>239.00202345101107</c:v>
                </c:pt>
                <c:pt idx="314">
                  <c:v>239.11603316791644</c:v>
                </c:pt>
                <c:pt idx="315">
                  <c:v>239.23607263888246</c:v>
                </c:pt>
                <c:pt idx="316">
                  <c:v>239.32904704048562</c:v>
                </c:pt>
                <c:pt idx="317">
                  <c:v>239.41124557739622</c:v>
                </c:pt>
                <c:pt idx="318">
                  <c:v>239.49481527314353</c:v>
                </c:pt>
                <c:pt idx="319">
                  <c:v>239.54601114107246</c:v>
                </c:pt>
                <c:pt idx="320">
                  <c:v>239.64127471180808</c:v>
                </c:pt>
                <c:pt idx="321">
                  <c:v>239.78365008781</c:v>
                </c:pt>
                <c:pt idx="322">
                  <c:v>239.91157396753329</c:v>
                </c:pt>
                <c:pt idx="323">
                  <c:v>240.07514039571706</c:v>
                </c:pt>
                <c:pt idx="324">
                  <c:v>240.2297161131726</c:v>
                </c:pt>
                <c:pt idx="325">
                  <c:v>240.29170898766841</c:v>
                </c:pt>
                <c:pt idx="326">
                  <c:v>240.3665178534628</c:v>
                </c:pt>
                <c:pt idx="327">
                  <c:v>240.43829379521938</c:v>
                </c:pt>
                <c:pt idx="328">
                  <c:v>240.49512669277939</c:v>
                </c:pt>
                <c:pt idx="329">
                  <c:v>240.54870752170697</c:v>
                </c:pt>
                <c:pt idx="330">
                  <c:v>240.62046167571987</c:v>
                </c:pt>
                <c:pt idx="331">
                  <c:v>240.70065608690675</c:v>
                </c:pt>
                <c:pt idx="332">
                  <c:v>240.73069930992261</c:v>
                </c:pt>
                <c:pt idx="333">
                  <c:v>240.77387643121693</c:v>
                </c:pt>
                <c:pt idx="334">
                  <c:v>240.80518114334413</c:v>
                </c:pt>
                <c:pt idx="335">
                  <c:v>240.83905993793775</c:v>
                </c:pt>
                <c:pt idx="336">
                  <c:v>240.85031307288367</c:v>
                </c:pt>
                <c:pt idx="337">
                  <c:v>240.86424030598931</c:v>
                </c:pt>
                <c:pt idx="338">
                  <c:v>240.93245682035757</c:v>
                </c:pt>
                <c:pt idx="339">
                  <c:v>241.06934779726944</c:v>
                </c:pt>
                <c:pt idx="340">
                  <c:v>241.18318513262</c:v>
                </c:pt>
                <c:pt idx="341">
                  <c:v>241.30972060393722</c:v>
                </c:pt>
                <c:pt idx="342">
                  <c:v>241.52365373225626</c:v>
                </c:pt>
                <c:pt idx="343">
                  <c:v>241.66570692895024</c:v>
                </c:pt>
                <c:pt idx="344">
                  <c:v>241.80923223313982</c:v>
                </c:pt>
                <c:pt idx="345">
                  <c:v>241.95182693728771</c:v>
                </c:pt>
                <c:pt idx="346">
                  <c:v>242.13748040059829</c:v>
                </c:pt>
                <c:pt idx="347">
                  <c:v>242.31670945133862</c:v>
                </c:pt>
                <c:pt idx="348">
                  <c:v>242.39823473042981</c:v>
                </c:pt>
                <c:pt idx="349">
                  <c:v>242.51138662365935</c:v>
                </c:pt>
                <c:pt idx="350">
                  <c:v>242.70241760252841</c:v>
                </c:pt>
                <c:pt idx="351">
                  <c:v>242.91960747713011</c:v>
                </c:pt>
                <c:pt idx="352">
                  <c:v>243.18906411914872</c:v>
                </c:pt>
                <c:pt idx="353">
                  <c:v>243.50071522244079</c:v>
                </c:pt>
                <c:pt idx="354">
                  <c:v>243.77563347893391</c:v>
                </c:pt>
                <c:pt idx="355">
                  <c:v>244.00015453884504</c:v>
                </c:pt>
                <c:pt idx="356">
                  <c:v>244.13378484194112</c:v>
                </c:pt>
                <c:pt idx="357">
                  <c:v>244.15374718182233</c:v>
                </c:pt>
                <c:pt idx="358">
                  <c:v>244.12455566757535</c:v>
                </c:pt>
                <c:pt idx="359">
                  <c:v>244.14650038730099</c:v>
                </c:pt>
                <c:pt idx="360">
                  <c:v>244.14842575658159</c:v>
                </c:pt>
                <c:pt idx="361">
                  <c:v>244.12605336099372</c:v>
                </c:pt>
                <c:pt idx="362">
                  <c:v>244.12320705889428</c:v>
                </c:pt>
                <c:pt idx="363">
                  <c:v>244.10705574487545</c:v>
                </c:pt>
                <c:pt idx="364">
                  <c:v>244.13156265288666</c:v>
                </c:pt>
                <c:pt idx="365">
                  <c:v>244.13453217872859</c:v>
                </c:pt>
                <c:pt idx="366">
                  <c:v>244.13607912222383</c:v>
                </c:pt>
                <c:pt idx="367">
                  <c:v>244.15064549911713</c:v>
                </c:pt>
                <c:pt idx="368">
                  <c:v>244.18735549415081</c:v>
                </c:pt>
                <c:pt idx="369">
                  <c:v>244.22509325042793</c:v>
                </c:pt>
                <c:pt idx="370">
                  <c:v>244.33121172554806</c:v>
                </c:pt>
                <c:pt idx="371">
                  <c:v>244.39438374817942</c:v>
                </c:pt>
                <c:pt idx="372">
                  <c:v>244.35473813874481</c:v>
                </c:pt>
                <c:pt idx="373">
                  <c:v>244.26931785875732</c:v>
                </c:pt>
                <c:pt idx="374">
                  <c:v>244.2395734024513</c:v>
                </c:pt>
                <c:pt idx="375">
                  <c:v>244.24922938849656</c:v>
                </c:pt>
                <c:pt idx="376">
                  <c:v>244.1971972552777</c:v>
                </c:pt>
                <c:pt idx="377">
                  <c:v>244.10399131243915</c:v>
                </c:pt>
                <c:pt idx="378">
                  <c:v>243.98514562773826</c:v>
                </c:pt>
                <c:pt idx="379">
                  <c:v>243.86559193990007</c:v>
                </c:pt>
                <c:pt idx="380">
                  <c:v>243.74583480616974</c:v>
                </c:pt>
                <c:pt idx="381">
                  <c:v>243.63841356431732</c:v>
                </c:pt>
                <c:pt idx="382">
                  <c:v>243.53206119054303</c:v>
                </c:pt>
                <c:pt idx="383">
                  <c:v>243.45980187521425</c:v>
                </c:pt>
                <c:pt idx="384">
                  <c:v>243.40020185655541</c:v>
                </c:pt>
                <c:pt idx="385">
                  <c:v>243.39492621619169</c:v>
                </c:pt>
                <c:pt idx="386">
                  <c:v>243.41209112946345</c:v>
                </c:pt>
                <c:pt idx="387">
                  <c:v>243.42192106847378</c:v>
                </c:pt>
                <c:pt idx="388">
                  <c:v>243.52389200311583</c:v>
                </c:pt>
                <c:pt idx="389">
                  <c:v>243.60872889860721</c:v>
                </c:pt>
                <c:pt idx="390">
                  <c:v>243.69550771553648</c:v>
                </c:pt>
                <c:pt idx="391">
                  <c:v>243.75694544971026</c:v>
                </c:pt>
                <c:pt idx="392">
                  <c:v>243.81538380344449</c:v>
                </c:pt>
                <c:pt idx="393">
                  <c:v>243.88269341734059</c:v>
                </c:pt>
                <c:pt idx="394">
                  <c:v>243.94595019925762</c:v>
                </c:pt>
                <c:pt idx="395">
                  <c:v>244.01046810772272</c:v>
                </c:pt>
                <c:pt idx="396">
                  <c:v>244.0450903156061</c:v>
                </c:pt>
                <c:pt idx="397">
                  <c:v>244.00941777515234</c:v>
                </c:pt>
                <c:pt idx="398">
                  <c:v>243.98046834455383</c:v>
                </c:pt>
                <c:pt idx="399">
                  <c:v>243.95509055008066</c:v>
                </c:pt>
                <c:pt idx="400">
                  <c:v>243.89613442520422</c:v>
                </c:pt>
                <c:pt idx="401">
                  <c:v>243.83935696823704</c:v>
                </c:pt>
                <c:pt idx="402">
                  <c:v>243.81747281929938</c:v>
                </c:pt>
                <c:pt idx="403">
                  <c:v>243.81829398527651</c:v>
                </c:pt>
                <c:pt idx="404">
                  <c:v>243.85502737845786</c:v>
                </c:pt>
                <c:pt idx="405">
                  <c:v>243.90323606125929</c:v>
                </c:pt>
                <c:pt idx="406">
                  <c:v>243.99166157308755</c:v>
                </c:pt>
                <c:pt idx="407">
                  <c:v>244.1159236469872</c:v>
                </c:pt>
                <c:pt idx="408">
                  <c:v>244.26044181965401</c:v>
                </c:pt>
                <c:pt idx="409">
                  <c:v>244.43416876672214</c:v>
                </c:pt>
                <c:pt idx="410">
                  <c:v>244.5884556446652</c:v>
                </c:pt>
                <c:pt idx="411">
                  <c:v>244.67931678252924</c:v>
                </c:pt>
                <c:pt idx="412">
                  <c:v>244.7677812921558</c:v>
                </c:pt>
                <c:pt idx="413">
                  <c:v>244.88093769720899</c:v>
                </c:pt>
                <c:pt idx="414">
                  <c:v>244.99694826738605</c:v>
                </c:pt>
                <c:pt idx="415">
                  <c:v>245.13130699109368</c:v>
                </c:pt>
                <c:pt idx="416">
                  <c:v>245.27477657327188</c:v>
                </c:pt>
                <c:pt idx="417">
                  <c:v>245.58278874667218</c:v>
                </c:pt>
                <c:pt idx="418">
                  <c:v>245.8648505501879</c:v>
                </c:pt>
                <c:pt idx="419">
                  <c:v>246.108881887997</c:v>
                </c:pt>
                <c:pt idx="420">
                  <c:v>246.33526117269355</c:v>
                </c:pt>
                <c:pt idx="421">
                  <c:v>246.59729837495533</c:v>
                </c:pt>
                <c:pt idx="422">
                  <c:v>247.0336436647568</c:v>
                </c:pt>
                <c:pt idx="423">
                  <c:v>247.46704024520699</c:v>
                </c:pt>
                <c:pt idx="424">
                  <c:v>247.91323884973229</c:v>
                </c:pt>
                <c:pt idx="425">
                  <c:v>248.35231109998372</c:v>
                </c:pt>
                <c:pt idx="426">
                  <c:v>248.75059656167545</c:v>
                </c:pt>
                <c:pt idx="427">
                  <c:v>249.13825231728069</c:v>
                </c:pt>
                <c:pt idx="428">
                  <c:v>249.47200105044209</c:v>
                </c:pt>
                <c:pt idx="429">
                  <c:v>249.76859805491532</c:v>
                </c:pt>
                <c:pt idx="430">
                  <c:v>250.05687071108531</c:v>
                </c:pt>
                <c:pt idx="431">
                  <c:v>250.33501130102476</c:v>
                </c:pt>
                <c:pt idx="432">
                  <c:v>250.60839427315389</c:v>
                </c:pt>
                <c:pt idx="433">
                  <c:v>250.91258935501307</c:v>
                </c:pt>
                <c:pt idx="434">
                  <c:v>251.24788697337118</c:v>
                </c:pt>
                <c:pt idx="435">
                  <c:v>251.63716172985505</c:v>
                </c:pt>
                <c:pt idx="436">
                  <c:v>252.00296111562764</c:v>
                </c:pt>
                <c:pt idx="437">
                  <c:v>252.34512070651695</c:v>
                </c:pt>
                <c:pt idx="438">
                  <c:v>252.70118915719837</c:v>
                </c:pt>
                <c:pt idx="439">
                  <c:v>253.04296836956456</c:v>
                </c:pt>
                <c:pt idx="440">
                  <c:v>253.37587415693207</c:v>
                </c:pt>
                <c:pt idx="441">
                  <c:v>253.69700973746012</c:v>
                </c:pt>
                <c:pt idx="442">
                  <c:v>254.03465143161478</c:v>
                </c:pt>
                <c:pt idx="443">
                  <c:v>254.36127181537981</c:v>
                </c:pt>
                <c:pt idx="444">
                  <c:v>254.62862234458001</c:v>
                </c:pt>
                <c:pt idx="445">
                  <c:v>254.84435744562899</c:v>
                </c:pt>
                <c:pt idx="446">
                  <c:v>255.0902842372148</c:v>
                </c:pt>
                <c:pt idx="447">
                  <c:v>255.31933613535196</c:v>
                </c:pt>
                <c:pt idx="448">
                  <c:v>255.52282532803505</c:v>
                </c:pt>
                <c:pt idx="449">
                  <c:v>255.73652855860189</c:v>
                </c:pt>
                <c:pt idx="450">
                  <c:v>255.904821806775</c:v>
                </c:pt>
                <c:pt idx="451">
                  <c:v>255.99422656491657</c:v>
                </c:pt>
                <c:pt idx="452">
                  <c:v>256.04323923591244</c:v>
                </c:pt>
                <c:pt idx="453">
                  <c:v>256.11375426839095</c:v>
                </c:pt>
                <c:pt idx="454">
                  <c:v>256.18098059407862</c:v>
                </c:pt>
                <c:pt idx="455">
                  <c:v>256.26186635931168</c:v>
                </c:pt>
                <c:pt idx="456">
                  <c:v>256.3443353507613</c:v>
                </c:pt>
                <c:pt idx="457">
                  <c:v>256.40419271045522</c:v>
                </c:pt>
                <c:pt idx="458">
                  <c:v>256.42166342975418</c:v>
                </c:pt>
                <c:pt idx="459">
                  <c:v>256.42970657970687</c:v>
                </c:pt>
                <c:pt idx="460">
                  <c:v>256.42115228538142</c:v>
                </c:pt>
                <c:pt idx="461">
                  <c:v>256.42820549647217</c:v>
                </c:pt>
                <c:pt idx="462">
                  <c:v>256.43767608854711</c:v>
                </c:pt>
                <c:pt idx="463">
                  <c:v>256.39332110259141</c:v>
                </c:pt>
                <c:pt idx="464">
                  <c:v>256.38224328067508</c:v>
                </c:pt>
                <c:pt idx="465">
                  <c:v>256.33555429280767</c:v>
                </c:pt>
                <c:pt idx="466">
                  <c:v>256.33251395158572</c:v>
                </c:pt>
                <c:pt idx="467">
                  <c:v>256.36970286749033</c:v>
                </c:pt>
                <c:pt idx="468">
                  <c:v>256.48731776433124</c:v>
                </c:pt>
                <c:pt idx="469">
                  <c:v>256.61351360747221</c:v>
                </c:pt>
                <c:pt idx="470">
                  <c:v>256.74770750192522</c:v>
                </c:pt>
                <c:pt idx="471">
                  <c:v>256.93459598449317</c:v>
                </c:pt>
                <c:pt idx="472">
                  <c:v>257.10818209410019</c:v>
                </c:pt>
                <c:pt idx="473">
                  <c:v>257.28451859067633</c:v>
                </c:pt>
                <c:pt idx="474">
                  <c:v>257.48606566937605</c:v>
                </c:pt>
                <c:pt idx="475">
                  <c:v>257.66023417017828</c:v>
                </c:pt>
                <c:pt idx="476">
                  <c:v>257.83376417843522</c:v>
                </c:pt>
                <c:pt idx="477">
                  <c:v>257.9767117985503</c:v>
                </c:pt>
                <c:pt idx="478">
                  <c:v>258.159630089112</c:v>
                </c:pt>
                <c:pt idx="479">
                  <c:v>258.31873824742934</c:v>
                </c:pt>
                <c:pt idx="480">
                  <c:v>258.44651199621114</c:v>
                </c:pt>
                <c:pt idx="481">
                  <c:v>258.5820690907762</c:v>
                </c:pt>
                <c:pt idx="482">
                  <c:v>258.73876492071872</c:v>
                </c:pt>
                <c:pt idx="483">
                  <c:v>258.9225583045922</c:v>
                </c:pt>
                <c:pt idx="484">
                  <c:v>259.06183633141217</c:v>
                </c:pt>
                <c:pt idx="485">
                  <c:v>259.15634542264189</c:v>
                </c:pt>
                <c:pt idx="486">
                  <c:v>259.24205342838678</c:v>
                </c:pt>
                <c:pt idx="487">
                  <c:v>259.28750563307949</c:v>
                </c:pt>
                <c:pt idx="488">
                  <c:v>259.38743095016332</c:v>
                </c:pt>
                <c:pt idx="489">
                  <c:v>259.49760576657957</c:v>
                </c:pt>
                <c:pt idx="490">
                  <c:v>259.62956988830518</c:v>
                </c:pt>
                <c:pt idx="491">
                  <c:v>259.68270849638179</c:v>
                </c:pt>
                <c:pt idx="492">
                  <c:v>259.67183577502476</c:v>
                </c:pt>
                <c:pt idx="493">
                  <c:v>259.60405631457672</c:v>
                </c:pt>
                <c:pt idx="494">
                  <c:v>259.52401595323767</c:v>
                </c:pt>
                <c:pt idx="495">
                  <c:v>259.42716007310594</c:v>
                </c:pt>
                <c:pt idx="496">
                  <c:v>259.33863111715465</c:v>
                </c:pt>
                <c:pt idx="497">
                  <c:v>259.19715220056605</c:v>
                </c:pt>
                <c:pt idx="498">
                  <c:v>259.07887207916741</c:v>
                </c:pt>
                <c:pt idx="499">
                  <c:v>258.88674399877766</c:v>
                </c:pt>
                <c:pt idx="500">
                  <c:v>258.64767191918781</c:v>
                </c:pt>
                <c:pt idx="501">
                  <c:v>258.46560553193223</c:v>
                </c:pt>
                <c:pt idx="502">
                  <c:v>258.23380846196278</c:v>
                </c:pt>
                <c:pt idx="503">
                  <c:v>257.86232778074924</c:v>
                </c:pt>
                <c:pt idx="504">
                  <c:v>257.49892153417466</c:v>
                </c:pt>
                <c:pt idx="505">
                  <c:v>257.17266360846151</c:v>
                </c:pt>
                <c:pt idx="506">
                  <c:v>256.87412964220817</c:v>
                </c:pt>
                <c:pt idx="507">
                  <c:v>256.55737213333049</c:v>
                </c:pt>
                <c:pt idx="508">
                  <c:v>256.30625400265058</c:v>
                </c:pt>
                <c:pt idx="509">
                  <c:v>256.09504749516151</c:v>
                </c:pt>
                <c:pt idx="510">
                  <c:v>255.90007189819474</c:v>
                </c:pt>
                <c:pt idx="511">
                  <c:v>255.75290700368535</c:v>
                </c:pt>
                <c:pt idx="512">
                  <c:v>255.58342534195714</c:v>
                </c:pt>
                <c:pt idx="513">
                  <c:v>255.36946091069387</c:v>
                </c:pt>
                <c:pt idx="514">
                  <c:v>255.22459065287603</c:v>
                </c:pt>
                <c:pt idx="515">
                  <c:v>255.08285343244941</c:v>
                </c:pt>
                <c:pt idx="516">
                  <c:v>254.90352155749969</c:v>
                </c:pt>
                <c:pt idx="517">
                  <c:v>254.7307501987186</c:v>
                </c:pt>
                <c:pt idx="518">
                  <c:v>254.51392681365672</c:v>
                </c:pt>
                <c:pt idx="519">
                  <c:v>254.30284296476461</c:v>
                </c:pt>
                <c:pt idx="520">
                  <c:v>254.13336194023961</c:v>
                </c:pt>
                <c:pt idx="521">
                  <c:v>253.99372649804818</c:v>
                </c:pt>
                <c:pt idx="522">
                  <c:v>253.8264257368736</c:v>
                </c:pt>
                <c:pt idx="523">
                  <c:v>253.59671005789974</c:v>
                </c:pt>
                <c:pt idx="524">
                  <c:v>253.34729005732365</c:v>
                </c:pt>
                <c:pt idx="525">
                  <c:v>253.08005334033538</c:v>
                </c:pt>
                <c:pt idx="526">
                  <c:v>252.94522693893902</c:v>
                </c:pt>
                <c:pt idx="527">
                  <c:v>252.77243861118839</c:v>
                </c:pt>
                <c:pt idx="528">
                  <c:v>252.66823524192287</c:v>
                </c:pt>
                <c:pt idx="529">
                  <c:v>252.57681001563512</c:v>
                </c:pt>
                <c:pt idx="530">
                  <c:v>252.49674225428555</c:v>
                </c:pt>
                <c:pt idx="531">
                  <c:v>252.37786919702899</c:v>
                </c:pt>
                <c:pt idx="532">
                  <c:v>252.27391029954612</c:v>
                </c:pt>
                <c:pt idx="533">
                  <c:v>252.09377188860537</c:v>
                </c:pt>
                <c:pt idx="534">
                  <c:v>251.97910749170384</c:v>
                </c:pt>
                <c:pt idx="535">
                  <c:v>251.90508652163714</c:v>
                </c:pt>
                <c:pt idx="536">
                  <c:v>251.88125481495419</c:v>
                </c:pt>
                <c:pt idx="537">
                  <c:v>251.83308312525318</c:v>
                </c:pt>
                <c:pt idx="538">
                  <c:v>251.76897284539993</c:v>
                </c:pt>
                <c:pt idx="539">
                  <c:v>251.70510246882878</c:v>
                </c:pt>
                <c:pt idx="540">
                  <c:v>251.8108228422733</c:v>
                </c:pt>
                <c:pt idx="541">
                  <c:v>251.92842659508651</c:v>
                </c:pt>
                <c:pt idx="542">
                  <c:v>252.07889001205083</c:v>
                </c:pt>
                <c:pt idx="543">
                  <c:v>252.25760752436872</c:v>
                </c:pt>
                <c:pt idx="544">
                  <c:v>252.40668605646457</c:v>
                </c:pt>
                <c:pt idx="545">
                  <c:v>252.54035087182314</c:v>
                </c:pt>
                <c:pt idx="546">
                  <c:v>252.69835733080998</c:v>
                </c:pt>
                <c:pt idx="547">
                  <c:v>252.86683138721983</c:v>
                </c:pt>
                <c:pt idx="548">
                  <c:v>253.06079326396394</c:v>
                </c:pt>
                <c:pt idx="549">
                  <c:v>253.21531273397426</c:v>
                </c:pt>
                <c:pt idx="550">
                  <c:v>253.3457076321437</c:v>
                </c:pt>
                <c:pt idx="551">
                  <c:v>253.52206875023182</c:v>
                </c:pt>
                <c:pt idx="552">
                  <c:v>253.74085413580167</c:v>
                </c:pt>
                <c:pt idx="553">
                  <c:v>253.96243767673897</c:v>
                </c:pt>
                <c:pt idx="554">
                  <c:v>254.15514973965702</c:v>
                </c:pt>
                <c:pt idx="555">
                  <c:v>254.31818307558083</c:v>
                </c:pt>
                <c:pt idx="556">
                  <c:v>254.49093747283874</c:v>
                </c:pt>
                <c:pt idx="557">
                  <c:v>254.627246552711</c:v>
                </c:pt>
                <c:pt idx="558">
                  <c:v>254.78180131338056</c:v>
                </c:pt>
                <c:pt idx="559">
                  <c:v>254.85889781772505</c:v>
                </c:pt>
                <c:pt idx="560">
                  <c:v>254.96288888421535</c:v>
                </c:pt>
                <c:pt idx="561">
                  <c:v>255.06345715402418</c:v>
                </c:pt>
                <c:pt idx="562">
                  <c:v>255.1462088241334</c:v>
                </c:pt>
                <c:pt idx="563">
                  <c:v>255.24365948259975</c:v>
                </c:pt>
                <c:pt idx="564">
                  <c:v>255.35148376635499</c:v>
                </c:pt>
                <c:pt idx="565">
                  <c:v>255.45415556967487</c:v>
                </c:pt>
                <c:pt idx="566">
                  <c:v>255.5472485490811</c:v>
                </c:pt>
                <c:pt idx="567">
                  <c:v>255.65125602620469</c:v>
                </c:pt>
                <c:pt idx="568">
                  <c:v>255.74527337917777</c:v>
                </c:pt>
                <c:pt idx="569">
                  <c:v>255.79875324605163</c:v>
                </c:pt>
                <c:pt idx="570">
                  <c:v>255.8955815719616</c:v>
                </c:pt>
                <c:pt idx="571">
                  <c:v>255.94408324786249</c:v>
                </c:pt>
                <c:pt idx="572">
                  <c:v>255.99618192201311</c:v>
                </c:pt>
                <c:pt idx="573">
                  <c:v>256.02646866905775</c:v>
                </c:pt>
                <c:pt idx="574">
                  <c:v>256.04749883155472</c:v>
                </c:pt>
                <c:pt idx="575">
                  <c:v>256.04642919143976</c:v>
                </c:pt>
                <c:pt idx="576">
                  <c:v>256.09611646316677</c:v>
                </c:pt>
                <c:pt idx="577">
                  <c:v>256.17953818990145</c:v>
                </c:pt>
                <c:pt idx="578">
                  <c:v>256.16421940194226</c:v>
                </c:pt>
                <c:pt idx="579">
                  <c:v>256.17213761684832</c:v>
                </c:pt>
                <c:pt idx="580">
                  <c:v>256.2319173420538</c:v>
                </c:pt>
                <c:pt idx="581">
                  <c:v>256.27756990581446</c:v>
                </c:pt>
                <c:pt idx="582">
                  <c:v>256.36107667292077</c:v>
                </c:pt>
                <c:pt idx="583">
                  <c:v>256.45410078562804</c:v>
                </c:pt>
                <c:pt idx="584">
                  <c:v>256.55147291711432</c:v>
                </c:pt>
                <c:pt idx="585">
                  <c:v>256.65543836072516</c:v>
                </c:pt>
                <c:pt idx="586">
                  <c:v>256.75289668549408</c:v>
                </c:pt>
                <c:pt idx="587">
                  <c:v>256.88421114633496</c:v>
                </c:pt>
                <c:pt idx="588">
                  <c:v>257.02198018965504</c:v>
                </c:pt>
                <c:pt idx="589">
                  <c:v>257.1411644663749</c:v>
                </c:pt>
                <c:pt idx="590">
                  <c:v>257.26841656123685</c:v>
                </c:pt>
                <c:pt idx="591">
                  <c:v>257.31111888401063</c:v>
                </c:pt>
                <c:pt idx="592">
                  <c:v>257.34404307421948</c:v>
                </c:pt>
                <c:pt idx="593">
                  <c:v>257.40042075507301</c:v>
                </c:pt>
                <c:pt idx="594">
                  <c:v>257.49195885701261</c:v>
                </c:pt>
                <c:pt idx="595">
                  <c:v>257.56676523654482</c:v>
                </c:pt>
                <c:pt idx="596">
                  <c:v>257.66838946304688</c:v>
                </c:pt>
                <c:pt idx="597">
                  <c:v>257.78223633406134</c:v>
                </c:pt>
                <c:pt idx="598">
                  <c:v>257.91793547501595</c:v>
                </c:pt>
                <c:pt idx="599">
                  <c:v>258.08621472402081</c:v>
                </c:pt>
                <c:pt idx="600">
                  <c:v>258.20585437850815</c:v>
                </c:pt>
                <c:pt idx="601">
                  <c:v>258.36221403643344</c:v>
                </c:pt>
                <c:pt idx="602">
                  <c:v>258.50557509079732</c:v>
                </c:pt>
                <c:pt idx="603">
                  <c:v>258.66641513964515</c:v>
                </c:pt>
                <c:pt idx="604">
                  <c:v>258.82834135716115</c:v>
                </c:pt>
                <c:pt idx="605">
                  <c:v>259.05741258743814</c:v>
                </c:pt>
                <c:pt idx="606">
                  <c:v>259.29733883034919</c:v>
                </c:pt>
                <c:pt idx="607">
                  <c:v>259.51915635442532</c:v>
                </c:pt>
                <c:pt idx="608">
                  <c:v>259.7438413658241</c:v>
                </c:pt>
                <c:pt idx="609">
                  <c:v>260.01027080497016</c:v>
                </c:pt>
                <c:pt idx="610">
                  <c:v>260.26131288651277</c:v>
                </c:pt>
                <c:pt idx="611">
                  <c:v>260.57602619112458</c:v>
                </c:pt>
                <c:pt idx="612">
                  <c:v>260.92492145290441</c:v>
                </c:pt>
                <c:pt idx="613">
                  <c:v>261.2450714881989</c:v>
                </c:pt>
                <c:pt idx="614">
                  <c:v>261.5473095828437</c:v>
                </c:pt>
                <c:pt idx="615">
                  <c:v>261.82922690042733</c:v>
                </c:pt>
                <c:pt idx="616">
                  <c:v>262.13779180689073</c:v>
                </c:pt>
                <c:pt idx="617">
                  <c:v>262.37801278393658</c:v>
                </c:pt>
                <c:pt idx="618">
                  <c:v>262.63574400001681</c:v>
                </c:pt>
                <c:pt idx="619">
                  <c:v>262.93190575126044</c:v>
                </c:pt>
                <c:pt idx="620">
                  <c:v>263.2042250970191</c:v>
                </c:pt>
                <c:pt idx="621">
                  <c:v>263.48279002142687</c:v>
                </c:pt>
                <c:pt idx="622">
                  <c:v>263.75808564310421</c:v>
                </c:pt>
                <c:pt idx="623">
                  <c:v>264.03074150735193</c:v>
                </c:pt>
                <c:pt idx="624">
                  <c:v>264.30068437792556</c:v>
                </c:pt>
                <c:pt idx="625">
                  <c:v>264.58117508063276</c:v>
                </c:pt>
                <c:pt idx="626">
                  <c:v>264.8146957265966</c:v>
                </c:pt>
                <c:pt idx="627">
                  <c:v>265.08847984872</c:v>
                </c:pt>
                <c:pt idx="628">
                  <c:v>265.3842163676382</c:v>
                </c:pt>
                <c:pt idx="629">
                  <c:v>265.71780625452737</c:v>
                </c:pt>
                <c:pt idx="630">
                  <c:v>265.98369872960672</c:v>
                </c:pt>
                <c:pt idx="631">
                  <c:v>266.26674650344148</c:v>
                </c:pt>
                <c:pt idx="632">
                  <c:v>266.61881867753658</c:v>
                </c:pt>
                <c:pt idx="633">
                  <c:v>266.90062147676508</c:v>
                </c:pt>
                <c:pt idx="634">
                  <c:v>267.17056554167289</c:v>
                </c:pt>
                <c:pt idx="635">
                  <c:v>267.4172265810592</c:v>
                </c:pt>
                <c:pt idx="636">
                  <c:v>267.66431885388454</c:v>
                </c:pt>
                <c:pt idx="637">
                  <c:v>267.97193757175637</c:v>
                </c:pt>
                <c:pt idx="638">
                  <c:v>268.26863471034591</c:v>
                </c:pt>
                <c:pt idx="639">
                  <c:v>268.57332491223303</c:v>
                </c:pt>
                <c:pt idx="640">
                  <c:v>268.86204804743471</c:v>
                </c:pt>
                <c:pt idx="641">
                  <c:v>269.11028637532092</c:v>
                </c:pt>
                <c:pt idx="642">
                  <c:v>269.36550740641229</c:v>
                </c:pt>
                <c:pt idx="643">
                  <c:v>269.66326355162209</c:v>
                </c:pt>
                <c:pt idx="644">
                  <c:v>269.9951713769791</c:v>
                </c:pt>
                <c:pt idx="645">
                  <c:v>270.36954778118832</c:v>
                </c:pt>
                <c:pt idx="646">
                  <c:v>270.68069655948494</c:v>
                </c:pt>
                <c:pt idx="647">
                  <c:v>271.00596326038561</c:v>
                </c:pt>
                <c:pt idx="648">
                  <c:v>271.34122730754592</c:v>
                </c:pt>
                <c:pt idx="649">
                  <c:v>271.67285688657535</c:v>
                </c:pt>
                <c:pt idx="650">
                  <c:v>271.96367423098752</c:v>
                </c:pt>
                <c:pt idx="651">
                  <c:v>272.28672224858963</c:v>
                </c:pt>
                <c:pt idx="652">
                  <c:v>272.59133197745939</c:v>
                </c:pt>
                <c:pt idx="653">
                  <c:v>272.87828389808169</c:v>
                </c:pt>
                <c:pt idx="654">
                  <c:v>273.17551490407095</c:v>
                </c:pt>
                <c:pt idx="655">
                  <c:v>273.53267395975189</c:v>
                </c:pt>
                <c:pt idx="656">
                  <c:v>273.82687620890857</c:v>
                </c:pt>
                <c:pt idx="657">
                  <c:v>274.04979286354632</c:v>
                </c:pt>
                <c:pt idx="658">
                  <c:v>274.26173522311302</c:v>
                </c:pt>
                <c:pt idx="659">
                  <c:v>274.4727627333308</c:v>
                </c:pt>
                <c:pt idx="660">
                  <c:v>274.7025859897156</c:v>
                </c:pt>
                <c:pt idx="661">
                  <c:v>274.89131647738014</c:v>
                </c:pt>
                <c:pt idx="662">
                  <c:v>275.06214914924703</c:v>
                </c:pt>
                <c:pt idx="663">
                  <c:v>275.23804816268733</c:v>
                </c:pt>
                <c:pt idx="664">
                  <c:v>275.40493325559595</c:v>
                </c:pt>
                <c:pt idx="665">
                  <c:v>275.57592894459498</c:v>
                </c:pt>
                <c:pt idx="666">
                  <c:v>275.76890477599204</c:v>
                </c:pt>
                <c:pt idx="667">
                  <c:v>275.91050771354435</c:v>
                </c:pt>
                <c:pt idx="668">
                  <c:v>276.04572654226536</c:v>
                </c:pt>
                <c:pt idx="669">
                  <c:v>276.17014717368562</c:v>
                </c:pt>
                <c:pt idx="670">
                  <c:v>276.33024521175844</c:v>
                </c:pt>
                <c:pt idx="671">
                  <c:v>276.41750645343251</c:v>
                </c:pt>
                <c:pt idx="672">
                  <c:v>276.51583972255258</c:v>
                </c:pt>
                <c:pt idx="673">
                  <c:v>276.62314479994012</c:v>
                </c:pt>
                <c:pt idx="674">
                  <c:v>276.78450654322432</c:v>
                </c:pt>
                <c:pt idx="675">
                  <c:v>276.96675025921212</c:v>
                </c:pt>
                <c:pt idx="676">
                  <c:v>277.14708110240406</c:v>
                </c:pt>
                <c:pt idx="677">
                  <c:v>277.21616487252936</c:v>
                </c:pt>
                <c:pt idx="678">
                  <c:v>277.24963586882262</c:v>
                </c:pt>
                <c:pt idx="679">
                  <c:v>277.27779869599857</c:v>
                </c:pt>
                <c:pt idx="680">
                  <c:v>277.32349224131201</c:v>
                </c:pt>
                <c:pt idx="681">
                  <c:v>277.3922137115477</c:v>
                </c:pt>
                <c:pt idx="682">
                  <c:v>277.47756481889553</c:v>
                </c:pt>
                <c:pt idx="683">
                  <c:v>277.5805741241802</c:v>
                </c:pt>
                <c:pt idx="684">
                  <c:v>277.67619030204906</c:v>
                </c:pt>
                <c:pt idx="685">
                  <c:v>277.82587995078489</c:v>
                </c:pt>
                <c:pt idx="686">
                  <c:v>277.99756273734425</c:v>
                </c:pt>
                <c:pt idx="687">
                  <c:v>278.18902977478365</c:v>
                </c:pt>
                <c:pt idx="688">
                  <c:v>278.32495982677585</c:v>
                </c:pt>
                <c:pt idx="689">
                  <c:v>278.43953734093731</c:v>
                </c:pt>
                <c:pt idx="690">
                  <c:v>278.5803379644106</c:v>
                </c:pt>
                <c:pt idx="691">
                  <c:v>278.73028485033689</c:v>
                </c:pt>
                <c:pt idx="692">
                  <c:v>278.89087903093053</c:v>
                </c:pt>
                <c:pt idx="693">
                  <c:v>279.05892998584665</c:v>
                </c:pt>
                <c:pt idx="694">
                  <c:v>279.17814461285315</c:v>
                </c:pt>
                <c:pt idx="695">
                  <c:v>279.35318795003872</c:v>
                </c:pt>
                <c:pt idx="696">
                  <c:v>279.55136518436672</c:v>
                </c:pt>
                <c:pt idx="697">
                  <c:v>279.7144361775571</c:v>
                </c:pt>
                <c:pt idx="698">
                  <c:v>279.88324775787993</c:v>
                </c:pt>
                <c:pt idx="699">
                  <c:v>280.0039119592941</c:v>
                </c:pt>
                <c:pt idx="700">
                  <c:v>280.05770388009711</c:v>
                </c:pt>
                <c:pt idx="701">
                  <c:v>280.14011478676287</c:v>
                </c:pt>
                <c:pt idx="702">
                  <c:v>280.25683006251649</c:v>
                </c:pt>
                <c:pt idx="703">
                  <c:v>280.37248349473026</c:v>
                </c:pt>
                <c:pt idx="704">
                  <c:v>280.49653838532998</c:v>
                </c:pt>
                <c:pt idx="705">
                  <c:v>280.62731909791376</c:v>
                </c:pt>
                <c:pt idx="706">
                  <c:v>280.76237064917831</c:v>
                </c:pt>
                <c:pt idx="707">
                  <c:v>280.87438686162432</c:v>
                </c:pt>
                <c:pt idx="708">
                  <c:v>280.95404470379725</c:v>
                </c:pt>
                <c:pt idx="709">
                  <c:v>280.99649202017741</c:v>
                </c:pt>
                <c:pt idx="710">
                  <c:v>281.11244732345926</c:v>
                </c:pt>
                <c:pt idx="711">
                  <c:v>281.26724884262882</c:v>
                </c:pt>
                <c:pt idx="712">
                  <c:v>281.45215183921954</c:v>
                </c:pt>
                <c:pt idx="713">
                  <c:v>281.55829958211291</c:v>
                </c:pt>
                <c:pt idx="714">
                  <c:v>281.73314237234064</c:v>
                </c:pt>
                <c:pt idx="715">
                  <c:v>282.03052404027756</c:v>
                </c:pt>
                <c:pt idx="716">
                  <c:v>282.30504618913051</c:v>
                </c:pt>
                <c:pt idx="717">
                  <c:v>282.59096612754718</c:v>
                </c:pt>
                <c:pt idx="718">
                  <c:v>282.7490659670741</c:v>
                </c:pt>
                <c:pt idx="719">
                  <c:v>282.93773197735203</c:v>
                </c:pt>
                <c:pt idx="720">
                  <c:v>283.1669087735973</c:v>
                </c:pt>
                <c:pt idx="721">
                  <c:v>283.29609376092469</c:v>
                </c:pt>
                <c:pt idx="722">
                  <c:v>283.45245103693543</c:v>
                </c:pt>
                <c:pt idx="723">
                  <c:v>283.64964057885646</c:v>
                </c:pt>
                <c:pt idx="724">
                  <c:v>283.81302723976336</c:v>
                </c:pt>
                <c:pt idx="725">
                  <c:v>283.97807174484035</c:v>
                </c:pt>
                <c:pt idx="726">
                  <c:v>284.12426008568769</c:v>
                </c:pt>
                <c:pt idx="727">
                  <c:v>284.27954107986</c:v>
                </c:pt>
                <c:pt idx="728">
                  <c:v>284.43068992483654</c:v>
                </c:pt>
                <c:pt idx="729">
                  <c:v>284.59098156737554</c:v>
                </c:pt>
                <c:pt idx="730">
                  <c:v>284.80321060650618</c:v>
                </c:pt>
                <c:pt idx="731">
                  <c:v>285.06397468007327</c:v>
                </c:pt>
                <c:pt idx="732">
                  <c:v>285.32692020564468</c:v>
                </c:pt>
                <c:pt idx="733">
                  <c:v>285.57998567623531</c:v>
                </c:pt>
                <c:pt idx="734">
                  <c:v>285.9594883063225</c:v>
                </c:pt>
                <c:pt idx="735">
                  <c:v>286.37103568635911</c:v>
                </c:pt>
                <c:pt idx="736">
                  <c:v>286.80883632629582</c:v>
                </c:pt>
                <c:pt idx="737">
                  <c:v>287.13690760663115</c:v>
                </c:pt>
                <c:pt idx="738">
                  <c:v>287.48300802845574</c:v>
                </c:pt>
                <c:pt idx="739">
                  <c:v>287.88267959036165</c:v>
                </c:pt>
                <c:pt idx="740">
                  <c:v>288.02533949493517</c:v>
                </c:pt>
                <c:pt idx="741">
                  <c:v>288.13812218652788</c:v>
                </c:pt>
                <c:pt idx="742">
                  <c:v>288.28450903044302</c:v>
                </c:pt>
                <c:pt idx="743">
                  <c:v>288.45371789581179</c:v>
                </c:pt>
                <c:pt idx="744">
                  <c:v>288.67596945903756</c:v>
                </c:pt>
                <c:pt idx="745">
                  <c:v>288.96665633009195</c:v>
                </c:pt>
                <c:pt idx="746">
                  <c:v>289.13146571984231</c:v>
                </c:pt>
                <c:pt idx="747">
                  <c:v>289.32906307586381</c:v>
                </c:pt>
                <c:pt idx="748">
                  <c:v>289.5347440402831</c:v>
                </c:pt>
                <c:pt idx="749">
                  <c:v>289.70056748266836</c:v>
                </c:pt>
                <c:pt idx="750">
                  <c:v>289.80304939826374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8-FD44-A401-42ED503CD025}"/>
            </c:ext>
          </c:extLst>
        </c:ser>
        <c:ser>
          <c:idx val="2"/>
          <c:order val="2"/>
          <c:tx>
            <c:v>VMC EMA50</c:v>
          </c:tx>
          <c:spPr>
            <a:ln w="28575" cap="rnd">
              <a:solidFill>
                <a:srgbClr val="2CA02C"/>
              </a:solidFill>
              <a:prstDash val="solid"/>
              <a:round/>
            </a:ln>
          </c:spPr>
          <c:marker>
            <c:symbol val="none"/>
          </c:marke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Share_Price_Analysis'!$U$64:$U$815</c:f>
              <c:numCache>
                <c:formatCode>0.0000</c:formatCode>
                <c:ptCount val="752"/>
                <c:pt idx="0" formatCode="0.000">
                  <c:v>179.79</c:v>
                </c:pt>
                <c:pt idx="1">
                  <c:v>179.68960784313725</c:v>
                </c:pt>
                <c:pt idx="2">
                  <c:v>179.65942714340639</c:v>
                </c:pt>
                <c:pt idx="3">
                  <c:v>179.44023392209633</c:v>
                </c:pt>
                <c:pt idx="4">
                  <c:v>179.04218553299449</c:v>
                </c:pt>
                <c:pt idx="5">
                  <c:v>178.52994296307313</c:v>
                </c:pt>
                <c:pt idx="6">
                  <c:v>178.09778833707026</c:v>
                </c:pt>
                <c:pt idx="7">
                  <c:v>177.49826722581258</c:v>
                </c:pt>
                <c:pt idx="8">
                  <c:v>177.05559007970231</c:v>
                </c:pt>
                <c:pt idx="9">
                  <c:v>176.42674340991007</c:v>
                </c:pt>
                <c:pt idx="10">
                  <c:v>175.91079268795283</c:v>
                </c:pt>
                <c:pt idx="11">
                  <c:v>175.5276243472488</c:v>
                </c:pt>
                <c:pt idx="12">
                  <c:v>175.06418809833707</c:v>
                </c:pt>
                <c:pt idx="13">
                  <c:v>174.64990621212777</c:v>
                </c:pt>
                <c:pt idx="14">
                  <c:v>174.31853734106394</c:v>
                </c:pt>
                <c:pt idx="15">
                  <c:v>173.98447705317909</c:v>
                </c:pt>
                <c:pt idx="16">
                  <c:v>173.7513603059956</c:v>
                </c:pt>
                <c:pt idx="17">
                  <c:v>173.60385598027028</c:v>
                </c:pt>
                <c:pt idx="18">
                  <c:v>173.4680184908479</c:v>
                </c:pt>
                <c:pt idx="19">
                  <c:v>173.39319423630485</c:v>
                </c:pt>
                <c:pt idx="20">
                  <c:v>173.37502975644978</c:v>
                </c:pt>
                <c:pt idx="21">
                  <c:v>173.19796976600077</c:v>
                </c:pt>
                <c:pt idx="22">
                  <c:v>172.83961801047133</c:v>
                </c:pt>
                <c:pt idx="23">
                  <c:v>172.52943691202148</c:v>
                </c:pt>
                <c:pt idx="24">
                  <c:v>172.27377271939318</c:v>
                </c:pt>
                <c:pt idx="25">
                  <c:v>172.05009535784836</c:v>
                </c:pt>
                <c:pt idx="26">
                  <c:v>171.86460142224647</c:v>
                </c:pt>
                <c:pt idx="27">
                  <c:v>171.77030332725641</c:v>
                </c:pt>
                <c:pt idx="28">
                  <c:v>171.66480123599146</c:v>
                </c:pt>
                <c:pt idx="29">
                  <c:v>171.6732404032075</c:v>
                </c:pt>
                <c:pt idx="30">
                  <c:v>171.70017215210132</c:v>
                </c:pt>
                <c:pt idx="31">
                  <c:v>171.77232226378362</c:v>
                </c:pt>
                <c:pt idx="32">
                  <c:v>171.79850570441954</c:v>
                </c:pt>
                <c:pt idx="33">
                  <c:v>171.77268195130506</c:v>
                </c:pt>
                <c:pt idx="34">
                  <c:v>171.75845912968526</c:v>
                </c:pt>
                <c:pt idx="35">
                  <c:v>171.67655877165839</c:v>
                </c:pt>
                <c:pt idx="36">
                  <c:v>171.47943881982866</c:v>
                </c:pt>
                <c:pt idx="37">
                  <c:v>171.53828435630598</c:v>
                </c:pt>
                <c:pt idx="38">
                  <c:v>171.6787437933136</c:v>
                </c:pt>
                <c:pt idx="39">
                  <c:v>171.90742050730131</c:v>
                </c:pt>
                <c:pt idx="40">
                  <c:v>172.19614911485812</c:v>
                </c:pt>
                <c:pt idx="41">
                  <c:v>172.44806483584406</c:v>
                </c:pt>
                <c:pt idx="42">
                  <c:v>173.1453956265953</c:v>
                </c:pt>
                <c:pt idx="43">
                  <c:v>173.94636050398373</c:v>
                </c:pt>
                <c:pt idx="44">
                  <c:v>174.68689538618045</c:v>
                </c:pt>
                <c:pt idx="45">
                  <c:v>175.40937007691846</c:v>
                </c:pt>
                <c:pt idx="46">
                  <c:v>176.22037517194127</c:v>
                </c:pt>
                <c:pt idx="47">
                  <c:v>176.95016438088476</c:v>
                </c:pt>
                <c:pt idx="48">
                  <c:v>177.67290303261476</c:v>
                </c:pt>
                <c:pt idx="49">
                  <c:v>178.39827938427692</c:v>
                </c:pt>
                <c:pt idx="50">
                  <c:v>179.04971940842293</c:v>
                </c:pt>
                <c:pt idx="51">
                  <c:v>179.73443629436716</c:v>
                </c:pt>
                <c:pt idx="52">
                  <c:v>180.38837996909785</c:v>
                </c:pt>
                <c:pt idx="53">
                  <c:v>181.04844349972149</c:v>
                </c:pt>
                <c:pt idx="54">
                  <c:v>181.68419081345792</c:v>
                </c:pt>
                <c:pt idx="55">
                  <c:v>182.2142225462635</c:v>
                </c:pt>
                <c:pt idx="56">
                  <c:v>182.68033146601789</c:v>
                </c:pt>
                <c:pt idx="57">
                  <c:v>183.16737729087995</c:v>
                </c:pt>
                <c:pt idx="58">
                  <c:v>183.67061739711997</c:v>
                </c:pt>
                <c:pt idx="59">
                  <c:v>184.15608338154664</c:v>
                </c:pt>
                <c:pt idx="60">
                  <c:v>184.60094285678011</c:v>
                </c:pt>
                <c:pt idx="61">
                  <c:v>185.15776862710248</c:v>
                </c:pt>
                <c:pt idx="62">
                  <c:v>185.84687573976512</c:v>
                </c:pt>
                <c:pt idx="63">
                  <c:v>186.48974335781355</c:v>
                </c:pt>
                <c:pt idx="64">
                  <c:v>187.14191028495813</c:v>
                </c:pt>
                <c:pt idx="65">
                  <c:v>187.84183537182253</c:v>
                </c:pt>
                <c:pt idx="66">
                  <c:v>188.56097908273145</c:v>
                </c:pt>
                <c:pt idx="67">
                  <c:v>189.26996029517335</c:v>
                </c:pt>
                <c:pt idx="68">
                  <c:v>189.92172655810774</c:v>
                </c:pt>
                <c:pt idx="69">
                  <c:v>190.61891375190746</c:v>
                </c:pt>
                <c:pt idx="70">
                  <c:v>191.27660340869539</c:v>
                </c:pt>
                <c:pt idx="71">
                  <c:v>191.96928562796225</c:v>
                </c:pt>
                <c:pt idx="72">
                  <c:v>192.57088227000295</c:v>
                </c:pt>
                <c:pt idx="73">
                  <c:v>193.20261237706168</c:v>
                </c:pt>
                <c:pt idx="74">
                  <c:v>193.88368640149065</c:v>
                </c:pt>
                <c:pt idx="75">
                  <c:v>194.65099281711846</c:v>
                </c:pt>
                <c:pt idx="76">
                  <c:v>195.42664015762364</c:v>
                </c:pt>
                <c:pt idx="77">
                  <c:v>196.18520328869721</c:v>
                </c:pt>
                <c:pt idx="78">
                  <c:v>197.13558747345419</c:v>
                </c:pt>
                <c:pt idx="79">
                  <c:v>198.06595659214227</c:v>
                </c:pt>
                <c:pt idx="80">
                  <c:v>199.11591907872491</c:v>
                </c:pt>
                <c:pt idx="81">
                  <c:v>200.14823597759846</c:v>
                </c:pt>
                <c:pt idx="82">
                  <c:v>201.05771691965342</c:v>
                </c:pt>
                <c:pt idx="83">
                  <c:v>201.8252574326082</c:v>
                </c:pt>
                <c:pt idx="84">
                  <c:v>202.45916890583928</c:v>
                </c:pt>
                <c:pt idx="85">
                  <c:v>203.04429953698283</c:v>
                </c:pt>
                <c:pt idx="86">
                  <c:v>203.68530739827762</c:v>
                </c:pt>
                <c:pt idx="87">
                  <c:v>204.46666789246282</c:v>
                </c:pt>
                <c:pt idx="88">
                  <c:v>205.08679856334663</c:v>
                </c:pt>
                <c:pt idx="89">
                  <c:v>205.80339469811736</c:v>
                </c:pt>
                <c:pt idx="90">
                  <c:v>206.54639882760296</c:v>
                </c:pt>
                <c:pt idx="91">
                  <c:v>207.21948122652051</c:v>
                </c:pt>
                <c:pt idx="92">
                  <c:v>207.87361921763735</c:v>
                </c:pt>
                <c:pt idx="93">
                  <c:v>208.40171258165159</c:v>
                </c:pt>
                <c:pt idx="94">
                  <c:v>208.92046895099858</c:v>
                </c:pt>
                <c:pt idx="95">
                  <c:v>209.4451564431163</c:v>
                </c:pt>
                <c:pt idx="96">
                  <c:v>209.9610326610333</c:v>
                </c:pt>
                <c:pt idx="97">
                  <c:v>210.44295294883594</c:v>
                </c:pt>
                <c:pt idx="98">
                  <c:v>210.9534253822149</c:v>
                </c:pt>
                <c:pt idx="99">
                  <c:v>211.2411341907555</c:v>
                </c:pt>
                <c:pt idx="100">
                  <c:v>211.59207010484351</c:v>
                </c:pt>
                <c:pt idx="101">
                  <c:v>211.94140068896732</c:v>
                </c:pt>
                <c:pt idx="102">
                  <c:v>212.41311046587057</c:v>
                </c:pt>
                <c:pt idx="103">
                  <c:v>212.83141985936587</c:v>
                </c:pt>
                <c:pt idx="104">
                  <c:v>213.35528574723389</c:v>
                </c:pt>
                <c:pt idx="105">
                  <c:v>213.85115689440121</c:v>
                </c:pt>
                <c:pt idx="106">
                  <c:v>214.4342487808953</c:v>
                </c:pt>
                <c:pt idx="107">
                  <c:v>214.92074882870335</c:v>
                </c:pt>
                <c:pt idx="108">
                  <c:v>215.25248416875419</c:v>
                </c:pt>
                <c:pt idx="109">
                  <c:v>215.60768086801875</c:v>
                </c:pt>
                <c:pt idx="110">
                  <c:v>215.93365416731214</c:v>
                </c:pt>
                <c:pt idx="111">
                  <c:v>216.29429518035874</c:v>
                </c:pt>
                <c:pt idx="112">
                  <c:v>216.60196987916819</c:v>
                </c:pt>
                <c:pt idx="113">
                  <c:v>216.83326517802433</c:v>
                </c:pt>
                <c:pt idx="114">
                  <c:v>216.69588222986653</c:v>
                </c:pt>
                <c:pt idx="115">
                  <c:v>216.50388684830315</c:v>
                </c:pt>
                <c:pt idx="116">
                  <c:v>216.34961677582069</c:v>
                </c:pt>
                <c:pt idx="117">
                  <c:v>216.28022003951401</c:v>
                </c:pt>
                <c:pt idx="118">
                  <c:v>216.31079964580758</c:v>
                </c:pt>
                <c:pt idx="119">
                  <c:v>216.25861142440337</c:v>
                </c:pt>
                <c:pt idx="120">
                  <c:v>216.2025874469758</c:v>
                </c:pt>
                <c:pt idx="121">
                  <c:v>216.15974088042773</c:v>
                </c:pt>
                <c:pt idx="122">
                  <c:v>216.25504515962663</c:v>
                </c:pt>
                <c:pt idx="123">
                  <c:v>216.3328865259158</c:v>
                </c:pt>
                <c:pt idx="124">
                  <c:v>216.40806744646812</c:v>
                </c:pt>
                <c:pt idx="125">
                  <c:v>216.6634373505282</c:v>
                </c:pt>
                <c:pt idx="126">
                  <c:v>216.64683196423297</c:v>
                </c:pt>
                <c:pt idx="127">
                  <c:v>216.59009345583169</c:v>
                </c:pt>
                <c:pt idx="128">
                  <c:v>216.54969763403437</c:v>
                </c:pt>
                <c:pt idx="129">
                  <c:v>216.53794478564086</c:v>
                </c:pt>
                <c:pt idx="130">
                  <c:v>216.53998616659612</c:v>
                </c:pt>
                <c:pt idx="131">
                  <c:v>216.47057494437666</c:v>
                </c:pt>
                <c:pt idx="132">
                  <c:v>216.36349357400894</c:v>
                </c:pt>
                <c:pt idx="133">
                  <c:v>216.30884676718509</c:v>
                </c:pt>
                <c:pt idx="134">
                  <c:v>216.08457826651116</c:v>
                </c:pt>
                <c:pt idx="135">
                  <c:v>215.91224186390289</c:v>
                </c:pt>
                <c:pt idx="136">
                  <c:v>215.67568335943611</c:v>
                </c:pt>
                <c:pt idx="137">
                  <c:v>215.43546048259549</c:v>
                </c:pt>
                <c:pt idx="138">
                  <c:v>214.92230516955254</c:v>
                </c:pt>
                <c:pt idx="139">
                  <c:v>214.36143045702107</c:v>
                </c:pt>
                <c:pt idx="140">
                  <c:v>213.87823710576535</c:v>
                </c:pt>
                <c:pt idx="141">
                  <c:v>213.38693368985301</c:v>
                </c:pt>
                <c:pt idx="142">
                  <c:v>213.00313236868232</c:v>
                </c:pt>
                <c:pt idx="143">
                  <c:v>212.69046051108694</c:v>
                </c:pt>
                <c:pt idx="144">
                  <c:v>212.27201107927962</c:v>
                </c:pt>
                <c:pt idx="145">
                  <c:v>211.82722633107258</c:v>
                </c:pt>
                <c:pt idx="146">
                  <c:v>211.36302137691288</c:v>
                </c:pt>
                <c:pt idx="147">
                  <c:v>211.11466759742609</c:v>
                </c:pt>
                <c:pt idx="148">
                  <c:v>210.95134729948782</c:v>
                </c:pt>
                <c:pt idx="149">
                  <c:v>211.00815720931186</c:v>
                </c:pt>
                <c:pt idx="150">
                  <c:v>210.97842555404475</c:v>
                </c:pt>
                <c:pt idx="151">
                  <c:v>210.9792716107489</c:v>
                </c:pt>
                <c:pt idx="152">
                  <c:v>211.12753546915093</c:v>
                </c:pt>
                <c:pt idx="153">
                  <c:v>211.10802427428226</c:v>
                </c:pt>
                <c:pt idx="154">
                  <c:v>211.03672920470257</c:v>
                </c:pt>
                <c:pt idx="155">
                  <c:v>211.11528884373382</c:v>
                </c:pt>
                <c:pt idx="156">
                  <c:v>211.25939516358739</c:v>
                </c:pt>
                <c:pt idx="157">
                  <c:v>210.9645169218781</c:v>
                </c:pt>
                <c:pt idx="158">
                  <c:v>210.6400260621966</c:v>
                </c:pt>
                <c:pt idx="159">
                  <c:v>210.2835544519144</c:v>
                </c:pt>
                <c:pt idx="160">
                  <c:v>209.97831702242758</c:v>
                </c:pt>
                <c:pt idx="161">
                  <c:v>209.78897125684216</c:v>
                </c:pt>
                <c:pt idx="162">
                  <c:v>209.53724689382875</c:v>
                </c:pt>
                <c:pt idx="163">
                  <c:v>208.92676662348251</c:v>
                </c:pt>
                <c:pt idx="164">
                  <c:v>208.32924636373809</c:v>
                </c:pt>
                <c:pt idx="165">
                  <c:v>207.84535434947387</c:v>
                </c:pt>
                <c:pt idx="166">
                  <c:v>207.40004633576902</c:v>
                </c:pt>
                <c:pt idx="167">
                  <c:v>207.25886804809181</c:v>
                </c:pt>
                <c:pt idx="168">
                  <c:v>207.24165753640193</c:v>
                </c:pt>
                <c:pt idx="169">
                  <c:v>207.26276900556266</c:v>
                </c:pt>
                <c:pt idx="170">
                  <c:v>207.25795453475629</c:v>
                </c:pt>
                <c:pt idx="171">
                  <c:v>207.25607396476585</c:v>
                </c:pt>
                <c:pt idx="172">
                  <c:v>207.30211027987309</c:v>
                </c:pt>
                <c:pt idx="173">
                  <c:v>207.37771379830946</c:v>
                </c:pt>
                <c:pt idx="174">
                  <c:v>207.54564659053264</c:v>
                </c:pt>
                <c:pt idx="175">
                  <c:v>207.6611114301196</c:v>
                </c:pt>
                <c:pt idx="176">
                  <c:v>208.00930313874238</c:v>
                </c:pt>
                <c:pt idx="177">
                  <c:v>208.12148732937996</c:v>
                </c:pt>
                <c:pt idx="178">
                  <c:v>208.28417410077682</c:v>
                </c:pt>
                <c:pt idx="179">
                  <c:v>208.44361825368753</c:v>
                </c:pt>
                <c:pt idx="180">
                  <c:v>208.51955479275861</c:v>
                </c:pt>
                <c:pt idx="181">
                  <c:v>208.57133695774846</c:v>
                </c:pt>
                <c:pt idx="182">
                  <c:v>208.70187276332695</c:v>
                </c:pt>
                <c:pt idx="183">
                  <c:v>208.81866206672589</c:v>
                </c:pt>
                <c:pt idx="184">
                  <c:v>208.97675375038369</c:v>
                </c:pt>
                <c:pt idx="185">
                  <c:v>209.06237125036864</c:v>
                </c:pt>
                <c:pt idx="186">
                  <c:v>209.20423904447185</c:v>
                </c:pt>
                <c:pt idx="187">
                  <c:v>209.37505319959061</c:v>
                </c:pt>
                <c:pt idx="188">
                  <c:v>209.62034523097924</c:v>
                </c:pt>
                <c:pt idx="189">
                  <c:v>209.82346894741144</c:v>
                </c:pt>
                <c:pt idx="190">
                  <c:v>209.90960742006197</c:v>
                </c:pt>
                <c:pt idx="191">
                  <c:v>209.98883850162818</c:v>
                </c:pt>
                <c:pt idx="192">
                  <c:v>210.15280561921139</c:v>
                </c:pt>
                <c:pt idx="193">
                  <c:v>210.38328383022272</c:v>
                </c:pt>
                <c:pt idx="194">
                  <c:v>210.71570407217479</c:v>
                </c:pt>
                <c:pt idx="195">
                  <c:v>211.11508822620715</c:v>
                </c:pt>
                <c:pt idx="196">
                  <c:v>211.60743770753237</c:v>
                </c:pt>
                <c:pt idx="197">
                  <c:v>212.12322446409974</c:v>
                </c:pt>
                <c:pt idx="198">
                  <c:v>212.60270585766443</c:v>
                </c:pt>
                <c:pt idx="199">
                  <c:v>212.99867817697171</c:v>
                </c:pt>
                <c:pt idx="200">
                  <c:v>213.45716138571791</c:v>
                </c:pt>
                <c:pt idx="201">
                  <c:v>213.7600178019643</c:v>
                </c:pt>
                <c:pt idx="202">
                  <c:v>214.13335043718138</c:v>
                </c:pt>
                <c:pt idx="203">
                  <c:v>214.5567484592527</c:v>
                </c:pt>
                <c:pt idx="204">
                  <c:v>214.99177793143886</c:v>
                </c:pt>
                <c:pt idx="205">
                  <c:v>215.41641409099029</c:v>
                </c:pt>
                <c:pt idx="206">
                  <c:v>215.80949589134363</c:v>
                </c:pt>
                <c:pt idx="207">
                  <c:v>216.24873134658506</c:v>
                </c:pt>
                <c:pt idx="208">
                  <c:v>216.53701639181705</c:v>
                </c:pt>
                <c:pt idx="209">
                  <c:v>216.64654516076538</c:v>
                </c:pt>
                <c:pt idx="210">
                  <c:v>216.80471986034323</c:v>
                </c:pt>
                <c:pt idx="211">
                  <c:v>216.99355437562389</c:v>
                </c:pt>
                <c:pt idx="212">
                  <c:v>217.26831694912883</c:v>
                </c:pt>
                <c:pt idx="213">
                  <c:v>217.509559421712</c:v>
                </c:pt>
                <c:pt idx="214">
                  <c:v>217.84683160125272</c:v>
                </c:pt>
                <c:pt idx="215">
                  <c:v>218.10224996983106</c:v>
                </c:pt>
                <c:pt idx="216">
                  <c:v>218.33196565728866</c:v>
                </c:pt>
                <c:pt idx="217">
                  <c:v>218.49071210210087</c:v>
                </c:pt>
                <c:pt idx="218">
                  <c:v>218.59931162750868</c:v>
                </c:pt>
                <c:pt idx="219">
                  <c:v>218.85502489701815</c:v>
                </c:pt>
                <c:pt idx="220">
                  <c:v>219.13835725399784</c:v>
                </c:pt>
                <c:pt idx="221">
                  <c:v>219.45763736168419</c:v>
                </c:pt>
                <c:pt idx="222">
                  <c:v>219.58871040632405</c:v>
                </c:pt>
                <c:pt idx="223">
                  <c:v>219.59699627274273</c:v>
                </c:pt>
                <c:pt idx="224">
                  <c:v>219.74652583067439</c:v>
                </c:pt>
                <c:pt idx="225">
                  <c:v>219.84901501378519</c:v>
                </c:pt>
                <c:pt idx="226">
                  <c:v>220.22238697402892</c:v>
                </c:pt>
                <c:pt idx="227">
                  <c:v>220.64699924955721</c:v>
                </c:pt>
                <c:pt idx="228">
                  <c:v>220.85731300447657</c:v>
                </c:pt>
                <c:pt idx="229">
                  <c:v>221.22996739645788</c:v>
                </c:pt>
                <c:pt idx="230">
                  <c:v>221.74800789071443</c:v>
                </c:pt>
                <c:pt idx="231">
                  <c:v>222.05788993421584</c:v>
                </c:pt>
                <c:pt idx="232">
                  <c:v>222.43130601522699</c:v>
                </c:pt>
                <c:pt idx="233">
                  <c:v>222.98380381855145</c:v>
                </c:pt>
                <c:pt idx="234">
                  <c:v>223.58992915900041</c:v>
                </c:pt>
                <c:pt idx="235">
                  <c:v>224.23346134884352</c:v>
                </c:pt>
                <c:pt idx="236">
                  <c:v>224.85685502143789</c:v>
                </c:pt>
                <c:pt idx="237">
                  <c:v>225.33776266765602</c:v>
                </c:pt>
                <c:pt idx="238">
                  <c:v>225.95588962186562</c:v>
                </c:pt>
                <c:pt idx="239">
                  <c:v>226.60310963669443</c:v>
                </c:pt>
                <c:pt idx="240">
                  <c:v>227.72259553329465</c:v>
                </c:pt>
                <c:pt idx="241">
                  <c:v>228.65033688493014</c:v>
                </c:pt>
                <c:pt idx="242">
                  <c:v>229.62208837963877</c:v>
                </c:pt>
                <c:pt idx="243">
                  <c:v>230.69337903141763</c:v>
                </c:pt>
                <c:pt idx="244">
                  <c:v>231.73403083410716</c:v>
                </c:pt>
                <c:pt idx="245">
                  <c:v>232.88485315433826</c:v>
                </c:pt>
                <c:pt idx="246">
                  <c:v>234.08780008946226</c:v>
                </c:pt>
                <c:pt idx="247">
                  <c:v>235.19416087026767</c:v>
                </c:pt>
                <c:pt idx="248">
                  <c:v>236.39635064006112</c:v>
                </c:pt>
                <c:pt idx="249">
                  <c:v>237.61335649731365</c:v>
                </c:pt>
                <c:pt idx="250">
                  <c:v>238.79910722290919</c:v>
                </c:pt>
                <c:pt idx="251">
                  <c:v>239.82580890044218</c:v>
                </c:pt>
                <c:pt idx="252">
                  <c:v>240.90479678669934</c:v>
                </c:pt>
                <c:pt idx="253">
                  <c:v>242.09166750094641</c:v>
                </c:pt>
                <c:pt idx="254">
                  <c:v>243.05670014796814</c:v>
                </c:pt>
                <c:pt idx="255">
                  <c:v>243.91526092647919</c:v>
                </c:pt>
                <c:pt idx="256">
                  <c:v>244.92172128230354</c:v>
                </c:pt>
                <c:pt idx="257">
                  <c:v>245.87851652613477</c:v>
                </c:pt>
                <c:pt idx="258">
                  <c:v>246.85308450550204</c:v>
                </c:pt>
                <c:pt idx="259">
                  <c:v>247.6376694268549</c:v>
                </c:pt>
                <c:pt idx="260">
                  <c:v>248.49187846893903</c:v>
                </c:pt>
                <c:pt idx="261">
                  <c:v>249.2965106858434</c:v>
                </c:pt>
                <c:pt idx="262">
                  <c:v>250.1766475216927</c:v>
                </c:pt>
                <c:pt idx="263">
                  <c:v>251.17324957966554</c:v>
                </c:pt>
                <c:pt idx="264">
                  <c:v>252.08253390987474</c:v>
                </c:pt>
                <c:pt idx="265">
                  <c:v>252.88792473693849</c:v>
                </c:pt>
                <c:pt idx="266">
                  <c:v>253.71075121784287</c:v>
                </c:pt>
                <c:pt idx="267">
                  <c:v>254.45895705243726</c:v>
                </c:pt>
                <c:pt idx="268">
                  <c:v>255.18291952096911</c:v>
                </c:pt>
                <c:pt idx="269">
                  <c:v>255.75182463779385</c:v>
                </c:pt>
                <c:pt idx="270">
                  <c:v>256.16351778925292</c:v>
                </c:pt>
                <c:pt idx="271">
                  <c:v>256.65788964065479</c:v>
                </c:pt>
                <c:pt idx="272">
                  <c:v>257.0199331841585</c:v>
                </c:pt>
                <c:pt idx="273">
                  <c:v>257.53483776517191</c:v>
                </c:pt>
                <c:pt idx="274">
                  <c:v>258.01268726457693</c:v>
                </c:pt>
                <c:pt idx="275">
                  <c:v>258.31101325420138</c:v>
                </c:pt>
                <c:pt idx="276">
                  <c:v>258.55607155795821</c:v>
                </c:pt>
                <c:pt idx="277">
                  <c:v>258.82838247725397</c:v>
                </c:pt>
                <c:pt idx="278">
                  <c:v>258.98334787030285</c:v>
                </c:pt>
                <c:pt idx="279">
                  <c:v>259.04164795382036</c:v>
                </c:pt>
                <c:pt idx="280">
                  <c:v>259.02197548504307</c:v>
                </c:pt>
                <c:pt idx="281">
                  <c:v>258.99209409347276</c:v>
                </c:pt>
                <c:pt idx="282">
                  <c:v>258.83828648196402</c:v>
                </c:pt>
                <c:pt idx="283">
                  <c:v>258.57247132580858</c:v>
                </c:pt>
                <c:pt idx="284">
                  <c:v>258.41198225420823</c:v>
                </c:pt>
                <c:pt idx="285">
                  <c:v>258.44837510698437</c:v>
                </c:pt>
                <c:pt idx="286">
                  <c:v>258.36804667141638</c:v>
                </c:pt>
                <c:pt idx="287">
                  <c:v>258.37478993920399</c:v>
                </c:pt>
                <c:pt idx="288">
                  <c:v>258.48715111805876</c:v>
                </c:pt>
                <c:pt idx="289">
                  <c:v>258.60334127029176</c:v>
                </c:pt>
                <c:pt idx="290">
                  <c:v>258.56517102439796</c:v>
                </c:pt>
                <c:pt idx="291">
                  <c:v>258.61085059206863</c:v>
                </c:pt>
                <c:pt idx="292">
                  <c:v>258.83826821590907</c:v>
                </c:pt>
                <c:pt idx="293">
                  <c:v>259.05794397214794</c:v>
                </c:pt>
                <c:pt idx="294">
                  <c:v>259.35410303206373</c:v>
                </c:pt>
                <c:pt idx="295">
                  <c:v>259.70688330531613</c:v>
                </c:pt>
                <c:pt idx="296">
                  <c:v>260.02935846981353</c:v>
                </c:pt>
                <c:pt idx="297">
                  <c:v>260.44742284354635</c:v>
                </c:pt>
                <c:pt idx="298">
                  <c:v>260.90321018301512</c:v>
                </c:pt>
                <c:pt idx="299">
                  <c:v>261.26347645034787</c:v>
                </c:pt>
                <c:pt idx="300">
                  <c:v>261.51784992288322</c:v>
                </c:pt>
                <c:pt idx="301">
                  <c:v>261.87009110237801</c:v>
                </c:pt>
                <c:pt idx="302">
                  <c:v>261.79675419640239</c:v>
                </c:pt>
                <c:pt idx="303">
                  <c:v>261.69099912987684</c:v>
                </c:pt>
                <c:pt idx="304">
                  <c:v>261.63292073262676</c:v>
                </c:pt>
                <c:pt idx="305">
                  <c:v>261.65437482154334</c:v>
                </c:pt>
                <c:pt idx="306">
                  <c:v>261.62361502462011</c:v>
                </c:pt>
                <c:pt idx="307">
                  <c:v>261.45053208247816</c:v>
                </c:pt>
                <c:pt idx="308">
                  <c:v>261.36423670669473</c:v>
                </c:pt>
                <c:pt idx="309">
                  <c:v>261.07465879662828</c:v>
                </c:pt>
                <c:pt idx="310">
                  <c:v>260.71526041244681</c:v>
                </c:pt>
                <c:pt idx="311">
                  <c:v>260.4550541217626</c:v>
                </c:pt>
                <c:pt idx="312">
                  <c:v>260.2713265091445</c:v>
                </c:pt>
                <c:pt idx="313">
                  <c:v>259.95441174408001</c:v>
                </c:pt>
                <c:pt idx="314">
                  <c:v>259.58208187176314</c:v>
                </c:pt>
                <c:pt idx="315">
                  <c:v>259.25258846502732</c:v>
                </c:pt>
                <c:pt idx="316">
                  <c:v>258.83405558404587</c:v>
                </c:pt>
                <c:pt idx="317">
                  <c:v>258.39311222780879</c:v>
                </c:pt>
                <c:pt idx="318">
                  <c:v>257.97808821887509</c:v>
                </c:pt>
                <c:pt idx="319">
                  <c:v>257.45502593578192</c:v>
                </c:pt>
                <c:pt idx="320">
                  <c:v>257.12816217359438</c:v>
                </c:pt>
                <c:pt idx="321">
                  <c:v>257.00352836286521</c:v>
                </c:pt>
                <c:pt idx="322">
                  <c:v>256.83240960353714</c:v>
                </c:pt>
                <c:pt idx="323">
                  <c:v>256.81349157986904</c:v>
                </c:pt>
                <c:pt idx="324">
                  <c:v>256.7662958316389</c:v>
                </c:pt>
                <c:pt idx="325">
                  <c:v>256.3621273676531</c:v>
                </c:pt>
                <c:pt idx="326">
                  <c:v>256.02674982382359</c:v>
                </c:pt>
                <c:pt idx="327">
                  <c:v>255.69550473269328</c:v>
                </c:pt>
                <c:pt idx="328">
                  <c:v>255.32117121376413</c:v>
                </c:pt>
                <c:pt idx="329">
                  <c:v>254.95092920538124</c:v>
                </c:pt>
                <c:pt idx="330">
                  <c:v>254.66893198164081</c:v>
                </c:pt>
                <c:pt idx="331">
                  <c:v>254.43407190392941</c:v>
                </c:pt>
                <c:pt idx="332">
                  <c:v>254.01391222142237</c:v>
                </c:pt>
                <c:pt idx="333">
                  <c:v>253.66317056568033</c:v>
                </c:pt>
                <c:pt idx="334">
                  <c:v>253.28108544545759</c:v>
                </c:pt>
                <c:pt idx="335">
                  <c:v>252.92535660445924</c:v>
                </c:pt>
                <c:pt idx="336">
                  <c:v>252.49573477683342</c:v>
                </c:pt>
                <c:pt idx="337">
                  <c:v>252.09394125617328</c:v>
                </c:pt>
                <c:pt idx="338">
                  <c:v>251.92241414808805</c:v>
                </c:pt>
                <c:pt idx="339">
                  <c:v>252.03094692659442</c:v>
                </c:pt>
                <c:pt idx="340">
                  <c:v>252.04973332162996</c:v>
                </c:pt>
                <c:pt idx="341">
                  <c:v>252.12229279921311</c:v>
                </c:pt>
                <c:pt idx="342">
                  <c:v>252.541418571793</c:v>
                </c:pt>
                <c:pt idx="343">
                  <c:v>252.66920607878151</c:v>
                </c:pt>
                <c:pt idx="344">
                  <c:v>252.80335486000575</c:v>
                </c:pt>
                <c:pt idx="345">
                  <c:v>252.93420368902514</c:v>
                </c:pt>
                <c:pt idx="346">
                  <c:v>253.23521530906336</c:v>
                </c:pt>
                <c:pt idx="347">
                  <c:v>253.5063833361589</c:v>
                </c:pt>
                <c:pt idx="348">
                  <c:v>253.38887810728991</c:v>
                </c:pt>
                <c:pt idx="349">
                  <c:v>253.40382406386678</c:v>
                </c:pt>
                <c:pt idx="350">
                  <c:v>253.72955645351905</c:v>
                </c:pt>
                <c:pt idx="351">
                  <c:v>254.15310325926342</c:v>
                </c:pt>
                <c:pt idx="352">
                  <c:v>254.77455019027272</c:v>
                </c:pt>
                <c:pt idx="353">
                  <c:v>255.54848939849731</c:v>
                </c:pt>
                <c:pt idx="354">
                  <c:v>256.15952902992882</c:v>
                </c:pt>
                <c:pt idx="355">
                  <c:v>256.55876318561792</c:v>
                </c:pt>
                <c:pt idx="356">
                  <c:v>256.59292933520157</c:v>
                </c:pt>
                <c:pt idx="357">
                  <c:v>256.18301053774269</c:v>
                </c:pt>
                <c:pt idx="358">
                  <c:v>255.59622581077241</c:v>
                </c:pt>
                <c:pt idx="359">
                  <c:v>255.2328444064284</c:v>
                </c:pt>
                <c:pt idx="360">
                  <c:v>254.80567403754887</c:v>
                </c:pt>
                <c:pt idx="361">
                  <c:v>254.29956917333129</c:v>
                </c:pt>
                <c:pt idx="362">
                  <c:v>253.88938999006339</c:v>
                </c:pt>
                <c:pt idx="363">
                  <c:v>253.44274724535504</c:v>
                </c:pt>
                <c:pt idx="364">
                  <c:v>253.17322774553719</c:v>
                </c:pt>
                <c:pt idx="365">
                  <c:v>252.83035606924162</c:v>
                </c:pt>
                <c:pt idx="366">
                  <c:v>252.49544014495766</c:v>
                </c:pt>
                <c:pt idx="367">
                  <c:v>252.22503072750834</c:v>
                </c:pt>
                <c:pt idx="368">
                  <c:v>252.0530687381943</c:v>
                </c:pt>
                <c:pt idx="369">
                  <c:v>251.89334055238277</c:v>
                </c:pt>
                <c:pt idx="370">
                  <c:v>252.01085660915209</c:v>
                </c:pt>
                <c:pt idx="371">
                  <c:v>251.95866615389124</c:v>
                </c:pt>
                <c:pt idx="372">
                  <c:v>251.50577728511121</c:v>
                </c:pt>
                <c:pt idx="373">
                  <c:v>250.88868797981274</c:v>
                </c:pt>
                <c:pt idx="374">
                  <c:v>250.51187668648677</c:v>
                </c:pt>
                <c:pt idx="375">
                  <c:v>250.30395995368337</c:v>
                </c:pt>
                <c:pt idx="376">
                  <c:v>249.86145172020559</c:v>
                </c:pt>
                <c:pt idx="377">
                  <c:v>249.27198302529558</c:v>
                </c:pt>
                <c:pt idx="378">
                  <c:v>248.60092486744085</c:v>
                </c:pt>
                <c:pt idx="379">
                  <c:v>247.94873173538434</c:v>
                </c:pt>
                <c:pt idx="380">
                  <c:v>247.31662460850654</c:v>
                </c:pt>
                <c:pt idx="381">
                  <c:v>246.7532275650357</c:v>
                </c:pt>
                <c:pt idx="382">
                  <c:v>246.2119245232696</c:v>
                </c:pt>
                <c:pt idx="383">
                  <c:v>245.82204513020019</c:v>
                </c:pt>
                <c:pt idx="384">
                  <c:v>245.49451394862373</c:v>
                </c:pt>
                <c:pt idx="385">
                  <c:v>245.39159183299145</c:v>
                </c:pt>
                <c:pt idx="386">
                  <c:v>245.38094117287415</c:v>
                </c:pt>
                <c:pt idx="387">
                  <c:v>245.34247289158498</c:v>
                </c:pt>
                <c:pt idx="388">
                  <c:v>245.66904258211105</c:v>
                </c:pt>
                <c:pt idx="389">
                  <c:v>245.91927620634198</c:v>
                </c:pt>
                <c:pt idx="390">
                  <c:v>246.17067713942663</c:v>
                </c:pt>
                <c:pt idx="391">
                  <c:v>246.31574862415502</c:v>
                </c:pt>
                <c:pt idx="392">
                  <c:v>246.44571926634501</c:v>
                </c:pt>
                <c:pt idx="393">
                  <c:v>246.60784792256678</c:v>
                </c:pt>
                <c:pt idx="394">
                  <c:v>246.75028525893671</c:v>
                </c:pt>
                <c:pt idx="395">
                  <c:v>246.89458779780193</c:v>
                </c:pt>
                <c:pt idx="396">
                  <c:v>246.91793729592737</c:v>
                </c:pt>
                <c:pt idx="397">
                  <c:v>246.66468485294985</c:v>
                </c:pt>
                <c:pt idx="398">
                  <c:v>246.44646191754006</c:v>
                </c:pt>
                <c:pt idx="399">
                  <c:v>246.24973792077378</c:v>
                </c:pt>
                <c:pt idx="400">
                  <c:v>245.92739525721404</c:v>
                </c:pt>
                <c:pt idx="401">
                  <c:v>245.62396799222526</c:v>
                </c:pt>
                <c:pt idx="402">
                  <c:v>245.46773395331448</c:v>
                </c:pt>
                <c:pt idx="403">
                  <c:v>245.4062541904394</c:v>
                </c:pt>
                <c:pt idx="404">
                  <c:v>245.48875402610847</c:v>
                </c:pt>
                <c:pt idx="405">
                  <c:v>245.61468524077088</c:v>
                </c:pt>
                <c:pt idx="406">
                  <c:v>245.89607013328967</c:v>
                </c:pt>
                <c:pt idx="407">
                  <c:v>246.31112620649401</c:v>
                </c:pt>
                <c:pt idx="408">
                  <c:v>246.79461145329819</c:v>
                </c:pt>
                <c:pt idx="409">
                  <c:v>247.37992080807081</c:v>
                </c:pt>
                <c:pt idx="410">
                  <c:v>247.8724729332445</c:v>
                </c:pt>
                <c:pt idx="411">
                  <c:v>248.10178772017608</c:v>
                </c:pt>
                <c:pt idx="412">
                  <c:v>248.31622741742407</c:v>
                </c:pt>
                <c:pt idx="413">
                  <c:v>248.62304202850547</c:v>
                </c:pt>
                <c:pt idx="414">
                  <c:v>248.93351096856409</c:v>
                </c:pt>
                <c:pt idx="415">
                  <c:v>249.30866740116943</c:v>
                </c:pt>
                <c:pt idx="416">
                  <c:v>249.7102882873981</c:v>
                </c:pt>
                <c:pt idx="417">
                  <c:v>250.75027698200995</c:v>
                </c:pt>
                <c:pt idx="418">
                  <c:v>251.65928572781348</c:v>
                </c:pt>
                <c:pt idx="419">
                  <c:v>252.39382354240902</c:v>
                </c:pt>
                <c:pt idx="420">
                  <c:v>253.03955595251063</c:v>
                </c:pt>
                <c:pt idx="421">
                  <c:v>253.8093772877063</c:v>
                </c:pt>
                <c:pt idx="422">
                  <c:v>255.24626445289428</c:v>
                </c:pt>
                <c:pt idx="423">
                  <c:v>256.63229329787885</c:v>
                </c:pt>
                <c:pt idx="424">
                  <c:v>258.0314190509032</c:v>
                </c:pt>
                <c:pt idx="425">
                  <c:v>259.36508889204424</c:v>
                </c:pt>
                <c:pt idx="426">
                  <c:v>260.50292854333662</c:v>
                </c:pt>
                <c:pt idx="427">
                  <c:v>261.5698725220293</c:v>
                </c:pt>
                <c:pt idx="428">
                  <c:v>262.39772065842033</c:v>
                </c:pt>
                <c:pt idx="429">
                  <c:v>263.05977082867838</c:v>
                </c:pt>
                <c:pt idx="430">
                  <c:v>263.67468177657332</c:v>
                </c:pt>
                <c:pt idx="431">
                  <c:v>264.23685111866848</c:v>
                </c:pt>
                <c:pt idx="432">
                  <c:v>264.76913146695597</c:v>
                </c:pt>
                <c:pt idx="433">
                  <c:v>265.41269493884005</c:v>
                </c:pt>
                <c:pt idx="434">
                  <c:v>266.16553043143455</c:v>
                </c:pt>
                <c:pt idx="435">
                  <c:v>267.11472531647632</c:v>
                </c:pt>
                <c:pt idx="436">
                  <c:v>267.94944197073215</c:v>
                </c:pt>
                <c:pt idx="437">
                  <c:v>268.67260110913486</c:v>
                </c:pt>
                <c:pt idx="438">
                  <c:v>269.43563635975704</c:v>
                </c:pt>
                <c:pt idx="439">
                  <c:v>270.12639571819795</c:v>
                </c:pt>
                <c:pt idx="440">
                  <c:v>270.76849784689608</c:v>
                </c:pt>
                <c:pt idx="441">
                  <c:v>271.35208616662567</c:v>
                </c:pt>
                <c:pt idx="442">
                  <c:v>271.99043572871875</c:v>
                </c:pt>
                <c:pt idx="443">
                  <c:v>272.57355589622</c:v>
                </c:pt>
                <c:pt idx="444">
                  <c:v>272.91302429244666</c:v>
                </c:pt>
                <c:pt idx="445">
                  <c:v>273.04623902607619</c:v>
                </c:pt>
                <c:pt idx="446">
                  <c:v>273.3016806328967</c:v>
                </c:pt>
                <c:pt idx="447">
                  <c:v>273.49024217670467</c:v>
                </c:pt>
                <c:pt idx="448">
                  <c:v>273.5796444442849</c:v>
                </c:pt>
                <c:pt idx="449">
                  <c:v>273.71377603470512</c:v>
                </c:pt>
                <c:pt idx="450">
                  <c:v>273.6720593274618</c:v>
                </c:pt>
                <c:pt idx="451">
                  <c:v>273.32766484403191</c:v>
                </c:pt>
                <c:pt idx="452">
                  <c:v>272.8410897521091</c:v>
                </c:pt>
                <c:pt idx="453">
                  <c:v>272.46026270300678</c:v>
                </c:pt>
                <c:pt idx="454">
                  <c:v>272.08417396955554</c:v>
                </c:pt>
                <c:pt idx="455">
                  <c:v>271.77930440212202</c:v>
                </c:pt>
                <c:pt idx="456">
                  <c:v>271.49580226870546</c:v>
                </c:pt>
                <c:pt idx="457">
                  <c:v>271.13753551306996</c:v>
                </c:pt>
                <c:pt idx="458">
                  <c:v>270.62861255177313</c:v>
                </c:pt>
                <c:pt idx="459">
                  <c:v>270.10317676542905</c:v>
                </c:pt>
                <c:pt idx="460">
                  <c:v>269.53324826482395</c:v>
                </c:pt>
                <c:pt idx="461">
                  <c:v>269.04684637208572</c:v>
                </c:pt>
                <c:pt idx="462">
                  <c:v>268.58932298494517</c:v>
                </c:pt>
                <c:pt idx="463">
                  <c:v>267.93797698553556</c:v>
                </c:pt>
                <c:pt idx="464">
                  <c:v>267.4415857312008</c:v>
                </c:pt>
                <c:pt idx="465">
                  <c:v>266.82387648683999</c:v>
                </c:pt>
                <c:pt idx="466">
                  <c:v>266.40058721284629</c:v>
                </c:pt>
                <c:pt idx="467">
                  <c:v>266.1523288907739</c:v>
                </c:pt>
                <c:pt idx="468">
                  <c:v>266.23223756172393</c:v>
                </c:pt>
                <c:pt idx="469">
                  <c:v>266.34744393185241</c:v>
                </c:pt>
                <c:pt idx="470">
                  <c:v>266.49460299334839</c:v>
                </c:pt>
                <c:pt idx="471">
                  <c:v>266.84893228772688</c:v>
                </c:pt>
                <c:pt idx="472">
                  <c:v>267.14426827644348</c:v>
                </c:pt>
                <c:pt idx="473">
                  <c:v>267.44566952050451</c:v>
                </c:pt>
                <c:pt idx="474">
                  <c:v>267.84152561773965</c:v>
                </c:pt>
                <c:pt idx="475">
                  <c:v>268.12185794645575</c:v>
                </c:pt>
                <c:pt idx="476">
                  <c:v>268.39551057600653</c:v>
                </c:pt>
                <c:pt idx="477">
                  <c:v>268.54470623969257</c:v>
                </c:pt>
                <c:pt idx="478">
                  <c:v>268.85118834793991</c:v>
                </c:pt>
                <c:pt idx="479">
                  <c:v>269.05898488331485</c:v>
                </c:pt>
                <c:pt idx="480">
                  <c:v>269.14137763298879</c:v>
                </c:pt>
                <c:pt idx="481">
                  <c:v>269.25622556895001</c:v>
                </c:pt>
                <c:pt idx="482">
                  <c:v>269.45519711526572</c:v>
                </c:pt>
                <c:pt idx="483">
                  <c:v>269.75930703231415</c:v>
                </c:pt>
                <c:pt idx="484">
                  <c:v>269.88325577614495</c:v>
                </c:pt>
                <c:pt idx="485">
                  <c:v>269.83136339276678</c:v>
                </c:pt>
                <c:pt idx="486">
                  <c:v>269.75052561265829</c:v>
                </c:pt>
                <c:pt idx="487">
                  <c:v>269.51756382392665</c:v>
                </c:pt>
                <c:pt idx="488">
                  <c:v>269.51020837985112</c:v>
                </c:pt>
                <c:pt idx="489">
                  <c:v>269.54745511005308</c:v>
                </c:pt>
                <c:pt idx="490">
                  <c:v>269.67343726260003</c:v>
                </c:pt>
                <c:pt idx="491">
                  <c:v>269.48898874249807</c:v>
                </c:pt>
                <c:pt idx="492">
                  <c:v>269.06157741926285</c:v>
                </c:pt>
                <c:pt idx="493">
                  <c:v>268.42622144203688</c:v>
                </c:pt>
                <c:pt idx="494">
                  <c:v>267.76480099332957</c:v>
                </c:pt>
                <c:pt idx="495">
                  <c:v>267.05990683672843</c:v>
                </c:pt>
                <c:pt idx="496">
                  <c:v>266.41167519607239</c:v>
                </c:pt>
                <c:pt idx="497">
                  <c:v>265.57670754132448</c:v>
                </c:pt>
                <c:pt idx="498">
                  <c:v>264.86036606911568</c:v>
                </c:pt>
                <c:pt idx="499">
                  <c:v>263.87643014483666</c:v>
                </c:pt>
                <c:pt idx="500">
                  <c:v>262.73853092347053</c:v>
                </c:pt>
                <c:pt idx="501">
                  <c:v>261.86054931862856</c:v>
                </c:pt>
                <c:pt idx="502">
                  <c:v>260.81386111005492</c:v>
                </c:pt>
                <c:pt idx="503">
                  <c:v>259.24861165475863</c:v>
                </c:pt>
                <c:pt idx="504">
                  <c:v>257.76199943300338</c:v>
                </c:pt>
                <c:pt idx="505">
                  <c:v>256.46584259249346</c:v>
                </c:pt>
                <c:pt idx="506">
                  <c:v>255.31698602023883</c:v>
                </c:pt>
                <c:pt idx="507">
                  <c:v>254.12965323513143</c:v>
                </c:pt>
                <c:pt idx="508">
                  <c:v>253.23515702983215</c:v>
                </c:pt>
                <c:pt idx="509">
                  <c:v>252.5231900874858</c:v>
                </c:pt>
                <c:pt idx="510">
                  <c:v>251.89482969189814</c:v>
                </c:pt>
                <c:pt idx="511">
                  <c:v>251.47189519417665</c:v>
                </c:pt>
                <c:pt idx="512">
                  <c:v>250.97182087283642</c:v>
                </c:pt>
                <c:pt idx="513">
                  <c:v>250.30939652488206</c:v>
                </c:pt>
                <c:pt idx="514">
                  <c:v>249.93687117096511</c:v>
                </c:pt>
                <c:pt idx="515">
                  <c:v>249.58562132112334</c:v>
                </c:pt>
                <c:pt idx="516">
                  <c:v>249.09442048500085</c:v>
                </c:pt>
                <c:pt idx="517">
                  <c:v>248.64130595617729</c:v>
                </c:pt>
                <c:pt idx="518">
                  <c:v>248.02556846769974</c:v>
                </c:pt>
                <c:pt idx="519">
                  <c:v>247.44809519445664</c:v>
                </c:pt>
                <c:pt idx="520">
                  <c:v>247.04895420643874</c:v>
                </c:pt>
                <c:pt idx="521">
                  <c:v>246.77644619834311</c:v>
                </c:pt>
                <c:pt idx="522">
                  <c:v>246.4001149748787</c:v>
                </c:pt>
                <c:pt idx="523">
                  <c:v>245.78599281900114</c:v>
                </c:pt>
                <c:pt idx="524">
                  <c:v>245.10928721825601</c:v>
                </c:pt>
                <c:pt idx="525">
                  <c:v>244.3791190920499</c:v>
                </c:pt>
                <c:pt idx="526">
                  <c:v>244.18895755902835</c:v>
                </c:pt>
                <c:pt idx="527">
                  <c:v>243.85135138024293</c:v>
                </c:pt>
                <c:pt idx="528">
                  <c:v>243.79051407121381</c:v>
                </c:pt>
                <c:pt idx="529">
                  <c:v>243.77833704881328</c:v>
                </c:pt>
                <c:pt idx="530">
                  <c:v>243.80781402729122</c:v>
                </c:pt>
                <c:pt idx="531">
                  <c:v>243.68005661445628</c:v>
                </c:pt>
                <c:pt idx="532">
                  <c:v>243.61142694330115</c:v>
                </c:pt>
                <c:pt idx="533">
                  <c:v>243.24117490630897</c:v>
                </c:pt>
                <c:pt idx="534">
                  <c:v>243.13642294919882</c:v>
                </c:pt>
                <c:pt idx="535">
                  <c:v>243.19146518648515</c:v>
                </c:pt>
                <c:pt idx="536">
                  <c:v>243.43925086544652</c:v>
                </c:pt>
                <c:pt idx="537">
                  <c:v>243.5804567138604</c:v>
                </c:pt>
                <c:pt idx="538">
                  <c:v>243.6514191956698</c:v>
                </c:pt>
                <c:pt idx="539">
                  <c:v>243.71803020760433</c:v>
                </c:pt>
                <c:pt idx="540">
                  <c:v>244.44791137593359</c:v>
                </c:pt>
                <c:pt idx="541">
                  <c:v>245.20015014550484</c:v>
                </c:pt>
                <c:pt idx="542">
                  <c:v>246.05700700254386</c:v>
                </c:pt>
                <c:pt idx="543">
                  <c:v>246.99751653185587</c:v>
                </c:pt>
                <c:pt idx="544">
                  <c:v>247.79133941295956</c:v>
                </c:pt>
                <c:pt idx="545">
                  <c:v>248.49913002421607</c:v>
                </c:pt>
                <c:pt idx="546">
                  <c:v>249.28034061150171</c:v>
                </c:pt>
                <c:pt idx="547">
                  <c:v>250.0783664698742</c:v>
                </c:pt>
                <c:pt idx="548">
                  <c:v>250.95215602007522</c:v>
                </c:pt>
                <c:pt idx="549">
                  <c:v>251.6438361761507</c:v>
                </c:pt>
                <c:pt idx="550">
                  <c:v>252.21937201238009</c:v>
                </c:pt>
                <c:pt idx="551">
                  <c:v>252.95861232562009</c:v>
                </c:pt>
                <c:pt idx="552">
                  <c:v>253.84298046971344</c:v>
                </c:pt>
                <c:pt idx="553">
                  <c:v>254.71227535325409</c:v>
                </c:pt>
                <c:pt idx="554">
                  <c:v>255.44238220214609</c:v>
                </c:pt>
                <c:pt idx="555">
                  <c:v>256.03444564519918</c:v>
                </c:pt>
                <c:pt idx="556">
                  <c:v>256.64799679636786</c:v>
                </c:pt>
                <c:pt idx="557">
                  <c:v>257.10062437298092</c:v>
                </c:pt>
                <c:pt idx="558">
                  <c:v>257.6127567505111</c:v>
                </c:pt>
                <c:pt idx="559">
                  <c:v>257.8055898191185</c:v>
                </c:pt>
                <c:pt idx="560">
                  <c:v>258.09988041444717</c:v>
                </c:pt>
                <c:pt idx="561">
                  <c:v>258.37321843741</c:v>
                </c:pt>
                <c:pt idx="562">
                  <c:v>258.56956281241355</c:v>
                </c:pt>
                <c:pt idx="563">
                  <c:v>258.81938387859344</c:v>
                </c:pt>
                <c:pt idx="564">
                  <c:v>259.10411392257015</c:v>
                </c:pt>
                <c:pt idx="565">
                  <c:v>259.36159965109681</c:v>
                </c:pt>
                <c:pt idx="566">
                  <c:v>259.57526240987733</c:v>
                </c:pt>
                <c:pt idx="567">
                  <c:v>259.82721290360763</c:v>
                </c:pt>
                <c:pt idx="568">
                  <c:v>260.03398886817206</c:v>
                </c:pt>
                <c:pt idx="569">
                  <c:v>260.07657754000843</c:v>
                </c:pt>
                <c:pt idx="570">
                  <c:v>260.29043724432182</c:v>
                </c:pt>
                <c:pt idx="571">
                  <c:v>260.30924362689746</c:v>
                </c:pt>
                <c:pt idx="572">
                  <c:v>260.3433909356466</c:v>
                </c:pt>
                <c:pt idx="573">
                  <c:v>260.29227756562125</c:v>
                </c:pt>
                <c:pt idx="574">
                  <c:v>260.20787452383217</c:v>
                </c:pt>
                <c:pt idx="575">
                  <c:v>260.04050689544664</c:v>
                </c:pt>
                <c:pt idx="576">
                  <c:v>260.07970270346834</c:v>
                </c:pt>
                <c:pt idx="577">
                  <c:v>260.25226338176373</c:v>
                </c:pt>
                <c:pt idx="578">
                  <c:v>260.03217462169459</c:v>
                </c:pt>
                <c:pt idx="579">
                  <c:v>259.91169718554971</c:v>
                </c:pt>
                <c:pt idx="580">
                  <c:v>260.00065023709681</c:v>
                </c:pt>
                <c:pt idx="581">
                  <c:v>260.0327816003479</c:v>
                </c:pt>
                <c:pt idx="582">
                  <c:v>260.21463330229506</c:v>
                </c:pt>
                <c:pt idx="583">
                  <c:v>260.43013787867562</c:v>
                </c:pt>
                <c:pt idx="584">
                  <c:v>260.65797560892366</c:v>
                </c:pt>
                <c:pt idx="585">
                  <c:v>260.90668244778942</c:v>
                </c:pt>
                <c:pt idx="586">
                  <c:v>261.1240674498369</c:v>
                </c:pt>
                <c:pt idx="587">
                  <c:v>261.47018245180408</c:v>
                </c:pt>
                <c:pt idx="588">
                  <c:v>261.83331255173334</c:v>
                </c:pt>
                <c:pt idx="589">
                  <c:v>262.11435911833206</c:v>
                </c:pt>
                <c:pt idx="590">
                  <c:v>262.4208548391818</c:v>
                </c:pt>
                <c:pt idx="591">
                  <c:v>262.38709582588058</c:v>
                </c:pt>
                <c:pt idx="592">
                  <c:v>262.3177979503559</c:v>
                </c:pt>
                <c:pt idx="593">
                  <c:v>262.34494312877331</c:v>
                </c:pt>
                <c:pt idx="594">
                  <c:v>262.51180810411552</c:v>
                </c:pt>
                <c:pt idx="595">
                  <c:v>262.60977641375803</c:v>
                </c:pt>
                <c:pt idx="596">
                  <c:v>262.81253027988521</c:v>
                </c:pt>
                <c:pt idx="597">
                  <c:v>263.05948987675248</c:v>
                </c:pt>
                <c:pt idx="598">
                  <c:v>263.3873530188406</c:v>
                </c:pt>
                <c:pt idx="599">
                  <c:v>263.83608427300373</c:v>
                </c:pt>
                <c:pt idx="600">
                  <c:v>264.08212018386632</c:v>
                </c:pt>
                <c:pt idx="601">
                  <c:v>264.46791939234214</c:v>
                </c:pt>
                <c:pt idx="602">
                  <c:v>264.79349118087777</c:v>
                </c:pt>
                <c:pt idx="603">
                  <c:v>265.18080525221592</c:v>
                </c:pt>
                <c:pt idx="604">
                  <c:v>265.56351877173688</c:v>
                </c:pt>
                <c:pt idx="605">
                  <c:v>266.20220431010011</c:v>
                </c:pt>
                <c:pt idx="606">
                  <c:v>266.86760806264522</c:v>
                </c:pt>
                <c:pt idx="607">
                  <c:v>267.4449567660709</c:v>
                </c:pt>
                <c:pt idx="608">
                  <c:v>268.01966434387202</c:v>
                </c:pt>
                <c:pt idx="609">
                  <c:v>268.74516770293587</c:v>
                </c:pt>
                <c:pt idx="610">
                  <c:v>269.3920238714482</c:v>
                </c:pt>
                <c:pt idx="611">
                  <c:v>270.27429744511687</c:v>
                </c:pt>
                <c:pt idx="612">
                  <c:v>271.26903087864173</c:v>
                </c:pt>
                <c:pt idx="613">
                  <c:v>272.12514731477341</c:v>
                </c:pt>
                <c:pt idx="614">
                  <c:v>272.88965134164505</c:v>
                </c:pt>
                <c:pt idx="615">
                  <c:v>273.55593952432565</c:v>
                </c:pt>
                <c:pt idx="616">
                  <c:v>274.31217719003837</c:v>
                </c:pt>
                <c:pt idx="617">
                  <c:v>274.78150357474277</c:v>
                </c:pt>
                <c:pt idx="618">
                  <c:v>275.31085637573324</c:v>
                </c:pt>
                <c:pt idx="619">
                  <c:v>275.98101887080253</c:v>
                </c:pt>
                <c:pt idx="620">
                  <c:v>276.54254754253577</c:v>
                </c:pt>
                <c:pt idx="621">
                  <c:v>277.11734959969124</c:v>
                </c:pt>
                <c:pt idx="622">
                  <c:v>277.66764961538962</c:v>
                </c:pt>
                <c:pt idx="623">
                  <c:v>278.19676139517827</c:v>
                </c:pt>
                <c:pt idx="624">
                  <c:v>278.70512369340662</c:v>
                </c:pt>
                <c:pt idx="625">
                  <c:v>279.24570707797892</c:v>
                </c:pt>
                <c:pt idx="626">
                  <c:v>279.59097346707779</c:v>
                </c:pt>
                <c:pt idx="627">
                  <c:v>280.09054313503549</c:v>
                </c:pt>
                <c:pt idx="628">
                  <c:v>280.66777673758315</c:v>
                </c:pt>
                <c:pt idx="629">
                  <c:v>281.38315804199169</c:v>
                </c:pt>
                <c:pt idx="630">
                  <c:v>281.81675968740376</c:v>
                </c:pt>
                <c:pt idx="631">
                  <c:v>282.31139656240754</c:v>
                </c:pt>
                <c:pt idx="632">
                  <c:v>283.06977316780331</c:v>
                </c:pt>
                <c:pt idx="633">
                  <c:v>283.535272259262</c:v>
                </c:pt>
                <c:pt idx="634">
                  <c:v>283.94683020987918</c:v>
                </c:pt>
                <c:pt idx="635">
                  <c:v>284.26107216243292</c:v>
                </c:pt>
                <c:pt idx="636">
                  <c:v>284.57436345018061</c:v>
                </c:pt>
                <c:pt idx="637">
                  <c:v>285.12360409919313</c:v>
                </c:pt>
                <c:pt idx="638">
                  <c:v>285.62032550706795</c:v>
                </c:pt>
                <c:pt idx="639">
                  <c:v>286.14070489894766</c:v>
                </c:pt>
                <c:pt idx="640">
                  <c:v>286.58969686369483</c:v>
                </c:pt>
                <c:pt idx="641">
                  <c:v>286.87284600629499</c:v>
                </c:pt>
                <c:pt idx="642">
                  <c:v>287.1821461629109</c:v>
                </c:pt>
                <c:pt idx="643">
                  <c:v>287.65696396044382</c:v>
                </c:pt>
                <c:pt idx="644">
                  <c:v>288.25943596199505</c:v>
                </c:pt>
                <c:pt idx="645">
                  <c:v>289.01867376740699</c:v>
                </c:pt>
                <c:pt idx="646">
                  <c:v>289.51362773731262</c:v>
                </c:pt>
                <c:pt idx="647">
                  <c:v>290.05701488486898</c:v>
                </c:pt>
                <c:pt idx="648">
                  <c:v>290.6312495952663</c:v>
                </c:pt>
                <c:pt idx="649">
                  <c:v>291.18178882682446</c:v>
                </c:pt>
                <c:pt idx="650">
                  <c:v>291.56289514734118</c:v>
                </c:pt>
                <c:pt idx="651">
                  <c:v>292.06748749450429</c:v>
                </c:pt>
                <c:pt idx="652">
                  <c:v>292.49229190648452</c:v>
                </c:pt>
                <c:pt idx="653">
                  <c:v>292.84279026309298</c:v>
                </c:pt>
                <c:pt idx="654">
                  <c:v>293.2313082919913</c:v>
                </c:pt>
                <c:pt idx="655">
                  <c:v>293.85243345701127</c:v>
                </c:pt>
                <c:pt idx="656">
                  <c:v>294.21508312536378</c:v>
                </c:pt>
                <c:pt idx="657">
                  <c:v>294.29409947338877</c:v>
                </c:pt>
                <c:pt idx="658">
                  <c:v>294.33550733717743</c:v>
                </c:pt>
                <c:pt idx="659">
                  <c:v>294.37999724552338</c:v>
                </c:pt>
                <c:pt idx="660">
                  <c:v>294.50509539275777</c:v>
                </c:pt>
                <c:pt idx="661">
                  <c:v>294.47234655382607</c:v>
                </c:pt>
                <c:pt idx="662">
                  <c:v>294.3777447281858</c:v>
                </c:pt>
                <c:pt idx="663">
                  <c:v>294.31351944472755</c:v>
                </c:pt>
                <c:pt idx="664">
                  <c:v>294.22318534885585</c:v>
                </c:pt>
                <c:pt idx="665">
                  <c:v>294.15913886458702</c:v>
                </c:pt>
                <c:pt idx="666">
                  <c:v>294.19093734048556</c:v>
                </c:pt>
                <c:pt idx="667">
                  <c:v>294.02658685654495</c:v>
                </c:pt>
                <c:pt idx="668">
                  <c:v>293.84907364648438</c:v>
                </c:pt>
                <c:pt idx="669">
                  <c:v>293.64126683681832</c:v>
                </c:pt>
                <c:pt idx="670">
                  <c:v>293.58709950988424</c:v>
                </c:pt>
                <c:pt idx="671">
                  <c:v>293.25427207812407</c:v>
                </c:pt>
                <c:pt idx="672">
                  <c:v>292.98155552604078</c:v>
                </c:pt>
                <c:pt idx="673">
                  <c:v>292.75874942698033</c:v>
                </c:pt>
                <c:pt idx="674">
                  <c:v>292.76193572396153</c:v>
                </c:pt>
                <c:pt idx="675">
                  <c:v>292.85362451910026</c:v>
                </c:pt>
                <c:pt idx="676">
                  <c:v>292.94132551835122</c:v>
                </c:pt>
                <c:pt idx="677">
                  <c:v>292.59421471371002</c:v>
                </c:pt>
                <c:pt idx="678">
                  <c:v>292.12306903866255</c:v>
                </c:pt>
                <c:pt idx="679">
                  <c:v>291.65079182146013</c:v>
                </c:pt>
                <c:pt idx="680">
                  <c:v>291.26723135787347</c:v>
                </c:pt>
                <c:pt idx="681">
                  <c:v>290.99126150070197</c:v>
                </c:pt>
                <c:pt idx="682">
                  <c:v>290.79434928498813</c:v>
                </c:pt>
                <c:pt idx="683">
                  <c:v>290.67810029342002</c:v>
                </c:pt>
                <c:pt idx="684">
                  <c:v>290.54131204661923</c:v>
                </c:pt>
                <c:pt idx="685">
                  <c:v>290.62675078988906</c:v>
                </c:pt>
                <c:pt idx="686">
                  <c:v>290.80138801381497</c:v>
                </c:pt>
                <c:pt idx="687">
                  <c:v>291.05388260150846</c:v>
                </c:pt>
                <c:pt idx="688">
                  <c:v>291.08510289164536</c:v>
                </c:pt>
                <c:pt idx="689">
                  <c:v>291.03627532726711</c:v>
                </c:pt>
                <c:pt idx="690">
                  <c:v>291.09720570658999</c:v>
                </c:pt>
                <c:pt idx="691">
                  <c:v>291.19731528672372</c:v>
                </c:pt>
                <c:pt idx="692">
                  <c:v>291.34134213822477</c:v>
                </c:pt>
                <c:pt idx="693">
                  <c:v>291.51540715241208</c:v>
                </c:pt>
                <c:pt idx="694">
                  <c:v>291.49676373467048</c:v>
                </c:pt>
                <c:pt idx="695">
                  <c:v>291.70355731370302</c:v>
                </c:pt>
                <c:pt idx="696">
                  <c:v>292.00028055630293</c:v>
                </c:pt>
                <c:pt idx="697">
                  <c:v>292.15477935801658</c:v>
                </c:pt>
                <c:pt idx="698">
                  <c:v>292.33223899103552</c:v>
                </c:pt>
                <c:pt idx="699">
                  <c:v>292.31960216785768</c:v>
                </c:pt>
                <c:pt idx="700">
                  <c:v>292.04863737696132</c:v>
                </c:pt>
                <c:pt idx="701">
                  <c:v>291.90320061708047</c:v>
                </c:pt>
                <c:pt idx="702">
                  <c:v>291.9018986320969</c:v>
                </c:pt>
                <c:pt idx="703">
                  <c:v>291.90103986221072</c:v>
                </c:pt>
                <c:pt idx="704">
                  <c:v>291.93786182839858</c:v>
                </c:pt>
                <c:pt idx="705">
                  <c:v>292.00461234493196</c:v>
                </c:pt>
                <c:pt idx="706">
                  <c:v>292.09070597846409</c:v>
                </c:pt>
                <c:pt idx="707">
                  <c:v>292.08793319499489</c:v>
                </c:pt>
                <c:pt idx="708">
                  <c:v>291.96213189323038</c:v>
                </c:pt>
                <c:pt idx="709">
                  <c:v>291.6977345640841</c:v>
                </c:pt>
                <c:pt idx="710">
                  <c:v>291.7350783066691</c:v>
                </c:pt>
                <c:pt idx="711">
                  <c:v>291.92860464758405</c:v>
                </c:pt>
                <c:pt idx="712">
                  <c:v>292.23924760258075</c:v>
                </c:pt>
                <c:pt idx="713">
                  <c:v>292.23457122600894</c:v>
                </c:pt>
                <c:pt idx="714">
                  <c:v>292.50498019753803</c:v>
                </c:pt>
                <c:pt idx="715">
                  <c:v>293.25458881724245</c:v>
                </c:pt>
                <c:pt idx="716">
                  <c:v>293.8963696479388</c:v>
                </c:pt>
                <c:pt idx="717">
                  <c:v>294.56866887743138</c:v>
                </c:pt>
                <c:pt idx="718">
                  <c:v>294.72205441164976</c:v>
                </c:pt>
                <c:pt idx="719">
                  <c:v>294.99609149354586</c:v>
                </c:pt>
                <c:pt idx="720">
                  <c:v>295.42644084674015</c:v>
                </c:pt>
                <c:pt idx="721">
                  <c:v>295.45481571549544</c:v>
                </c:pt>
                <c:pt idx="722">
                  <c:v>295.59423470704468</c:v>
                </c:pt>
                <c:pt idx="723">
                  <c:v>295.89524511068998</c:v>
                </c:pt>
                <c:pt idx="724">
                  <c:v>296.05896098870215</c:v>
                </c:pt>
                <c:pt idx="725">
                  <c:v>296.22919781267461</c:v>
                </c:pt>
                <c:pt idx="726">
                  <c:v>296.32491554551086</c:v>
                </c:pt>
                <c:pt idx="727">
                  <c:v>296.45844826921632</c:v>
                </c:pt>
                <c:pt idx="728">
                  <c:v>296.57654833709023</c:v>
                </c:pt>
                <c:pt idx="729">
                  <c:v>296.73197781406714</c:v>
                </c:pt>
                <c:pt idx="730">
                  <c:v>297.09229240959394</c:v>
                </c:pt>
                <c:pt idx="731">
                  <c:v>297.63808486411966</c:v>
                </c:pt>
                <c:pt idx="732">
                  <c:v>298.18129722238945</c:v>
                </c:pt>
                <c:pt idx="733">
                  <c:v>298.67457968425651</c:v>
                </c:pt>
                <c:pt idx="734">
                  <c:v>299.65675302997192</c:v>
                </c:pt>
                <c:pt idx="735">
                  <c:v>300.74158624448279</c:v>
                </c:pt>
                <c:pt idx="736">
                  <c:v>301.9034848231305</c:v>
                </c:pt>
                <c:pt idx="737">
                  <c:v>302.60452463398815</c:v>
                </c:pt>
                <c:pt idx="738">
                  <c:v>303.36199425618469</c:v>
                </c:pt>
                <c:pt idx="739">
                  <c:v>304.31446506966768</c:v>
                </c:pt>
                <c:pt idx="740">
                  <c:v>304.23232918458268</c:v>
                </c:pt>
                <c:pt idx="741">
                  <c:v>304.04125745185399</c:v>
                </c:pt>
                <c:pt idx="742">
                  <c:v>303.9945414733499</c:v>
                </c:pt>
                <c:pt idx="743">
                  <c:v>304.04534376851268</c:v>
                </c:pt>
                <c:pt idx="744">
                  <c:v>304.30984009131612</c:v>
                </c:pt>
                <c:pt idx="745">
                  <c:v>304.84239538185273</c:v>
                </c:pt>
                <c:pt idx="746">
                  <c:v>304.86936026883893</c:v>
                </c:pt>
                <c:pt idx="747">
                  <c:v>305.03095398378645</c:v>
                </c:pt>
                <c:pt idx="748">
                  <c:v>305.22581853344184</c:v>
                </c:pt>
                <c:pt idx="749">
                  <c:v>305.26402172820883</c:v>
                </c:pt>
                <c:pt idx="750">
                  <c:v>305.05758950357318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8-FD44-A401-42ED503CD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413520"/>
        <c:axId val="1086616576"/>
      </c:lineChart>
      <c:dateAx>
        <c:axId val="108641352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86616576"/>
        <c:crosses val="autoZero"/>
        <c:auto val="1"/>
        <c:lblOffset val="100"/>
        <c:baseTimeUnit val="days"/>
      </c:dateAx>
      <c:valAx>
        <c:axId val="1086616576"/>
        <c:scaling>
          <c:orientation val="minMax"/>
        </c:scaling>
        <c:delete val="0"/>
        <c:axPos val="l"/>
        <c:numFmt formatCode="&quot;₫&quot;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864135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VMC Drawdown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'1. Share_Price_Analysis'!$S$63</c:f>
              <c:strCache>
                <c:ptCount val="1"/>
                <c:pt idx="0">
                  <c:v>VMC Drawdown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  <a:prstDash val="solid"/>
            </a:ln>
          </c:spP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Share_Price_Analysis'!$S$64:$S$815</c:f>
              <c:numCache>
                <c:formatCode>0.00%</c:formatCode>
                <c:ptCount val="752"/>
                <c:pt idx="0" formatCode="General">
                  <c:v>0</c:v>
                </c:pt>
                <c:pt idx="1">
                  <c:v>-1.4238834195450245E-2</c:v>
                </c:pt>
                <c:pt idx="2">
                  <c:v>-4.8389788086101726E-3</c:v>
                </c:pt>
                <c:pt idx="3">
                  <c:v>-3.1814895155459211E-2</c:v>
                </c:pt>
                <c:pt idx="4">
                  <c:v>-5.8401468379776444E-2</c:v>
                </c:pt>
                <c:pt idx="5">
                  <c:v>-7.6811836030925007E-2</c:v>
                </c:pt>
                <c:pt idx="6">
                  <c:v>-6.8301907781300519E-2</c:v>
                </c:pt>
                <c:pt idx="7">
                  <c:v>-9.4443517437009961E-2</c:v>
                </c:pt>
                <c:pt idx="8">
                  <c:v>-7.5532565771177507E-2</c:v>
                </c:pt>
                <c:pt idx="9">
                  <c:v>-0.1043995772846098</c:v>
                </c:pt>
                <c:pt idx="10">
                  <c:v>-9.1884976917514849E-2</c:v>
                </c:pt>
                <c:pt idx="11">
                  <c:v>-7.5921908893709422E-2</c:v>
                </c:pt>
                <c:pt idx="12">
                  <c:v>-8.9437677290171824E-2</c:v>
                </c:pt>
                <c:pt idx="13">
                  <c:v>-8.5043662050169666E-2</c:v>
                </c:pt>
                <c:pt idx="14">
                  <c:v>-7.5588186217253606E-2</c:v>
                </c:pt>
                <c:pt idx="15">
                  <c:v>-7.7813004060292568E-2</c:v>
                </c:pt>
                <c:pt idx="16">
                  <c:v>-6.5354024139273714E-2</c:v>
                </c:pt>
                <c:pt idx="17">
                  <c:v>-5.4508037154457956E-2</c:v>
                </c:pt>
                <c:pt idx="18">
                  <c:v>-5.3673730463318359E-2</c:v>
                </c:pt>
                <c:pt idx="19">
                  <c:v>-4.5775627120529516E-2</c:v>
                </c:pt>
                <c:pt idx="20">
                  <c:v>-3.8155626008120613E-2</c:v>
                </c:pt>
                <c:pt idx="21">
                  <c:v>-6.0793147561043481E-2</c:v>
                </c:pt>
                <c:pt idx="22">
                  <c:v>-8.7490961677512802E-2</c:v>
                </c:pt>
                <c:pt idx="23">
                  <c:v>-8.265198286890274E-2</c:v>
                </c:pt>
                <c:pt idx="24">
                  <c:v>-7.6644974692697265E-2</c:v>
                </c:pt>
                <c:pt idx="25">
                  <c:v>-7.3530229712442496E-2</c:v>
                </c:pt>
                <c:pt idx="26">
                  <c:v>-6.935869625674429E-2</c:v>
                </c:pt>
                <c:pt idx="27">
                  <c:v>-5.7455920796485094E-2</c:v>
                </c:pt>
                <c:pt idx="28">
                  <c:v>-5.9569497747372191E-2</c:v>
                </c:pt>
                <c:pt idx="29">
                  <c:v>-4.3995772846098458E-2</c:v>
                </c:pt>
                <c:pt idx="30">
                  <c:v>-4.1325991434451481E-2</c:v>
                </c:pt>
                <c:pt idx="31">
                  <c:v>-3.4762778797486349E-2</c:v>
                </c:pt>
                <c:pt idx="32">
                  <c:v>-4.0881027865843911E-2</c:v>
                </c:pt>
                <c:pt idx="33">
                  <c:v>-4.8111685855721009E-2</c:v>
                </c:pt>
                <c:pt idx="34">
                  <c:v>-4.6609933811669668E-2</c:v>
                </c:pt>
                <c:pt idx="35">
                  <c:v>-5.6287891428889791E-2</c:v>
                </c:pt>
                <c:pt idx="36">
                  <c:v>-7.3085266143834815E-2</c:v>
                </c:pt>
                <c:pt idx="37">
                  <c:v>-3.7877523777741118E-2</c:v>
                </c:pt>
                <c:pt idx="38">
                  <c:v>-2.59747483174817E-2</c:v>
                </c:pt>
                <c:pt idx="39">
                  <c:v>-1.2681461705323138E-2</c:v>
                </c:pt>
                <c:pt idx="40">
                  <c:v>-2.8922631959509282E-3</c:v>
                </c:pt>
                <c:pt idx="41">
                  <c:v>-6.5075921908894774E-3</c:v>
                </c:pt>
                <c:pt idx="42">
                  <c:v>0</c:v>
                </c:pt>
                <c:pt idx="43">
                  <c:v>0</c:v>
                </c:pt>
                <c:pt idx="44">
                  <c:v>-3.8229064421138048E-3</c:v>
                </c:pt>
                <c:pt idx="45">
                  <c:v>-2.3764013018544583E-3</c:v>
                </c:pt>
                <c:pt idx="46">
                  <c:v>0</c:v>
                </c:pt>
                <c:pt idx="47">
                  <c:v>-6.4256208883676225E-3</c:v>
                </c:pt>
                <c:pt idx="48">
                  <c:v>-3.6207863736040791E-3</c:v>
                </c:pt>
                <c:pt idx="49">
                  <c:v>0</c:v>
                </c:pt>
                <c:pt idx="50">
                  <c:v>-5.9132385176123847E-3</c:v>
                </c:pt>
                <c:pt idx="51">
                  <c:v>0</c:v>
                </c:pt>
                <c:pt idx="52">
                  <c:v>-5.08879955218422E-4</c:v>
                </c:pt>
                <c:pt idx="53">
                  <c:v>0</c:v>
                </c:pt>
                <c:pt idx="54">
                  <c:v>0</c:v>
                </c:pt>
                <c:pt idx="55">
                  <c:v>-1.0443070059819703E-2</c:v>
                </c:pt>
                <c:pt idx="56">
                  <c:v>-1.601946669370391E-2</c:v>
                </c:pt>
                <c:pt idx="57">
                  <c:v>-1.0950015208354702E-2</c:v>
                </c:pt>
                <c:pt idx="58">
                  <c:v>-6.3875088715402706E-3</c:v>
                </c:pt>
                <c:pt idx="59">
                  <c:v>-6.1340362972728268E-3</c:v>
                </c:pt>
                <c:pt idx="60">
                  <c:v>-8.922234614215041E-3</c:v>
                </c:pt>
                <c:pt idx="61">
                  <c:v>0</c:v>
                </c:pt>
                <c:pt idx="62">
                  <c:v>0</c:v>
                </c:pt>
                <c:pt idx="63">
                  <c:v>-2.4170078429436304E-3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-3.6295005807199798E-3</c:v>
                </c:pt>
                <c:pt idx="69">
                  <c:v>0</c:v>
                </c:pt>
                <c:pt idx="70">
                  <c:v>-1.4925373134326847E-3</c:v>
                </c:pt>
                <c:pt idx="71">
                  <c:v>0</c:v>
                </c:pt>
                <c:pt idx="72">
                  <c:v>-7.8012826648797828E-3</c:v>
                </c:pt>
                <c:pt idx="73">
                  <c:v>-1.2443763759931725E-3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-9.3151171043293068E-3</c:v>
                </c:pt>
                <c:pt idx="83">
                  <c:v>-2.1336053938963762E-2</c:v>
                </c:pt>
                <c:pt idx="84">
                  <c:v>-3.3046486870120462E-2</c:v>
                </c:pt>
                <c:pt idx="85">
                  <c:v>-3.575230660042561E-2</c:v>
                </c:pt>
                <c:pt idx="86">
                  <c:v>-2.6836408800567479E-2</c:v>
                </c:pt>
                <c:pt idx="87">
                  <c:v>-8.1174591909151106E-3</c:v>
                </c:pt>
                <c:pt idx="88">
                  <c:v>-2.2888573456351757E-2</c:v>
                </c:pt>
                <c:pt idx="89">
                  <c:v>-9.2264017033354406E-3</c:v>
                </c:pt>
                <c:pt idx="90">
                  <c:v>-3.0606813342795025E-3</c:v>
                </c:pt>
                <c:pt idx="91">
                  <c:v>-7.6738821859473338E-3</c:v>
                </c:pt>
                <c:pt idx="92">
                  <c:v>-6.8310858765080473E-3</c:v>
                </c:pt>
                <c:pt idx="93">
                  <c:v>-1.8186657203690393E-2</c:v>
                </c:pt>
                <c:pt idx="94">
                  <c:v>-1.6900283889282997E-2</c:v>
                </c:pt>
                <c:pt idx="95">
                  <c:v>-1.3928317955996805E-2</c:v>
                </c:pt>
                <c:pt idx="96">
                  <c:v>-1.2597586941092698E-2</c:v>
                </c:pt>
                <c:pt idx="97">
                  <c:v>-1.4150106458480805E-2</c:v>
                </c:pt>
                <c:pt idx="98">
                  <c:v>-8.7828246983673308E-3</c:v>
                </c:pt>
                <c:pt idx="99">
                  <c:v>-3.1715755855216243E-2</c:v>
                </c:pt>
                <c:pt idx="100">
                  <c:v>-2.3287792760823045E-2</c:v>
                </c:pt>
                <c:pt idx="101">
                  <c:v>-2.1912704045422005E-2</c:v>
                </c:pt>
                <c:pt idx="102">
                  <c:v>-6.5205819730301817E-3</c:v>
                </c:pt>
                <c:pt idx="103">
                  <c:v>-1.0468417317245793E-2</c:v>
                </c:pt>
                <c:pt idx="104">
                  <c:v>0</c:v>
                </c:pt>
                <c:pt idx="105">
                  <c:v>-8.400017684248029E-4</c:v>
                </c:pt>
                <c:pt idx="106">
                  <c:v>0</c:v>
                </c:pt>
                <c:pt idx="107">
                  <c:v>-8.2196572228051545E-3</c:v>
                </c:pt>
                <c:pt idx="108">
                  <c:v>-2.334732423924446E-2</c:v>
                </c:pt>
                <c:pt idx="109">
                  <c:v>-1.9281217208814372E-2</c:v>
                </c:pt>
                <c:pt idx="110">
                  <c:v>-2.0986358866736721E-2</c:v>
                </c:pt>
                <c:pt idx="111">
                  <c:v>-1.5696047569080052E-2</c:v>
                </c:pt>
                <c:pt idx="112">
                  <c:v>-2.0024484085344629E-2</c:v>
                </c:pt>
                <c:pt idx="113">
                  <c:v>-2.7194823364812937E-2</c:v>
                </c:pt>
                <c:pt idx="114">
                  <c:v>-6.7287513116474296E-2</c:v>
                </c:pt>
                <c:pt idx="115">
                  <c:v>-7.3976915005246613E-2</c:v>
                </c:pt>
                <c:pt idx="116">
                  <c:v>-7.0610353270374349E-2</c:v>
                </c:pt>
                <c:pt idx="117">
                  <c:v>-6.1822315494928337E-2</c:v>
                </c:pt>
                <c:pt idx="118">
                  <c:v>-5.0979363413781176E-2</c:v>
                </c:pt>
                <c:pt idx="119">
                  <c:v>-6.0073452256033777E-2</c:v>
                </c:pt>
                <c:pt idx="120">
                  <c:v>-6.0729275970619279E-2</c:v>
                </c:pt>
                <c:pt idx="121">
                  <c:v>-5.950507170339292E-2</c:v>
                </c:pt>
                <c:pt idx="122">
                  <c:v>-4.4289961525008859E-2</c:v>
                </c:pt>
                <c:pt idx="123">
                  <c:v>-4.5820216859041585E-2</c:v>
                </c:pt>
                <c:pt idx="124">
                  <c:v>-4.5776495278069262E-2</c:v>
                </c:pt>
                <c:pt idx="125">
                  <c:v>-2.5358516963973399E-2</c:v>
                </c:pt>
                <c:pt idx="126">
                  <c:v>-5.4564533053515163E-2</c:v>
                </c:pt>
                <c:pt idx="127">
                  <c:v>-5.9111577474641575E-2</c:v>
                </c:pt>
                <c:pt idx="128">
                  <c:v>-5.7537600559636304E-2</c:v>
                </c:pt>
                <c:pt idx="129">
                  <c:v>-5.4520811472542952E-2</c:v>
                </c:pt>
                <c:pt idx="130">
                  <c:v>-5.3034277719482437E-2</c:v>
                </c:pt>
                <c:pt idx="131">
                  <c:v>-6.0991605456453324E-2</c:v>
                </c:pt>
                <c:pt idx="132">
                  <c:v>-6.5494928296607191E-2</c:v>
                </c:pt>
                <c:pt idx="133">
                  <c:v>-6.0117173837005988E-2</c:v>
                </c:pt>
                <c:pt idx="134">
                  <c:v>-7.9267226302903282E-2</c:v>
                </c:pt>
                <c:pt idx="135">
                  <c:v>-7.4457852395942936E-2</c:v>
                </c:pt>
                <c:pt idx="136">
                  <c:v>-8.2371458551941501E-2</c:v>
                </c:pt>
                <c:pt idx="137">
                  <c:v>-8.3814270724029472E-2</c:v>
                </c:pt>
                <c:pt idx="138">
                  <c:v>-0.11529380902413444</c:v>
                </c:pt>
                <c:pt idx="139">
                  <c:v>-0.12285764253235409</c:v>
                </c:pt>
                <c:pt idx="140">
                  <c:v>-0.11664917803427788</c:v>
                </c:pt>
                <c:pt idx="141">
                  <c:v>-0.11966596712137134</c:v>
                </c:pt>
                <c:pt idx="142">
                  <c:v>-0.10982861140258837</c:v>
                </c:pt>
                <c:pt idx="143">
                  <c:v>-0.10357642532353983</c:v>
                </c:pt>
                <c:pt idx="144">
                  <c:v>-0.11673662119622263</c:v>
                </c:pt>
                <c:pt idx="145">
                  <c:v>-0.12150227352221077</c:v>
                </c:pt>
                <c:pt idx="146">
                  <c:v>-0.1256121021336134</c:v>
                </c:pt>
                <c:pt idx="147">
                  <c:v>-0.10357642532354006</c:v>
                </c:pt>
                <c:pt idx="148">
                  <c:v>-9.518188177684539E-2</c:v>
                </c:pt>
                <c:pt idx="149">
                  <c:v>-7.1353620146904717E-2</c:v>
                </c:pt>
                <c:pt idx="150">
                  <c:v>-8.0753760055963908E-2</c:v>
                </c:pt>
                <c:pt idx="151">
                  <c:v>-7.7474641483036399E-2</c:v>
                </c:pt>
                <c:pt idx="152">
                  <c:v>-6.103532703742609E-2</c:v>
                </c:pt>
                <c:pt idx="153">
                  <c:v>-7.9092339979013992E-2</c:v>
                </c:pt>
                <c:pt idx="154">
                  <c:v>-8.4951031829311296E-2</c:v>
                </c:pt>
                <c:pt idx="155">
                  <c:v>-6.8555438964673199E-2</c:v>
                </c:pt>
                <c:pt idx="156">
                  <c:v>-6.090416229450879E-2</c:v>
                </c:pt>
                <c:pt idx="157">
                  <c:v>-0.1092165092689753</c:v>
                </c:pt>
                <c:pt idx="158">
                  <c:v>-0.11380727527107415</c:v>
                </c:pt>
                <c:pt idx="159">
                  <c:v>-0.11879153550192401</c:v>
                </c:pt>
                <c:pt idx="160">
                  <c:v>-0.11463798530954905</c:v>
                </c:pt>
                <c:pt idx="161">
                  <c:v>-0.10305176635187152</c:v>
                </c:pt>
                <c:pt idx="162">
                  <c:v>-0.11083420776495312</c:v>
                </c:pt>
                <c:pt idx="163">
                  <c:v>-0.151932493878979</c:v>
                </c:pt>
                <c:pt idx="164">
                  <c:v>-0.15315669814620536</c:v>
                </c:pt>
                <c:pt idx="165">
                  <c:v>-0.14310073452256078</c:v>
                </c:pt>
                <c:pt idx="166">
                  <c:v>-0.14091465547394222</c:v>
                </c:pt>
                <c:pt idx="167">
                  <c:v>-0.10895417978314148</c:v>
                </c:pt>
                <c:pt idx="168">
                  <c:v>-9.5750262329486469E-2</c:v>
                </c:pt>
                <c:pt idx="169">
                  <c:v>-9.155299055613908E-2</c:v>
                </c:pt>
                <c:pt idx="170">
                  <c:v>-9.435117173837082E-2</c:v>
                </c:pt>
                <c:pt idx="171">
                  <c:v>-9.4045120671564009E-2</c:v>
                </c:pt>
                <c:pt idx="172">
                  <c:v>-8.8711087792935128E-2</c:v>
                </c:pt>
                <c:pt idx="173">
                  <c:v>-8.5213361315145897E-2</c:v>
                </c:pt>
                <c:pt idx="174">
                  <c:v>-7.4589017138860458E-2</c:v>
                </c:pt>
                <c:pt idx="175">
                  <c:v>-7.9704442112627394E-2</c:v>
                </c:pt>
                <c:pt idx="176">
                  <c:v>-5.3252885624344826E-2</c:v>
                </c:pt>
                <c:pt idx="177">
                  <c:v>-7.8043022035677478E-2</c:v>
                </c:pt>
                <c:pt idx="178">
                  <c:v>-7.1922000699545796E-2</c:v>
                </c:pt>
                <c:pt idx="179">
                  <c:v>-7.1572228051766995E-2</c:v>
                </c:pt>
                <c:pt idx="180">
                  <c:v>-8.0185379503323495E-2</c:v>
                </c:pt>
                <c:pt idx="181">
                  <c:v>-8.2546344875831346E-2</c:v>
                </c:pt>
                <c:pt idx="182">
                  <c:v>-7.3539699195523389E-2</c:v>
                </c:pt>
                <c:pt idx="183">
                  <c:v>-7.4501573976915481E-2</c:v>
                </c:pt>
                <c:pt idx="184">
                  <c:v>-6.9386149003148545E-2</c:v>
                </c:pt>
                <c:pt idx="185">
                  <c:v>-7.6775096187478686E-2</c:v>
                </c:pt>
                <c:pt idx="186">
                  <c:v>-7.0129415879678803E-2</c:v>
                </c:pt>
                <c:pt idx="187">
                  <c:v>-6.6281916754110326E-2</c:v>
                </c:pt>
                <c:pt idx="188">
                  <c:v>-5.7231549492830269E-2</c:v>
                </c:pt>
                <c:pt idx="189">
                  <c:v>-6.0860440713536801E-2</c:v>
                </c:pt>
                <c:pt idx="190">
                  <c:v>-7.3015040223855077E-2</c:v>
                </c:pt>
                <c:pt idx="191">
                  <c:v>-7.3408534452606422E-2</c:v>
                </c:pt>
                <c:pt idx="192">
                  <c:v>-6.3614900314796108E-2</c:v>
                </c:pt>
                <c:pt idx="193">
                  <c:v>-5.5482686253935709E-2</c:v>
                </c:pt>
                <c:pt idx="194">
                  <c:v>-4.3109478838755488E-2</c:v>
                </c:pt>
                <c:pt idx="195">
                  <c:v>-3.4190276320392399E-2</c:v>
                </c:pt>
                <c:pt idx="196">
                  <c:v>-2.2079398391046667E-2</c:v>
                </c:pt>
                <c:pt idx="197">
                  <c:v>-1.7313746065058533E-2</c:v>
                </c:pt>
                <c:pt idx="198">
                  <c:v>-1.9106330884925526E-2</c:v>
                </c:pt>
                <c:pt idx="199">
                  <c:v>-2.6320391745366378E-2</c:v>
                </c:pt>
                <c:pt idx="200">
                  <c:v>-1.7619797131865123E-2</c:v>
                </c:pt>
                <c:pt idx="201">
                  <c:v>-3.2966072053166373E-2</c:v>
                </c:pt>
                <c:pt idx="202">
                  <c:v>-2.3784540048969349E-2</c:v>
                </c:pt>
                <c:pt idx="203">
                  <c:v>-1.6570479188528497E-2</c:v>
                </c:pt>
                <c:pt idx="204">
                  <c:v>-1.3422525358518067E-2</c:v>
                </c:pt>
                <c:pt idx="205">
                  <c:v>-1.267925848198781E-2</c:v>
                </c:pt>
                <c:pt idx="206">
                  <c:v>-1.4340678558937836E-2</c:v>
                </c:pt>
                <c:pt idx="207">
                  <c:v>-7.4763903462761183E-3</c:v>
                </c:pt>
                <c:pt idx="208">
                  <c:v>-2.238544945785359E-2</c:v>
                </c:pt>
                <c:pt idx="209">
                  <c:v>-4.1054564533054783E-2</c:v>
                </c:pt>
                <c:pt idx="210">
                  <c:v>-3.5152151101785045E-2</c:v>
                </c:pt>
                <c:pt idx="211">
                  <c:v>-3.1042322490382301E-2</c:v>
                </c:pt>
                <c:pt idx="212">
                  <c:v>-2.0636586218958919E-2</c:v>
                </c:pt>
                <c:pt idx="213">
                  <c:v>-2.317243791535617E-2</c:v>
                </c:pt>
                <c:pt idx="214">
                  <c:v>-1.1411332633789129E-2</c:v>
                </c:pt>
                <c:pt idx="215">
                  <c:v>-1.9062609303953537E-2</c:v>
                </c:pt>
                <c:pt idx="216">
                  <c:v>-2.0811472542848208E-2</c:v>
                </c:pt>
                <c:pt idx="217">
                  <c:v>-2.7719482336482471E-2</c:v>
                </c:pt>
                <c:pt idx="218">
                  <c:v>-3.2616299405387683E-2</c:v>
                </c:pt>
                <c:pt idx="219">
                  <c:v>-1.5739769150053706E-2</c:v>
                </c:pt>
                <c:pt idx="220">
                  <c:v>-1.1542497376706207E-2</c:v>
                </c:pt>
                <c:pt idx="221">
                  <c:v>-6.295907660022193E-3</c:v>
                </c:pt>
                <c:pt idx="222">
                  <c:v>-2.5883175935643044E-2</c:v>
                </c:pt>
                <c:pt idx="223">
                  <c:v>-3.8999650227353411E-2</c:v>
                </c:pt>
                <c:pt idx="224">
                  <c:v>-2.3216159496328714E-2</c:v>
                </c:pt>
                <c:pt idx="225">
                  <c:v>-2.7806925498427226E-2</c:v>
                </c:pt>
                <c:pt idx="226">
                  <c:v>0</c:v>
                </c:pt>
                <c:pt idx="227">
                  <c:v>0</c:v>
                </c:pt>
                <c:pt idx="228">
                  <c:v>-2.1813460289980657E-2</c:v>
                </c:pt>
                <c:pt idx="229">
                  <c:v>-2.9863665873187673E-3</c:v>
                </c:pt>
                <c:pt idx="230">
                  <c:v>0</c:v>
                </c:pt>
                <c:pt idx="231">
                  <c:v>-2.0431666951032379E-2</c:v>
                </c:pt>
                <c:pt idx="232">
                  <c:v>-1.2199283398737548E-2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-1.253487694165667E-2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-1.4775622183029524E-2</c:v>
                </c:pt>
                <c:pt idx="242">
                  <c:v>-6.7411326670585581E-3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-4.780695097890364E-3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-1.0714952398730659E-2</c:v>
                </c:pt>
                <c:pt idx="252">
                  <c:v>-1.9040507746876933E-3</c:v>
                </c:pt>
                <c:pt idx="253">
                  <c:v>0</c:v>
                </c:pt>
                <c:pt idx="254">
                  <c:v>-1.6484124350038876E-2</c:v>
                </c:pt>
                <c:pt idx="255">
                  <c:v>-2.2937640594461128E-2</c:v>
                </c:pt>
                <c:pt idx="256">
                  <c:v>-5.8634804735038237E-3</c:v>
                </c:pt>
                <c:pt idx="257">
                  <c:v>-6.8222886012465622E-3</c:v>
                </c:pt>
                <c:pt idx="258">
                  <c:v>-1.622598370026207E-3</c:v>
                </c:pt>
                <c:pt idx="259">
                  <c:v>-1.5894088579120114E-2</c:v>
                </c:pt>
                <c:pt idx="260">
                  <c:v>-6.4535162444223637E-3</c:v>
                </c:pt>
                <c:pt idx="261">
                  <c:v>-7.9654829074014E-3</c:v>
                </c:pt>
                <c:pt idx="262">
                  <c:v>0</c:v>
                </c:pt>
                <c:pt idx="263">
                  <c:v>0</c:v>
                </c:pt>
                <c:pt idx="264">
                  <c:v>-4.4631517834462509E-3</c:v>
                </c:pt>
                <c:pt idx="265">
                  <c:v>-1.0776878696614367E-2</c:v>
                </c:pt>
                <c:pt idx="266">
                  <c:v>-6.2411553394534636E-3</c:v>
                </c:pt>
                <c:pt idx="267">
                  <c:v>-1.0160020320040375E-2</c:v>
                </c:pt>
                <c:pt idx="268">
                  <c:v>-9.688305090895688E-3</c:v>
                </c:pt>
                <c:pt idx="269">
                  <c:v>-2.1408614245799762E-2</c:v>
                </c:pt>
                <c:pt idx="270">
                  <c:v>-3.3890924924706911E-2</c:v>
                </c:pt>
                <c:pt idx="271">
                  <c:v>-2.4746906636670452E-2</c:v>
                </c:pt>
                <c:pt idx="272">
                  <c:v>-3.5197213251569326E-2</c:v>
                </c:pt>
                <c:pt idx="273">
                  <c:v>-1.9739468050364639E-2</c:v>
                </c:pt>
                <c:pt idx="274">
                  <c:v>-2.1299756885227894E-2</c:v>
                </c:pt>
                <c:pt idx="275">
                  <c:v>-3.6176929496716026E-2</c:v>
                </c:pt>
                <c:pt idx="276">
                  <c:v>-4.0023222903588507E-2</c:v>
                </c:pt>
                <c:pt idx="277">
                  <c:v>-3.6612358939003387E-2</c:v>
                </c:pt>
                <c:pt idx="278">
                  <c:v>-4.6482092964185817E-2</c:v>
                </c:pt>
                <c:pt idx="279">
                  <c:v>-5.4864109728219201E-2</c:v>
                </c:pt>
                <c:pt idx="280">
                  <c:v>-6.1867266591675851E-2</c:v>
                </c:pt>
                <c:pt idx="281">
                  <c:v>-6.28832686236801E-2</c:v>
                </c:pt>
                <c:pt idx="282">
                  <c:v>-7.4458434631154979E-2</c:v>
                </c:pt>
                <c:pt idx="283">
                  <c:v>-8.5380456475198652E-2</c:v>
                </c:pt>
                <c:pt idx="284">
                  <c:v>-7.6599296055735122E-2</c:v>
                </c:pt>
                <c:pt idx="285">
                  <c:v>-5.8964403643093077E-2</c:v>
                </c:pt>
                <c:pt idx="286">
                  <c:v>-6.9632424979135799E-2</c:v>
                </c:pt>
                <c:pt idx="287">
                  <c:v>-6.1867266591675962E-2</c:v>
                </c:pt>
                <c:pt idx="288">
                  <c:v>-5.2070104140208295E-2</c:v>
                </c:pt>
                <c:pt idx="289">
                  <c:v>-5.130810261620522E-2</c:v>
                </c:pt>
                <c:pt idx="290">
                  <c:v>-6.5169273195689215E-2</c:v>
                </c:pt>
                <c:pt idx="291">
                  <c:v>-5.7549257955658795E-2</c:v>
                </c:pt>
                <c:pt idx="292">
                  <c:v>-4.0567509706447957E-2</c:v>
                </c:pt>
                <c:pt idx="293">
                  <c:v>-4.04586523458762E-2</c:v>
                </c:pt>
                <c:pt idx="294">
                  <c:v>-3.2584636597844718E-2</c:v>
                </c:pt>
                <c:pt idx="295">
                  <c:v>-2.6270909684676491E-2</c:v>
                </c:pt>
                <c:pt idx="296">
                  <c:v>-2.7794912732682642E-2</c:v>
                </c:pt>
                <c:pt idx="297">
                  <c:v>-1.7780035560071128E-2</c:v>
                </c:pt>
                <c:pt idx="298">
                  <c:v>-1.2772596973765316E-2</c:v>
                </c:pt>
                <c:pt idx="299">
                  <c:v>-1.9957182771508375E-2</c:v>
                </c:pt>
                <c:pt idx="300">
                  <c:v>-2.8448056896113627E-2</c:v>
                </c:pt>
                <c:pt idx="301">
                  <c:v>-1.846946551035944E-2</c:v>
                </c:pt>
                <c:pt idx="302">
                  <c:v>-5.6569541710511984E-2</c:v>
                </c:pt>
                <c:pt idx="303">
                  <c:v>-5.9835262527667799E-2</c:v>
                </c:pt>
                <c:pt idx="304">
                  <c:v>-5.5807540186509019E-2</c:v>
                </c:pt>
                <c:pt idx="305">
                  <c:v>-4.8659240175623286E-2</c:v>
                </c:pt>
                <c:pt idx="306">
                  <c:v>-5.3412678253928036E-2</c:v>
                </c:pt>
                <c:pt idx="307">
                  <c:v>-6.6693276243695476E-2</c:v>
                </c:pt>
                <c:pt idx="308">
                  <c:v>-5.9290975724808681E-2</c:v>
                </c:pt>
                <c:pt idx="309">
                  <c:v>-7.8413585398599439E-2</c:v>
                </c:pt>
                <c:pt idx="310">
                  <c:v>-8.5924743278057991E-2</c:v>
                </c:pt>
                <c:pt idx="311">
                  <c:v>-7.8050727530026398E-2</c:v>
                </c:pt>
                <c:pt idx="312">
                  <c:v>-7.1918429551144802E-2</c:v>
                </c:pt>
                <c:pt idx="313">
                  <c:v>-8.4908741246053854E-2</c:v>
                </c:pt>
                <c:pt idx="314">
                  <c:v>-9.1186182372364755E-2</c:v>
                </c:pt>
                <c:pt idx="315">
                  <c:v>-8.8573605718640036E-2</c:v>
                </c:pt>
                <c:pt idx="316">
                  <c:v>-9.8007910301534884E-2</c:v>
                </c:pt>
                <c:pt idx="317">
                  <c:v>-0.10160020320040641</c:v>
                </c:pt>
                <c:pt idx="318">
                  <c:v>-0.10080191588954601</c:v>
                </c:pt>
                <c:pt idx="319">
                  <c:v>-0.11230451032330624</c:v>
                </c:pt>
                <c:pt idx="320">
                  <c:v>-9.6048477811241262E-2</c:v>
                </c:pt>
                <c:pt idx="321">
                  <c:v>-7.8522442759171085E-2</c:v>
                </c:pt>
                <c:pt idx="322">
                  <c:v>-8.3275880837475835E-2</c:v>
                </c:pt>
                <c:pt idx="323">
                  <c:v>-6.9813853913421764E-2</c:v>
                </c:pt>
                <c:pt idx="324">
                  <c:v>-7.2499002140861024E-2</c:v>
                </c:pt>
                <c:pt idx="325">
                  <c:v>-0.10570049711527962</c:v>
                </c:pt>
                <c:pt idx="326">
                  <c:v>-0.10080191588954568</c:v>
                </c:pt>
                <c:pt idx="327">
                  <c:v>-0.1016364889872633</c:v>
                </c:pt>
                <c:pt idx="328">
                  <c:v>-0.10682535650785552</c:v>
                </c:pt>
                <c:pt idx="329">
                  <c:v>-0.10780507275300233</c:v>
                </c:pt>
                <c:pt idx="330">
                  <c:v>-0.1009833448238322</c:v>
                </c:pt>
                <c:pt idx="331">
                  <c:v>-9.7645052432961621E-2</c:v>
                </c:pt>
                <c:pt idx="332">
                  <c:v>-0.11564280271417648</c:v>
                </c:pt>
                <c:pt idx="333">
                  <c:v>-0.11074422148844276</c:v>
                </c:pt>
                <c:pt idx="334">
                  <c:v>-0.11491708697703096</c:v>
                </c:pt>
                <c:pt idx="335">
                  <c:v>-0.11386479915816949</c:v>
                </c:pt>
                <c:pt idx="336">
                  <c:v>-0.12199281541420215</c:v>
                </c:pt>
                <c:pt idx="337">
                  <c:v>-0.12097681338219801</c:v>
                </c:pt>
                <c:pt idx="338">
                  <c:v>-0.1011284879712615</c:v>
                </c:pt>
                <c:pt idx="339">
                  <c:v>-7.5837294531731714E-2</c:v>
                </c:pt>
                <c:pt idx="340">
                  <c:v>-8.3747596066620522E-2</c:v>
                </c:pt>
                <c:pt idx="341">
                  <c:v>-7.8703871693457494E-2</c:v>
                </c:pt>
                <c:pt idx="342">
                  <c:v>-4.6373235603613838E-2</c:v>
                </c:pt>
                <c:pt idx="343">
                  <c:v>-7.1809572190572601E-2</c:v>
                </c:pt>
                <c:pt idx="344">
                  <c:v>-7.075728437171136E-2</c:v>
                </c:pt>
                <c:pt idx="345">
                  <c:v>-7.0575855437424839E-2</c:v>
                </c:pt>
                <c:pt idx="346">
                  <c:v>-5.4356108712217077E-2</c:v>
                </c:pt>
                <c:pt idx="347">
                  <c:v>-5.6025254907652533E-2</c:v>
                </c:pt>
                <c:pt idx="348">
                  <c:v>-9.1004753438078123E-2</c:v>
                </c:pt>
                <c:pt idx="349">
                  <c:v>-7.9175586922602181E-2</c:v>
                </c:pt>
                <c:pt idx="350">
                  <c:v>-5.0364672157915513E-2</c:v>
                </c:pt>
                <c:pt idx="351">
                  <c:v>-4.0132080264160375E-2</c:v>
                </c:pt>
                <c:pt idx="352">
                  <c:v>-2.0283754853223757E-2</c:v>
                </c:pt>
                <c:pt idx="353">
                  <c:v>-3.9188649805870224E-3</c:v>
                </c:pt>
                <c:pt idx="354">
                  <c:v>-1.6183460938350325E-2</c:v>
                </c:pt>
                <c:pt idx="355">
                  <c:v>-3.3564352842991307E-2</c:v>
                </c:pt>
                <c:pt idx="356">
                  <c:v>-6.5894988932834853E-2</c:v>
                </c:pt>
                <c:pt idx="357">
                  <c:v>-0.10686164229471307</c:v>
                </c:pt>
                <c:pt idx="358">
                  <c:v>-0.12471424942849862</c:v>
                </c:pt>
                <c:pt idx="359">
                  <c:v>-0.10617221234442442</c:v>
                </c:pt>
                <c:pt idx="360">
                  <c:v>-0.11339308392902481</c:v>
                </c:pt>
                <c:pt idx="361">
                  <c:v>-0.12224681592220299</c:v>
                </c:pt>
                <c:pt idx="362">
                  <c:v>-0.11520737327188912</c:v>
                </c:pt>
                <c:pt idx="363">
                  <c:v>-0.12006966871076574</c:v>
                </c:pt>
                <c:pt idx="364">
                  <c:v>-0.10530135345984948</c:v>
                </c:pt>
                <c:pt idx="365">
                  <c:v>-0.1130665118473092</c:v>
                </c:pt>
                <c:pt idx="366">
                  <c:v>-0.11357451286331133</c:v>
                </c:pt>
                <c:pt idx="367">
                  <c:v>-0.10882107478500658</c:v>
                </c:pt>
                <c:pt idx="368">
                  <c:v>-0.10069305852897403</c:v>
                </c:pt>
                <c:pt idx="369">
                  <c:v>-0.10018505751297213</c:v>
                </c:pt>
                <c:pt idx="370">
                  <c:v>-7.5111578794586187E-2</c:v>
                </c:pt>
                <c:pt idx="371">
                  <c:v>-9.0387895061504353E-2</c:v>
                </c:pt>
                <c:pt idx="372">
                  <c:v>-0.12765339816393928</c:v>
                </c:pt>
                <c:pt idx="373">
                  <c:v>-0.1444900032657207</c:v>
                </c:pt>
                <c:pt idx="374">
                  <c:v>-0.12449653470735511</c:v>
                </c:pt>
                <c:pt idx="375">
                  <c:v>-0.11023622047244108</c:v>
                </c:pt>
                <c:pt idx="376">
                  <c:v>-0.13269712253710231</c:v>
                </c:pt>
                <c:pt idx="377">
                  <c:v>-0.14790086723030604</c:v>
                </c:pt>
                <c:pt idx="378">
                  <c:v>-0.15758917232120195</c:v>
                </c:pt>
                <c:pt idx="379">
                  <c:v>-0.15827860227149049</c:v>
                </c:pt>
                <c:pt idx="380">
                  <c:v>-0.15878660328749239</c:v>
                </c:pt>
                <c:pt idx="381">
                  <c:v>-0.15472259515947628</c:v>
                </c:pt>
                <c:pt idx="382">
                  <c:v>-0.15472259515947628</c:v>
                </c:pt>
                <c:pt idx="383">
                  <c:v>-0.14267571392285672</c:v>
                </c:pt>
                <c:pt idx="384">
                  <c:v>-0.13832141949998222</c:v>
                </c:pt>
                <c:pt idx="385">
                  <c:v>-0.11872709459704656</c:v>
                </c:pt>
                <c:pt idx="386">
                  <c:v>-0.1105627925541568</c:v>
                </c:pt>
                <c:pt idx="387">
                  <c:v>-0.11317536920788152</c:v>
                </c:pt>
                <c:pt idx="388">
                  <c:v>-7.9538444791175555E-2</c:v>
                </c:pt>
                <c:pt idx="389">
                  <c:v>-8.5416742262056089E-2</c:v>
                </c:pt>
                <c:pt idx="390">
                  <c:v>-8.4400740230052063E-2</c:v>
                </c:pt>
                <c:pt idx="391">
                  <c:v>-9.3327043796944786E-2</c:v>
                </c:pt>
                <c:pt idx="392">
                  <c:v>-9.419790268151973E-2</c:v>
                </c:pt>
                <c:pt idx="393">
                  <c:v>-9.0750752930077283E-2</c:v>
                </c:pt>
                <c:pt idx="394">
                  <c:v>-9.1984469683225045E-2</c:v>
                </c:pt>
                <c:pt idx="395">
                  <c:v>-9.1295039732936623E-2</c:v>
                </c:pt>
                <c:pt idx="396">
                  <c:v>-0.10196306106897923</c:v>
                </c:pt>
                <c:pt idx="397">
                  <c:v>-0.12747196922965276</c:v>
                </c:pt>
                <c:pt idx="398">
                  <c:v>-0.12514967887078632</c:v>
                </c:pt>
                <c:pt idx="399">
                  <c:v>-0.12395224790449588</c:v>
                </c:pt>
                <c:pt idx="400">
                  <c:v>-0.13628941543597384</c:v>
                </c:pt>
                <c:pt idx="401">
                  <c:v>-0.13570884284625728</c:v>
                </c:pt>
                <c:pt idx="402">
                  <c:v>-0.12319024638049281</c:v>
                </c:pt>
                <c:pt idx="403">
                  <c:v>-0.11498965855074561</c:v>
                </c:pt>
                <c:pt idx="404">
                  <c:v>-0.1018904894952648</c:v>
                </c:pt>
                <c:pt idx="405">
                  <c:v>-9.7572480859247634E-2</c:v>
                </c:pt>
                <c:pt idx="406">
                  <c:v>-8.2731594034616718E-2</c:v>
                </c:pt>
                <c:pt idx="407">
                  <c:v>-6.934213868427741E-2</c:v>
                </c:pt>
                <c:pt idx="408">
                  <c:v>-6.1504408723103365E-2</c:v>
                </c:pt>
                <c:pt idx="409">
                  <c:v>-5.032838637105852E-2</c:v>
                </c:pt>
                <c:pt idx="410">
                  <c:v>-5.678725643165583E-2</c:v>
                </c:pt>
                <c:pt idx="411">
                  <c:v>-7.9357015856888924E-2</c:v>
                </c:pt>
                <c:pt idx="412">
                  <c:v>-7.9901302659748152E-2</c:v>
                </c:pt>
                <c:pt idx="413">
                  <c:v>-7.0575855437425172E-2</c:v>
                </c:pt>
                <c:pt idx="414">
                  <c:v>-6.9124423963133674E-2</c:v>
                </c:pt>
                <c:pt idx="415">
                  <c:v>-6.2012409739105268E-2</c:v>
                </c:pt>
                <c:pt idx="416">
                  <c:v>-5.8202402119090113E-2</c:v>
                </c:pt>
                <c:pt idx="417">
                  <c:v>0</c:v>
                </c:pt>
                <c:pt idx="418">
                  <c:v>-8.3263946711074066E-3</c:v>
                </c:pt>
                <c:pt idx="419">
                  <c:v>-2.1141802121420694E-2</c:v>
                </c:pt>
                <c:pt idx="420">
                  <c:v>-2.6680664663505049E-2</c:v>
                </c:pt>
                <c:pt idx="421">
                  <c:v>-1.2887810882235895E-2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-9.2367691834005505E-4</c:v>
                </c:pt>
                <c:pt idx="426">
                  <c:v>-1.3444630700283899E-2</c:v>
                </c:pt>
                <c:pt idx="427">
                  <c:v>-1.5736717868016781E-2</c:v>
                </c:pt>
                <c:pt idx="428">
                  <c:v>-3.2944476754130814E-2</c:v>
                </c:pt>
                <c:pt idx="429">
                  <c:v>-4.4575963873969338E-2</c:v>
                </c:pt>
                <c:pt idx="430">
                  <c:v>-4.6423317710649448E-2</c:v>
                </c:pt>
                <c:pt idx="431">
                  <c:v>-4.8920666415791292E-2</c:v>
                </c:pt>
                <c:pt idx="432">
                  <c:v>-4.9604871540487649E-2</c:v>
                </c:pt>
                <c:pt idx="433">
                  <c:v>-3.8076015189353551E-2</c:v>
                </c:pt>
                <c:pt idx="434">
                  <c:v>-2.6341897300810713E-2</c:v>
                </c:pt>
                <c:pt idx="435">
                  <c:v>-6.6367897095549466E-3</c:v>
                </c:pt>
                <c:pt idx="436">
                  <c:v>-1.337621018781443E-2</c:v>
                </c:pt>
                <c:pt idx="437">
                  <c:v>-2.0252471691012963E-2</c:v>
                </c:pt>
                <c:pt idx="438">
                  <c:v>-1.4299887106154374E-2</c:v>
                </c:pt>
                <c:pt idx="439">
                  <c:v>-1.7994594779514927E-2</c:v>
                </c:pt>
                <c:pt idx="440">
                  <c:v>-1.9876158872429883E-2</c:v>
                </c:pt>
                <c:pt idx="441">
                  <c:v>-2.2784030652389542E-2</c:v>
                </c:pt>
                <c:pt idx="442">
                  <c:v>-1.6010399917895324E-2</c:v>
                </c:pt>
                <c:pt idx="443">
                  <c:v>-1.8644589647976328E-2</c:v>
                </c:pt>
                <c:pt idx="444">
                  <c:v>-3.7904963908179434E-2</c:v>
                </c:pt>
                <c:pt idx="445">
                  <c:v>-5.4736409975710609E-2</c:v>
                </c:pt>
                <c:pt idx="446">
                  <c:v>-4.3618076699394215E-2</c:v>
                </c:pt>
                <c:pt idx="447">
                  <c:v>-4.8578563853443057E-2</c:v>
                </c:pt>
                <c:pt idx="448">
                  <c:v>-5.658376381239083E-2</c:v>
                </c:pt>
                <c:pt idx="449">
                  <c:v>-5.2375902295508037E-2</c:v>
                </c:pt>
                <c:pt idx="450">
                  <c:v>-6.7257363757654454E-2</c:v>
                </c:pt>
                <c:pt idx="451">
                  <c:v>-9.3804522595874129E-2</c:v>
                </c:pt>
                <c:pt idx="452">
                  <c:v>-0.1073859943210973</c:v>
                </c:pt>
                <c:pt idx="453">
                  <c:v>-9.9825527693202187E-2</c:v>
                </c:pt>
                <c:pt idx="454">
                  <c:v>-0.1007149943553074</c:v>
                </c:pt>
                <c:pt idx="455">
                  <c:v>-9.5788717457493289E-2</c:v>
                </c:pt>
                <c:pt idx="456">
                  <c:v>-9.496767130785766E-2</c:v>
                </c:pt>
                <c:pt idx="457">
                  <c:v>-0.10245971742328297</c:v>
                </c:pt>
                <c:pt idx="458">
                  <c:v>-0.11682802504190704</c:v>
                </c:pt>
                <c:pt idx="459">
                  <c:v>-0.12000957887174524</c:v>
                </c:pt>
                <c:pt idx="460">
                  <c:v>-0.12568848140672517</c:v>
                </c:pt>
                <c:pt idx="461">
                  <c:v>-0.12035168143409336</c:v>
                </c:pt>
                <c:pt idx="462">
                  <c:v>-0.11949642502822289</c:v>
                </c:pt>
                <c:pt idx="463">
                  <c:v>-0.13796996339502532</c:v>
                </c:pt>
                <c:pt idx="464">
                  <c:v>-0.12668057883753492</c:v>
                </c:pt>
                <c:pt idx="465">
                  <c:v>-0.13896206082583495</c:v>
                </c:pt>
                <c:pt idx="466">
                  <c:v>-0.12411480961992349</c:v>
                </c:pt>
                <c:pt idx="467">
                  <c:v>-0.1102938661010564</c:v>
                </c:pt>
                <c:pt idx="468">
                  <c:v>-8.2515138038383173E-2</c:v>
                </c:pt>
                <c:pt idx="469">
                  <c:v>-7.9162532927370743E-2</c:v>
                </c:pt>
                <c:pt idx="470">
                  <c:v>-7.5980979097532542E-2</c:v>
                </c:pt>
                <c:pt idx="471">
                  <c:v>-5.7404809962025682E-2</c:v>
                </c:pt>
                <c:pt idx="472">
                  <c:v>-6.1338989429029822E-2</c:v>
                </c:pt>
                <c:pt idx="473">
                  <c:v>-5.9799527898463101E-2</c:v>
                </c:pt>
                <c:pt idx="474">
                  <c:v>-5.0528548458827038E-2</c:v>
                </c:pt>
                <c:pt idx="475">
                  <c:v>-5.9252163798706015E-2</c:v>
                </c:pt>
                <c:pt idx="476">
                  <c:v>-5.8875850980123046E-2</c:v>
                </c:pt>
                <c:pt idx="477">
                  <c:v>-6.8796825288220731E-2</c:v>
                </c:pt>
                <c:pt idx="478">
                  <c:v>-5.4565358694536048E-2</c:v>
                </c:pt>
                <c:pt idx="479">
                  <c:v>-6.2125825322431161E-2</c:v>
                </c:pt>
                <c:pt idx="480">
                  <c:v>-7.2354691936641902E-2</c:v>
                </c:pt>
                <c:pt idx="481">
                  <c:v>-6.9241558619273502E-2</c:v>
                </c:pt>
                <c:pt idx="482">
                  <c:v>-6.1510040710204383E-2</c:v>
                </c:pt>
                <c:pt idx="483">
                  <c:v>-5.1657486914576389E-2</c:v>
                </c:pt>
                <c:pt idx="484">
                  <c:v>-6.6333686839313732E-2</c:v>
                </c:pt>
                <c:pt idx="485">
                  <c:v>-8.1249358557694995E-2</c:v>
                </c:pt>
                <c:pt idx="486">
                  <c:v>-8.3951968800245802E-2</c:v>
                </c:pt>
                <c:pt idx="487">
                  <c:v>-9.7499230269234127E-2</c:v>
                </c:pt>
                <c:pt idx="488">
                  <c:v>-7.8615168827614101E-2</c:v>
                </c:pt>
                <c:pt idx="489">
                  <c:v>-7.4749409873079431E-2</c:v>
                </c:pt>
                <c:pt idx="490">
                  <c:v>-6.6881050939071041E-2</c:v>
                </c:pt>
                <c:pt idx="491">
                  <c:v>-9.3530840545995031E-2</c:v>
                </c:pt>
                <c:pt idx="492">
                  <c:v>-0.11535698402381001</c:v>
                </c:pt>
                <c:pt idx="493">
                  <c:v>-0.13495946084636135</c:v>
                </c:pt>
                <c:pt idx="494">
                  <c:v>-0.13940679415688784</c:v>
                </c:pt>
                <c:pt idx="495">
                  <c:v>-0.14546200951045085</c:v>
                </c:pt>
                <c:pt idx="496">
                  <c:v>-0.14293045054907438</c:v>
                </c:pt>
                <c:pt idx="497">
                  <c:v>-0.16143819917211144</c:v>
                </c:pt>
                <c:pt idx="498">
                  <c:v>-0.15394615305668602</c:v>
                </c:pt>
                <c:pt idx="499">
                  <c:v>-0.17974068625773965</c:v>
                </c:pt>
                <c:pt idx="500">
                  <c:v>-0.19653792206903586</c:v>
                </c:pt>
                <c:pt idx="501">
                  <c:v>-0.17775649139612026</c:v>
                </c:pt>
                <c:pt idx="502">
                  <c:v>-0.19547740412575676</c:v>
                </c:pt>
                <c:pt idx="503">
                  <c:v>-0.24429543977284363</c:v>
                </c:pt>
                <c:pt idx="504">
                  <c:v>-0.24279018849851164</c:v>
                </c:pt>
                <c:pt idx="505">
                  <c:v>-0.23126133214737754</c:v>
                </c:pt>
                <c:pt idx="506">
                  <c:v>-0.22284560911361206</c:v>
                </c:pt>
                <c:pt idx="507">
                  <c:v>-0.23013239369162852</c:v>
                </c:pt>
                <c:pt idx="508">
                  <c:v>-0.20864835277616212</c:v>
                </c:pt>
                <c:pt idx="509">
                  <c:v>-0.19578529643187004</c:v>
                </c:pt>
                <c:pt idx="510">
                  <c:v>-0.19092744004652573</c:v>
                </c:pt>
                <c:pt idx="511">
                  <c:v>-0.17515651192227399</c:v>
                </c:pt>
                <c:pt idx="512">
                  <c:v>-0.18333276316239577</c:v>
                </c:pt>
                <c:pt idx="513">
                  <c:v>-0.19920632205535194</c:v>
                </c:pt>
                <c:pt idx="514">
                  <c:v>-0.17618281960931859</c:v>
                </c:pt>
                <c:pt idx="515">
                  <c:v>-0.17560124525332665</c:v>
                </c:pt>
                <c:pt idx="516">
                  <c:v>-0.18901166569737582</c:v>
                </c:pt>
                <c:pt idx="517">
                  <c:v>-0.18736957339810445</c:v>
                </c:pt>
                <c:pt idx="518">
                  <c:v>-0.20310629126612123</c:v>
                </c:pt>
                <c:pt idx="519">
                  <c:v>-0.20187472204166779</c:v>
                </c:pt>
                <c:pt idx="520">
                  <c:v>-0.18829325031644462</c:v>
                </c:pt>
                <c:pt idx="521">
                  <c:v>-0.17861174780199063</c:v>
                </c:pt>
                <c:pt idx="522">
                  <c:v>-0.18860114262255789</c:v>
                </c:pt>
                <c:pt idx="523">
                  <c:v>-0.21063254763778139</c:v>
                </c:pt>
                <c:pt idx="524">
                  <c:v>-0.2181930142656765</c:v>
                </c:pt>
                <c:pt idx="525">
                  <c:v>-0.22517190653757957</c:v>
                </c:pt>
                <c:pt idx="526">
                  <c:v>-0.18056173240737539</c:v>
                </c:pt>
                <c:pt idx="527">
                  <c:v>-0.19407478362012887</c:v>
                </c:pt>
                <c:pt idx="528">
                  <c:v>-0.17108549143033036</c:v>
                </c:pt>
                <c:pt idx="529">
                  <c:v>-0.1670486811946218</c:v>
                </c:pt>
                <c:pt idx="530">
                  <c:v>-0.16345660428996567</c:v>
                </c:pt>
                <c:pt idx="531">
                  <c:v>-0.17707228627142368</c:v>
                </c:pt>
                <c:pt idx="532">
                  <c:v>-0.17235127091101865</c:v>
                </c:pt>
                <c:pt idx="533">
                  <c:v>-0.19889842974923833</c:v>
                </c:pt>
                <c:pt idx="534">
                  <c:v>-0.17700386575895399</c:v>
                </c:pt>
                <c:pt idx="535">
                  <c:v>-0.16342239403373082</c:v>
                </c:pt>
                <c:pt idx="536">
                  <c:v>-0.14641989668502575</c:v>
                </c:pt>
                <c:pt idx="537">
                  <c:v>-0.15486982997502607</c:v>
                </c:pt>
                <c:pt idx="538">
                  <c:v>-0.16051452225377116</c:v>
                </c:pt>
                <c:pt idx="539">
                  <c:v>-0.16065136327871044</c:v>
                </c:pt>
                <c:pt idx="540">
                  <c:v>-0.10256234819198751</c:v>
                </c:pt>
                <c:pt idx="541">
                  <c:v>-9.8115014881461016E-2</c:v>
                </c:pt>
                <c:pt idx="542">
                  <c:v>-8.6415107249152801E-2</c:v>
                </c:pt>
                <c:pt idx="543">
                  <c:v>-7.6186240634941838E-2</c:v>
                </c:pt>
                <c:pt idx="544">
                  <c:v>-8.5765112380691289E-2</c:v>
                </c:pt>
                <c:pt idx="545">
                  <c:v>-9.0554548253566014E-2</c:v>
                </c:pt>
                <c:pt idx="546">
                  <c:v>-8.1728302144982723E-2</c:v>
                </c:pt>
                <c:pt idx="547">
                  <c:v>-7.7588861140569731E-2</c:v>
                </c:pt>
                <c:pt idx="548">
                  <c:v>-6.8249461188464089E-2</c:v>
                </c:pt>
                <c:pt idx="549">
                  <c:v>-8.1146727788991013E-2</c:v>
                </c:pt>
                <c:pt idx="550">
                  <c:v>-8.8912455954294978E-2</c:v>
                </c:pt>
                <c:pt idx="551">
                  <c:v>-7.2662584242755957E-2</c:v>
                </c:pt>
                <c:pt idx="552">
                  <c:v>-5.7473230474496151E-2</c:v>
                </c:pt>
                <c:pt idx="553">
                  <c:v>-5.5762717662755201E-2</c:v>
                </c:pt>
                <c:pt idx="554">
                  <c:v>-6.4931066333686727E-2</c:v>
                </c:pt>
                <c:pt idx="555">
                  <c:v>-7.447572782320111E-2</c:v>
                </c:pt>
                <c:pt idx="556">
                  <c:v>-7.0575758612431705E-2</c:v>
                </c:pt>
                <c:pt idx="557">
                  <c:v>-8.2515138038383506E-2</c:v>
                </c:pt>
                <c:pt idx="558">
                  <c:v>-7.5775717560124023E-2</c:v>
                </c:pt>
                <c:pt idx="559">
                  <c:v>-0.10187814306729126</c:v>
                </c:pt>
                <c:pt idx="560">
                  <c:v>-9.2367691834011389E-2</c:v>
                </c:pt>
                <c:pt idx="561">
                  <c:v>-9.318873798364713E-2</c:v>
                </c:pt>
                <c:pt idx="562">
                  <c:v>-9.897027128733149E-2</c:v>
                </c:pt>
                <c:pt idx="563">
                  <c:v>-9.3633471314699679E-2</c:v>
                </c:pt>
                <c:pt idx="564">
                  <c:v>-8.9733502103930385E-2</c:v>
                </c:pt>
                <c:pt idx="565">
                  <c:v>-9.1136122609557835E-2</c:v>
                </c:pt>
                <c:pt idx="566">
                  <c:v>-9.4078204645752339E-2</c:v>
                </c:pt>
                <c:pt idx="567">
                  <c:v>-9.0007184153808817E-2</c:v>
                </c:pt>
                <c:pt idx="568">
                  <c:v>-9.3086107214942482E-2</c:v>
                </c:pt>
                <c:pt idx="569">
                  <c:v>-0.10670178919640061</c:v>
                </c:pt>
                <c:pt idx="570">
                  <c:v>-9.1615066196845341E-2</c:v>
                </c:pt>
                <c:pt idx="571">
                  <c:v>-0.10789914816461932</c:v>
                </c:pt>
                <c:pt idx="572">
                  <c:v>-0.10649652765899165</c:v>
                </c:pt>
                <c:pt idx="573">
                  <c:v>-0.11381752249324306</c:v>
                </c:pt>
                <c:pt idx="574">
                  <c:v>-0.11689644555437695</c:v>
                </c:pt>
                <c:pt idx="575">
                  <c:v>-0.1244227019260371</c:v>
                </c:pt>
                <c:pt idx="576">
                  <c:v>-0.10697547124627915</c:v>
                </c:pt>
                <c:pt idx="577">
                  <c:v>-9.5207143101501246E-2</c:v>
                </c:pt>
                <c:pt idx="578">
                  <c:v>-0.12887003523656348</c:v>
                </c:pt>
                <c:pt idx="579">
                  <c:v>-0.1209332557900854</c:v>
                </c:pt>
                <c:pt idx="580">
                  <c:v>-0.10307550203550964</c:v>
                </c:pt>
                <c:pt idx="581">
                  <c:v>-0.10772809688344509</c:v>
                </c:pt>
                <c:pt idx="582">
                  <c:v>-9.4557148233039734E-2</c:v>
                </c:pt>
                <c:pt idx="583">
                  <c:v>-9.0999281584618674E-2</c:v>
                </c:pt>
                <c:pt idx="584">
                  <c:v>-8.9186138004173077E-2</c:v>
                </c:pt>
                <c:pt idx="585">
                  <c:v>-8.6586158530326807E-2</c:v>
                </c:pt>
                <c:pt idx="586">
                  <c:v>-8.8467722623241873E-2</c:v>
                </c:pt>
                <c:pt idx="587">
                  <c:v>-7.6494132941055004E-2</c:v>
                </c:pt>
                <c:pt idx="588">
                  <c:v>-7.3825732954738932E-2</c:v>
                </c:pt>
                <c:pt idx="589">
                  <c:v>-7.9744107283362675E-2</c:v>
                </c:pt>
                <c:pt idx="590">
                  <c:v>-7.6562553453524584E-2</c:v>
                </c:pt>
                <c:pt idx="591">
                  <c:v>-0.10519653792206829</c:v>
                </c:pt>
                <c:pt idx="592">
                  <c:v>-0.10841230200814134</c:v>
                </c:pt>
                <c:pt idx="593">
                  <c:v>-0.10023605076801967</c:v>
                </c:pt>
                <c:pt idx="594">
                  <c:v>-8.7954568779719411E-2</c:v>
                </c:pt>
                <c:pt idx="595">
                  <c:v>-9.3393999521055759E-2</c:v>
                </c:pt>
                <c:pt idx="596">
                  <c:v>-8.3917758544010956E-2</c:v>
                </c:pt>
                <c:pt idx="597">
                  <c:v>-7.9367794464780039E-2</c:v>
                </c:pt>
                <c:pt idx="598">
                  <c:v>-7.1465225274536803E-2</c:v>
                </c:pt>
                <c:pt idx="599">
                  <c:v>-5.9799527898463545E-2</c:v>
                </c:pt>
                <c:pt idx="600">
                  <c:v>-7.594676884129814E-2</c:v>
                </c:pt>
                <c:pt idx="601">
                  <c:v>-6.2912661215831944E-2</c:v>
                </c:pt>
                <c:pt idx="602">
                  <c:v>-6.6846840682836195E-2</c:v>
                </c:pt>
                <c:pt idx="603">
                  <c:v>-6.0346891998220409E-2</c:v>
                </c:pt>
                <c:pt idx="604">
                  <c:v>-5.9423215079880465E-2</c:v>
                </c:pt>
                <c:pt idx="605">
                  <c:v>-3.5783928021620448E-2</c:v>
                </c:pt>
                <c:pt idx="606">
                  <c:v>-3.1268174198624266E-2</c:v>
                </c:pt>
                <c:pt idx="607">
                  <c:v>-3.667339468372588E-2</c:v>
                </c:pt>
                <c:pt idx="608">
                  <c:v>-3.4928671615749862E-2</c:v>
                </c:pt>
                <c:pt idx="609">
                  <c:v>-1.980773835995997E-2</c:v>
                </c:pt>
                <c:pt idx="610">
                  <c:v>-2.4186651158016881E-2</c:v>
                </c:pt>
                <c:pt idx="611">
                  <c:v>-1.4368307618622955E-3</c:v>
                </c:pt>
                <c:pt idx="612">
                  <c:v>0</c:v>
                </c:pt>
                <c:pt idx="613">
                  <c:v>-8.5915302394803383E-3</c:v>
                </c:pt>
                <c:pt idx="614">
                  <c:v>-1.3597618725476823E-2</c:v>
                </c:pt>
                <c:pt idx="615">
                  <c:v>-1.9483155188742995E-2</c:v>
                </c:pt>
                <c:pt idx="616">
                  <c:v>-9.4709782167500256E-3</c:v>
                </c:pt>
                <c:pt idx="617">
                  <c:v>-3.1660127181707409E-2</c:v>
                </c:pt>
                <c:pt idx="618">
                  <c:v>-2.489514274117155E-2</c:v>
                </c:pt>
                <c:pt idx="619">
                  <c:v>-1.0959274793667761E-2</c:v>
                </c:pt>
                <c:pt idx="620">
                  <c:v>-1.8062508456230142E-2</c:v>
                </c:pt>
                <c:pt idx="621">
                  <c:v>-1.5018265457989233E-2</c:v>
                </c:pt>
                <c:pt idx="622">
                  <c:v>-1.5187390069002604E-2</c:v>
                </c:pt>
                <c:pt idx="623">
                  <c:v>-1.5153565146799775E-2</c:v>
                </c:pt>
                <c:pt idx="624">
                  <c:v>-1.5153565146799775E-2</c:v>
                </c:pt>
                <c:pt idx="625">
                  <c:v>-1.0654850493843404E-2</c:v>
                </c:pt>
                <c:pt idx="626">
                  <c:v>-2.5673115951832859E-2</c:v>
                </c:pt>
                <c:pt idx="627">
                  <c:v>-1.1196049249086459E-2</c:v>
                </c:pt>
                <c:pt idx="628">
                  <c:v>-2.8074685428221002E-3</c:v>
                </c:pt>
                <c:pt idx="629">
                  <c:v>0</c:v>
                </c:pt>
                <c:pt idx="630">
                  <c:v>-2.1645311297715075E-2</c:v>
                </c:pt>
                <c:pt idx="631">
                  <c:v>-1.4987788966578708E-2</c:v>
                </c:pt>
                <c:pt idx="632">
                  <c:v>0</c:v>
                </c:pt>
                <c:pt idx="633">
                  <c:v>-2.2244322890767387E-2</c:v>
                </c:pt>
                <c:pt idx="634">
                  <c:v>-2.5261064147190426E-2</c:v>
                </c:pt>
                <c:pt idx="635">
                  <c:v>-3.2123321730482379E-2</c:v>
                </c:pt>
                <c:pt idx="636">
                  <c:v>-3.116194264876504E-2</c:v>
                </c:pt>
                <c:pt idx="637">
                  <c:v>-1.0177357865075343E-2</c:v>
                </c:pt>
                <c:pt idx="638">
                  <c:v>-1.2796287087684322E-2</c:v>
                </c:pt>
                <c:pt idx="639">
                  <c:v>-9.149676777722493E-3</c:v>
                </c:pt>
                <c:pt idx="640">
                  <c:v>-1.3459307144041088E-2</c:v>
                </c:pt>
                <c:pt idx="641">
                  <c:v>-2.5990386209182703E-2</c:v>
                </c:pt>
                <c:pt idx="642">
                  <c:v>-2.2841040941488422E-2</c:v>
                </c:pt>
                <c:pt idx="643">
                  <c:v>-7.8236366650088485E-3</c:v>
                </c:pt>
                <c:pt idx="644">
                  <c:v>0</c:v>
                </c:pt>
                <c:pt idx="645">
                  <c:v>0</c:v>
                </c:pt>
                <c:pt idx="646">
                  <c:v>-1.9439568298550203E-2</c:v>
                </c:pt>
                <c:pt idx="647">
                  <c:v>-1.3815746700474474E-2</c:v>
                </c:pt>
                <c:pt idx="648">
                  <c:v>-9.4922306742082352E-3</c:v>
                </c:pt>
                <c:pt idx="649">
                  <c:v>-9.5897535920939081E-3</c:v>
                </c:pt>
                <c:pt idx="650">
                  <c:v>-2.1845133606397393E-2</c:v>
                </c:pt>
                <c:pt idx="651">
                  <c:v>-1.0369936935179402E-2</c:v>
                </c:pt>
                <c:pt idx="652">
                  <c:v>-1.5343605747350275E-2</c:v>
                </c:pt>
                <c:pt idx="653">
                  <c:v>-2.012222872374958E-2</c:v>
                </c:pt>
                <c:pt idx="654">
                  <c:v>-1.5831220336778751E-2</c:v>
                </c:pt>
                <c:pt idx="655">
                  <c:v>0</c:v>
                </c:pt>
                <c:pt idx="656">
                  <c:v>-1.931601255379034E-2</c:v>
                </c:pt>
                <c:pt idx="657">
                  <c:v>-4.1543986799106869E-2</c:v>
                </c:pt>
                <c:pt idx="658">
                  <c:v>-4.4391238230821362E-2</c:v>
                </c:pt>
                <c:pt idx="659">
                  <c:v>-4.4002976671951188E-2</c:v>
                </c:pt>
                <c:pt idx="660">
                  <c:v>-3.7208399391723601E-2</c:v>
                </c:pt>
                <c:pt idx="661">
                  <c:v>-4.9826900055003676E-2</c:v>
                </c:pt>
                <c:pt idx="662">
                  <c:v>-5.5036075969845055E-2</c:v>
                </c:pt>
                <c:pt idx="663">
                  <c:v>-5.2835927136247518E-2</c:v>
                </c:pt>
                <c:pt idx="664">
                  <c:v>-5.5197851619374294E-2</c:v>
                </c:pt>
                <c:pt idx="665">
                  <c:v>-5.3321254084835124E-2</c:v>
                </c:pt>
                <c:pt idx="666">
                  <c:v>-4.5620733167243355E-2</c:v>
                </c:pt>
                <c:pt idx="667">
                  <c:v>-6.1701232730449251E-2</c:v>
                </c:pt>
                <c:pt idx="668">
                  <c:v>-6.3318989225741529E-2</c:v>
                </c:pt>
                <c:pt idx="669">
                  <c:v>-6.6392726566796845E-2</c:v>
                </c:pt>
                <c:pt idx="670">
                  <c:v>-5.4388973371727878E-2</c:v>
                </c:pt>
                <c:pt idx="671">
                  <c:v>-7.7555246384313881E-2</c:v>
                </c:pt>
                <c:pt idx="672">
                  <c:v>-7.3672630795612148E-2</c:v>
                </c:pt>
                <c:pt idx="673">
                  <c:v>-7.0437117805027594E-2</c:v>
                </c:pt>
                <c:pt idx="674">
                  <c:v>-5.2512375837188707E-2</c:v>
                </c:pt>
                <c:pt idx="675">
                  <c:v>-4.5200116478467223E-2</c:v>
                </c:pt>
                <c:pt idx="676">
                  <c:v>-4.5232471608373293E-2</c:v>
                </c:pt>
                <c:pt idx="677">
                  <c:v>-8.0823114504804505E-2</c:v>
                </c:pt>
                <c:pt idx="678">
                  <c:v>-9.2179765101756739E-2</c:v>
                </c:pt>
                <c:pt idx="679">
                  <c:v>-9.3797521597049127E-2</c:v>
                </c:pt>
                <c:pt idx="680">
                  <c:v>-8.8005953343902377E-2</c:v>
                </c:pt>
                <c:pt idx="681">
                  <c:v>-8.0370142686122414E-2</c:v>
                </c:pt>
                <c:pt idx="682">
                  <c:v>-7.4740350082505236E-2</c:v>
                </c:pt>
                <c:pt idx="683">
                  <c:v>-6.8722295920017773E-2</c:v>
                </c:pt>
                <c:pt idx="684">
                  <c:v>-7.0793024233991808E-2</c:v>
                </c:pt>
                <c:pt idx="685">
                  <c:v>-5.2900637396058547E-2</c:v>
                </c:pt>
                <c:pt idx="686">
                  <c:v>-4.5264826738278807E-2</c:v>
                </c:pt>
                <c:pt idx="687">
                  <c:v>-3.8276118678615911E-2</c:v>
                </c:pt>
                <c:pt idx="688">
                  <c:v>-5.5715533697867192E-2</c:v>
                </c:pt>
                <c:pt idx="689">
                  <c:v>-6.2218914808942594E-2</c:v>
                </c:pt>
                <c:pt idx="690">
                  <c:v>-5.332125408483479E-2</c:v>
                </c:pt>
                <c:pt idx="691">
                  <c:v>-4.9891610314815038E-2</c:v>
                </c:pt>
                <c:pt idx="692">
                  <c:v>-4.594428446630161E-2</c:v>
                </c:pt>
                <c:pt idx="693">
                  <c:v>-4.2999967644869797E-2</c:v>
                </c:pt>
                <c:pt idx="694">
                  <c:v>-5.8336299220240972E-2</c:v>
                </c:pt>
                <c:pt idx="695">
                  <c:v>-3.9796809784191089E-2</c:v>
                </c:pt>
                <c:pt idx="696">
                  <c:v>-3.170802730772937E-2</c:v>
                </c:pt>
                <c:pt idx="697">
                  <c:v>-4.2482285566376343E-2</c:v>
                </c:pt>
                <c:pt idx="698">
                  <c:v>-4.0088005953343719E-2</c:v>
                </c:pt>
                <c:pt idx="699">
                  <c:v>-5.5197851619374072E-2</c:v>
                </c:pt>
                <c:pt idx="700">
                  <c:v>-7.6552237357232711E-2</c:v>
                </c:pt>
                <c:pt idx="701">
                  <c:v>-6.7072184294819759E-2</c:v>
                </c:pt>
                <c:pt idx="702">
                  <c:v>-5.565082343805583E-2</c:v>
                </c:pt>
                <c:pt idx="703">
                  <c:v>-5.5618468308149982E-2</c:v>
                </c:pt>
                <c:pt idx="704">
                  <c:v>-5.2512375837188818E-2</c:v>
                </c:pt>
                <c:pt idx="705">
                  <c:v>-4.9923965444720997E-2</c:v>
                </c:pt>
                <c:pt idx="706">
                  <c:v>-4.8112078169993522E-2</c:v>
                </c:pt>
                <c:pt idx="707">
                  <c:v>-5.5165496489468113E-2</c:v>
                </c:pt>
                <c:pt idx="708">
                  <c:v>-6.5325007279903868E-2</c:v>
                </c:pt>
                <c:pt idx="709">
                  <c:v>-7.7166984825443596E-2</c:v>
                </c:pt>
                <c:pt idx="710">
                  <c:v>-5.3127123305399926E-2</c:v>
                </c:pt>
                <c:pt idx="711">
                  <c:v>-4.0120361083249345E-2</c:v>
                </c:pt>
                <c:pt idx="712">
                  <c:v>-2.9831429773190088E-2</c:v>
                </c:pt>
                <c:pt idx="713">
                  <c:v>-5.4841945190409525E-2</c:v>
                </c:pt>
                <c:pt idx="714">
                  <c:v>-3.2160999126411238E-2</c:v>
                </c:pt>
                <c:pt idx="715">
                  <c:v>0</c:v>
                </c:pt>
                <c:pt idx="716">
                  <c:v>-6.4180732943970309E-3</c:v>
                </c:pt>
                <c:pt idx="717">
                  <c:v>-1.8612412553751234E-3</c:v>
                </c:pt>
                <c:pt idx="718">
                  <c:v>-4.2166741544188424E-2</c:v>
                </c:pt>
                <c:pt idx="719">
                  <c:v>-3.1801553173737451E-2</c:v>
                </c:pt>
                <c:pt idx="720">
                  <c:v>-1.8131057056671507E-2</c:v>
                </c:pt>
                <c:pt idx="721">
                  <c:v>-4.9643796932161144E-2</c:v>
                </c:pt>
                <c:pt idx="722">
                  <c:v>-4.0465952121173321E-2</c:v>
                </c:pt>
                <c:pt idx="723">
                  <c:v>-2.6795456004107598E-2</c:v>
                </c:pt>
                <c:pt idx="724">
                  <c:v>-3.7064373275142892E-2</c:v>
                </c:pt>
                <c:pt idx="725">
                  <c:v>-3.6005391181567314E-2</c:v>
                </c:pt>
                <c:pt idx="726">
                  <c:v>-4.1557024581220459E-2</c:v>
                </c:pt>
                <c:pt idx="727">
                  <c:v>-3.8155445735189919E-2</c:v>
                </c:pt>
                <c:pt idx="728">
                  <c:v>-3.898979526346158E-2</c:v>
                </c:pt>
                <c:pt idx="729">
                  <c:v>-3.5556126050959147E-2</c:v>
                </c:pt>
                <c:pt idx="730">
                  <c:v>-1.8291508889031194E-2</c:v>
                </c:pt>
                <c:pt idx="731">
                  <c:v>-1.9575123547909135E-3</c:v>
                </c:pt>
                <c:pt idx="732">
                  <c:v>-4.1717476413549726E-4</c:v>
                </c:pt>
                <c:pt idx="733">
                  <c:v>-2.7597715165904591E-3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-3.2054968671489603E-2</c:v>
                </c:pt>
                <c:pt idx="738">
                  <c:v>-2.5577382934285686E-2</c:v>
                </c:pt>
                <c:pt idx="739">
                  <c:v>-8.2331930865391367E-3</c:v>
                </c:pt>
                <c:pt idx="740">
                  <c:v>-8.5207494627235869E-2</c:v>
                </c:pt>
                <c:pt idx="741">
                  <c:v>-9.3864455004994185E-2</c:v>
                </c:pt>
                <c:pt idx="742">
                  <c:v>-8.3300541816750617E-2</c:v>
                </c:pt>
                <c:pt idx="743">
                  <c:v>-7.5914883312649173E-2</c:v>
                </c:pt>
                <c:pt idx="744">
                  <c:v>-5.9266882586190839E-2</c:v>
                </c:pt>
                <c:pt idx="745">
                  <c:v>-3.7775827102945025E-2</c:v>
                </c:pt>
                <c:pt idx="746">
                  <c:v>-7.5188425099131151E-2</c:v>
                </c:pt>
                <c:pt idx="747">
                  <c:v>-6.4715319187577225E-2</c:v>
                </c:pt>
                <c:pt idx="748">
                  <c:v>-6.1658140872354994E-2</c:v>
                </c:pt>
                <c:pt idx="749">
                  <c:v>-7.3160395919726229E-2</c:v>
                </c:pt>
                <c:pt idx="750">
                  <c:v>-9.1927233102279016E-2</c:v>
                </c:pt>
                <c:pt idx="751">
                  <c:v>-0.10409540817870844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4-E841-A7A2-26AA84F8C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dateAx>
        <c:axId val="10"/>
        <c:scaling>
          <c:orientation val="minMax"/>
        </c:scaling>
        <c:delete val="1"/>
        <c:axPos val="b"/>
        <c:numFmt formatCode="m/d/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VMC Relative vs SPY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Share_Price_Analysis'!$O$63</c:f>
              <c:strCache>
                <c:ptCount val="1"/>
                <c:pt idx="0">
                  <c:v>VMC Relative vs SPY</c:v>
                </c:pt>
              </c:strCache>
            </c:strRef>
          </c:tx>
          <c:spPr>
            <a:ln w="28575" cap="rnd">
              <a:solidFill>
                <a:srgbClr val="334BFF"/>
              </a:solidFill>
              <a:prstDash val="solid"/>
              <a:round/>
            </a:ln>
          </c:spPr>
          <c:marker>
            <c:symbol val="none"/>
          </c:marke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Share_Price_Analysis'!$O$64:$O$815</c:f>
              <c:numCache>
                <c:formatCode>0.00%</c:formatCode>
                <c:ptCount val="752"/>
                <c:pt idx="0" formatCode="General">
                  <c:v>0</c:v>
                </c:pt>
                <c:pt idx="1">
                  <c:v>1.1068338889854701E-3</c:v>
                </c:pt>
                <c:pt idx="2">
                  <c:v>9.0062625119859963E-3</c:v>
                </c:pt>
                <c:pt idx="3">
                  <c:v>1.0682745038148589E-4</c:v>
                </c:pt>
                <c:pt idx="4">
                  <c:v>-1.3116120120152952E-2</c:v>
                </c:pt>
                <c:pt idx="5">
                  <c:v>-3.1030940729261713E-2</c:v>
                </c:pt>
                <c:pt idx="6">
                  <c:v>-3.8000849157079464E-2</c:v>
                </c:pt>
                <c:pt idx="7">
                  <c:v>-5.9108018644028704E-2</c:v>
                </c:pt>
                <c:pt idx="8">
                  <c:v>-5.6021450802727246E-2</c:v>
                </c:pt>
                <c:pt idx="9">
                  <c:v>-7.1146688438950334E-2</c:v>
                </c:pt>
                <c:pt idx="10">
                  <c:v>-6.7137493304788354E-2</c:v>
                </c:pt>
                <c:pt idx="11">
                  <c:v>-6.3042126018998723E-2</c:v>
                </c:pt>
                <c:pt idx="12">
                  <c:v>-6.0735144050281575E-2</c:v>
                </c:pt>
                <c:pt idx="13">
                  <c:v>-5.8747132256866563E-2</c:v>
                </c:pt>
                <c:pt idx="14">
                  <c:v>-5.5219592367132475E-2</c:v>
                </c:pt>
                <c:pt idx="15">
                  <c:v>-5.9252505113033371E-2</c:v>
                </c:pt>
                <c:pt idx="16">
                  <c:v>-4.4397730393357149E-2</c:v>
                </c:pt>
                <c:pt idx="17">
                  <c:v>-4.7158006198738445E-2</c:v>
                </c:pt>
                <c:pt idx="18">
                  <c:v>-5.1868748477826188E-2</c:v>
                </c:pt>
                <c:pt idx="19">
                  <c:v>-5.7243381375804425E-2</c:v>
                </c:pt>
                <c:pt idx="20">
                  <c:v>-5.3322316708856565E-2</c:v>
                </c:pt>
                <c:pt idx="21">
                  <c:v>-7.0445602549772168E-2</c:v>
                </c:pt>
                <c:pt idx="22">
                  <c:v>-9.4498207236760834E-2</c:v>
                </c:pt>
                <c:pt idx="23">
                  <c:v>-9.3233577338119655E-2</c:v>
                </c:pt>
                <c:pt idx="24">
                  <c:v>-8.8231715324223692E-2</c:v>
                </c:pt>
                <c:pt idx="25">
                  <c:v>-8.5401669461563023E-2</c:v>
                </c:pt>
                <c:pt idx="26">
                  <c:v>-7.7523616897354097E-2</c:v>
                </c:pt>
                <c:pt idx="27">
                  <c:v>-7.7972274371911676E-2</c:v>
                </c:pt>
                <c:pt idx="28">
                  <c:v>-7.77871181541957E-2</c:v>
                </c:pt>
                <c:pt idx="29">
                  <c:v>-6.5866961982561145E-2</c:v>
                </c:pt>
                <c:pt idx="30">
                  <c:v>-6.386886785807333E-2</c:v>
                </c:pt>
                <c:pt idx="31">
                  <c:v>-5.7300674023806564E-2</c:v>
                </c:pt>
                <c:pt idx="32">
                  <c:v>-5.8136227398508877E-2</c:v>
                </c:pt>
                <c:pt idx="33">
                  <c:v>-6.5962478355321319E-2</c:v>
                </c:pt>
                <c:pt idx="34">
                  <c:v>-6.5463780938870175E-2</c:v>
                </c:pt>
                <c:pt idx="35">
                  <c:v>-6.0029460811276025E-2</c:v>
                </c:pt>
                <c:pt idx="36">
                  <c:v>-7.2833113060631116E-2</c:v>
                </c:pt>
                <c:pt idx="37">
                  <c:v>-5.6400965161811922E-2</c:v>
                </c:pt>
                <c:pt idx="38">
                  <c:v>-5.2811786723659382E-2</c:v>
                </c:pt>
                <c:pt idx="39">
                  <c:v>-3.8914275988428337E-2</c:v>
                </c:pt>
                <c:pt idx="40">
                  <c:v>-1.8352238571867519E-2</c:v>
                </c:pt>
                <c:pt idx="41">
                  <c:v>-1.5151526428726192E-2</c:v>
                </c:pt>
                <c:pt idx="42">
                  <c:v>5.6344040442875665E-2</c:v>
                </c:pt>
                <c:pt idx="43">
                  <c:v>5.535368953773423E-2</c:v>
                </c:pt>
                <c:pt idx="44">
                  <c:v>5.1038982359241647E-2</c:v>
                </c:pt>
                <c:pt idx="45">
                  <c:v>5.7201323899533474E-2</c:v>
                </c:pt>
                <c:pt idx="46">
                  <c:v>6.8523160890618051E-2</c:v>
                </c:pt>
                <c:pt idx="47">
                  <c:v>6.351197424070909E-2</c:v>
                </c:pt>
                <c:pt idx="48">
                  <c:v>6.7913491688725847E-2</c:v>
                </c:pt>
                <c:pt idx="49">
                  <c:v>6.8544978059335904E-2</c:v>
                </c:pt>
                <c:pt idx="50">
                  <c:v>6.937265661587233E-2</c:v>
                </c:pt>
                <c:pt idx="51">
                  <c:v>6.4674162874344798E-2</c:v>
                </c:pt>
                <c:pt idx="52">
                  <c:v>5.397916330432162E-2</c:v>
                </c:pt>
                <c:pt idx="53">
                  <c:v>5.9867960393299668E-2</c:v>
                </c:pt>
                <c:pt idx="54">
                  <c:v>5.9652601034266395E-2</c:v>
                </c:pt>
                <c:pt idx="55">
                  <c:v>6.0488231088227762E-2</c:v>
                </c:pt>
                <c:pt idx="56">
                  <c:v>6.2207602740629975E-2</c:v>
                </c:pt>
                <c:pt idx="57">
                  <c:v>5.8513453739492682E-2</c:v>
                </c:pt>
                <c:pt idx="58">
                  <c:v>4.9800761290586637E-2</c:v>
                </c:pt>
                <c:pt idx="59">
                  <c:v>4.9668712852572572E-2</c:v>
                </c:pt>
                <c:pt idx="60">
                  <c:v>5.2560669297725404E-2</c:v>
                </c:pt>
                <c:pt idx="61">
                  <c:v>6.0254184884762196E-2</c:v>
                </c:pt>
                <c:pt idx="62">
                  <c:v>6.5801232438446711E-2</c:v>
                </c:pt>
                <c:pt idx="63">
                  <c:v>6.5266495190042129E-2</c:v>
                </c:pt>
                <c:pt idx="64">
                  <c:v>6.7577129304510875E-2</c:v>
                </c:pt>
                <c:pt idx="65">
                  <c:v>8.1143923566670884E-2</c:v>
                </c:pt>
                <c:pt idx="66">
                  <c:v>8.08823899854616E-2</c:v>
                </c:pt>
                <c:pt idx="67">
                  <c:v>8.1353600601026699E-2</c:v>
                </c:pt>
                <c:pt idx="68">
                  <c:v>6.7742399173709167E-2</c:v>
                </c:pt>
                <c:pt idx="69">
                  <c:v>7.0074139815331282E-2</c:v>
                </c:pt>
                <c:pt idx="70">
                  <c:v>6.7206123416459373E-2</c:v>
                </c:pt>
                <c:pt idx="71">
                  <c:v>6.2015764387668426E-2</c:v>
                </c:pt>
                <c:pt idx="72">
                  <c:v>6.1259724708990326E-2</c:v>
                </c:pt>
                <c:pt idx="73">
                  <c:v>7.3844321493547138E-2</c:v>
                </c:pt>
                <c:pt idx="74">
                  <c:v>8.9150586323058834E-2</c:v>
                </c:pt>
                <c:pt idx="75">
                  <c:v>0.10007613786800817</c:v>
                </c:pt>
                <c:pt idx="76">
                  <c:v>0.11354521252868266</c:v>
                </c:pt>
                <c:pt idx="77">
                  <c:v>0.11988645647501017</c:v>
                </c:pt>
                <c:pt idx="78">
                  <c:v>0.136883567903195</c:v>
                </c:pt>
                <c:pt idx="79">
                  <c:v>0.13857871420657686</c:v>
                </c:pt>
                <c:pt idx="80">
                  <c:v>0.15454587254045715</c:v>
                </c:pt>
                <c:pt idx="81">
                  <c:v>0.14412538424508381</c:v>
                </c:pt>
                <c:pt idx="82">
                  <c:v>0.13216515005981933</c:v>
                </c:pt>
                <c:pt idx="83">
                  <c:v>0.12009328786281293</c:v>
                </c:pt>
                <c:pt idx="84">
                  <c:v>0.11542506247786855</c:v>
                </c:pt>
                <c:pt idx="85">
                  <c:v>0.1151190925954495</c:v>
                </c:pt>
                <c:pt idx="86">
                  <c:v>0.12258867130152584</c:v>
                </c:pt>
                <c:pt idx="87">
                  <c:v>0.13694115986598776</c:v>
                </c:pt>
                <c:pt idx="88">
                  <c:v>0.11107024480246674</c:v>
                </c:pt>
                <c:pt idx="89">
                  <c:v>0.11773415239055085</c:v>
                </c:pt>
                <c:pt idx="90">
                  <c:v>0.12539089432487693</c:v>
                </c:pt>
                <c:pt idx="91">
                  <c:v>0.11630723452344127</c:v>
                </c:pt>
                <c:pt idx="92">
                  <c:v>0.10901471377003213</c:v>
                </c:pt>
                <c:pt idx="93">
                  <c:v>9.3902046529387384E-2</c:v>
                </c:pt>
                <c:pt idx="94">
                  <c:v>0.10265075596683459</c:v>
                </c:pt>
                <c:pt idx="95">
                  <c:v>0.10598413144171537</c:v>
                </c:pt>
                <c:pt idx="96">
                  <c:v>0.10255131794373717</c:v>
                </c:pt>
                <c:pt idx="97">
                  <c:v>9.7820614232814851E-2</c:v>
                </c:pt>
                <c:pt idx="98">
                  <c:v>0.10362787549546582</c:v>
                </c:pt>
                <c:pt idx="99">
                  <c:v>8.5289590982674302E-2</c:v>
                </c:pt>
                <c:pt idx="100">
                  <c:v>8.4122120656519472E-2</c:v>
                </c:pt>
                <c:pt idx="101">
                  <c:v>8.3585225162043475E-2</c:v>
                </c:pt>
                <c:pt idx="102">
                  <c:v>0.10379615856112334</c:v>
                </c:pt>
                <c:pt idx="103">
                  <c:v>0.1149193679550673</c:v>
                </c:pt>
                <c:pt idx="104">
                  <c:v>0.13371170231037244</c:v>
                </c:pt>
                <c:pt idx="105">
                  <c:v>0.13790586878164079</c:v>
                </c:pt>
                <c:pt idx="106">
                  <c:v>0.14163619916697723</c:v>
                </c:pt>
                <c:pt idx="107">
                  <c:v>0.13719766592439098</c:v>
                </c:pt>
                <c:pt idx="108">
                  <c:v>0.12738880348254655</c:v>
                </c:pt>
                <c:pt idx="109">
                  <c:v>0.13167626140254685</c:v>
                </c:pt>
                <c:pt idx="110">
                  <c:v>0.13036774700069587</c:v>
                </c:pt>
                <c:pt idx="111">
                  <c:v>0.13023699420143853</c:v>
                </c:pt>
                <c:pt idx="112">
                  <c:v>0.13852946801913757</c:v>
                </c:pt>
                <c:pt idx="113">
                  <c:v>0.13855390908880527</c:v>
                </c:pt>
                <c:pt idx="114">
                  <c:v>0.10001208672871886</c:v>
                </c:pt>
                <c:pt idx="115">
                  <c:v>9.1597394363681861E-2</c:v>
                </c:pt>
                <c:pt idx="116">
                  <c:v>8.8483899440574554E-2</c:v>
                </c:pt>
                <c:pt idx="117">
                  <c:v>0.1017605239003001</c:v>
                </c:pt>
                <c:pt idx="118">
                  <c:v>0.10221786425153012</c:v>
                </c:pt>
                <c:pt idx="119">
                  <c:v>0.10699774684678154</c:v>
                </c:pt>
                <c:pt idx="120">
                  <c:v>9.8481245522479277E-2</c:v>
                </c:pt>
                <c:pt idx="121">
                  <c:v>9.2981985824390323E-2</c:v>
                </c:pt>
                <c:pt idx="122">
                  <c:v>9.4838345085228148E-2</c:v>
                </c:pt>
                <c:pt idx="123">
                  <c:v>8.8601589797629554E-2</c:v>
                </c:pt>
                <c:pt idx="124">
                  <c:v>9.0246918655386477E-2</c:v>
                </c:pt>
                <c:pt idx="125">
                  <c:v>0.11150226349968961</c:v>
                </c:pt>
                <c:pt idx="126">
                  <c:v>8.2875172846938794E-2</c:v>
                </c:pt>
                <c:pt idx="127">
                  <c:v>8.4960726233755057E-2</c:v>
                </c:pt>
                <c:pt idx="128">
                  <c:v>9.0122648366197433E-2</c:v>
                </c:pt>
                <c:pt idx="129">
                  <c:v>9.1967452530937299E-2</c:v>
                </c:pt>
                <c:pt idx="130">
                  <c:v>8.6538590062684939E-2</c:v>
                </c:pt>
                <c:pt idx="131">
                  <c:v>8.3351224874053775E-2</c:v>
                </c:pt>
                <c:pt idx="132">
                  <c:v>7.6900051944348791E-2</c:v>
                </c:pt>
                <c:pt idx="133">
                  <c:v>7.3838149076441706E-2</c:v>
                </c:pt>
                <c:pt idx="134">
                  <c:v>6.8543540652278301E-2</c:v>
                </c:pt>
                <c:pt idx="135">
                  <c:v>7.3495475553229328E-2</c:v>
                </c:pt>
                <c:pt idx="136">
                  <c:v>6.6528600414428762E-2</c:v>
                </c:pt>
                <c:pt idx="137">
                  <c:v>7.4732086059794423E-2</c:v>
                </c:pt>
                <c:pt idx="138">
                  <c:v>5.5246493696506249E-2</c:v>
                </c:pt>
                <c:pt idx="139">
                  <c:v>4.8582403698999022E-2</c:v>
                </c:pt>
                <c:pt idx="140">
                  <c:v>5.1582222564793945E-2</c:v>
                </c:pt>
                <c:pt idx="141">
                  <c:v>6.3616757615527098E-2</c:v>
                </c:pt>
                <c:pt idx="142">
                  <c:v>7.507307861466872E-2</c:v>
                </c:pt>
                <c:pt idx="143">
                  <c:v>7.6383664250587513E-2</c:v>
                </c:pt>
                <c:pt idx="144">
                  <c:v>6.3161763019397466E-2</c:v>
                </c:pt>
                <c:pt idx="145">
                  <c:v>5.7846151638571097E-2</c:v>
                </c:pt>
                <c:pt idx="146">
                  <c:v>6.7182664876275222E-2</c:v>
                </c:pt>
                <c:pt idx="147">
                  <c:v>8.616758772820976E-2</c:v>
                </c:pt>
                <c:pt idx="148">
                  <c:v>9.6752211436835989E-2</c:v>
                </c:pt>
                <c:pt idx="149">
                  <c:v>0.11242741246265298</c:v>
                </c:pt>
                <c:pt idx="150">
                  <c:v>9.4161924534392538E-2</c:v>
                </c:pt>
                <c:pt idx="151">
                  <c:v>9.2379340207573213E-2</c:v>
                </c:pt>
                <c:pt idx="152">
                  <c:v>0.10730958007827907</c:v>
                </c:pt>
                <c:pt idx="153">
                  <c:v>9.2676605696393244E-2</c:v>
                </c:pt>
                <c:pt idx="154">
                  <c:v>9.1160058822328915E-2</c:v>
                </c:pt>
                <c:pt idx="155">
                  <c:v>9.9146560099913739E-2</c:v>
                </c:pt>
                <c:pt idx="156">
                  <c:v>0.10822624279901794</c:v>
                </c:pt>
                <c:pt idx="157">
                  <c:v>6.5409545034565308E-2</c:v>
                </c:pt>
                <c:pt idx="158">
                  <c:v>6.9314251290395479E-2</c:v>
                </c:pt>
                <c:pt idx="159">
                  <c:v>7.6528504403683417E-2</c:v>
                </c:pt>
                <c:pt idx="160">
                  <c:v>8.3480561630359107E-2</c:v>
                </c:pt>
                <c:pt idx="161">
                  <c:v>8.9445717788055212E-2</c:v>
                </c:pt>
                <c:pt idx="162">
                  <c:v>9.5718976653860199E-2</c:v>
                </c:pt>
                <c:pt idx="163">
                  <c:v>5.773958304915694E-2</c:v>
                </c:pt>
                <c:pt idx="164">
                  <c:v>6.1022096366630585E-2</c:v>
                </c:pt>
                <c:pt idx="165">
                  <c:v>6.0937026770250702E-2</c:v>
                </c:pt>
                <c:pt idx="166">
                  <c:v>5.7005401833252201E-2</c:v>
                </c:pt>
                <c:pt idx="167">
                  <c:v>8.4760377561790445E-2</c:v>
                </c:pt>
                <c:pt idx="168">
                  <c:v>8.0134774192636815E-2</c:v>
                </c:pt>
                <c:pt idx="169">
                  <c:v>7.5337708036434803E-2</c:v>
                </c:pt>
                <c:pt idx="170">
                  <c:v>6.9564949825792199E-2</c:v>
                </c:pt>
                <c:pt idx="171">
                  <c:v>6.6889960868720344E-2</c:v>
                </c:pt>
                <c:pt idx="172">
                  <c:v>7.2386141623649536E-2</c:v>
                </c:pt>
                <c:pt idx="173">
                  <c:v>8.496354547964402E-2</c:v>
                </c:pt>
                <c:pt idx="174">
                  <c:v>8.0700182506538543E-2</c:v>
                </c:pt>
                <c:pt idx="175">
                  <c:v>7.5751792636718163E-2</c:v>
                </c:pt>
                <c:pt idx="176">
                  <c:v>8.5609936274572807E-2</c:v>
                </c:pt>
                <c:pt idx="177">
                  <c:v>5.495032038356662E-2</c:v>
                </c:pt>
                <c:pt idx="178">
                  <c:v>6.0657024910582225E-2</c:v>
                </c:pt>
                <c:pt idx="179">
                  <c:v>5.9738651567440071E-2</c:v>
                </c:pt>
                <c:pt idx="180">
                  <c:v>4.1887282130694148E-2</c:v>
                </c:pt>
                <c:pt idx="181">
                  <c:v>4.1482757478267462E-2</c:v>
                </c:pt>
                <c:pt idx="182">
                  <c:v>4.7662148164895113E-2</c:v>
                </c:pt>
                <c:pt idx="183">
                  <c:v>4.5930817082922903E-2</c:v>
                </c:pt>
                <c:pt idx="184">
                  <c:v>5.360945879093415E-2</c:v>
                </c:pt>
                <c:pt idx="185">
                  <c:v>4.4210026428216365E-2</c:v>
                </c:pt>
                <c:pt idx="186">
                  <c:v>5.2466908339653173E-2</c:v>
                </c:pt>
                <c:pt idx="187">
                  <c:v>5.2676818056162755E-2</c:v>
                </c:pt>
                <c:pt idx="188">
                  <c:v>5.6629356868815206E-2</c:v>
                </c:pt>
                <c:pt idx="189">
                  <c:v>5.8116672550421411E-2</c:v>
                </c:pt>
                <c:pt idx="190">
                  <c:v>4.462810398572592E-2</c:v>
                </c:pt>
                <c:pt idx="191">
                  <c:v>4.8409537038137218E-2</c:v>
                </c:pt>
                <c:pt idx="192">
                  <c:v>5.1467613801186474E-2</c:v>
                </c:pt>
                <c:pt idx="193">
                  <c:v>5.6059126057033559E-2</c:v>
                </c:pt>
                <c:pt idx="194">
                  <c:v>6.5748186600874892E-2</c:v>
                </c:pt>
                <c:pt idx="195">
                  <c:v>7.0791536953039635E-2</c:v>
                </c:pt>
                <c:pt idx="196">
                  <c:v>6.9470704368226999E-2</c:v>
                </c:pt>
                <c:pt idx="197">
                  <c:v>7.1244502879398874E-2</c:v>
                </c:pt>
                <c:pt idx="198">
                  <c:v>7.5396307351558001E-2</c:v>
                </c:pt>
                <c:pt idx="199">
                  <c:v>6.1516148543951266E-2</c:v>
                </c:pt>
                <c:pt idx="200">
                  <c:v>6.4528346793308211E-2</c:v>
                </c:pt>
                <c:pt idx="201">
                  <c:v>6.262389004183011E-2</c:v>
                </c:pt>
                <c:pt idx="202">
                  <c:v>6.2637171851281703E-2</c:v>
                </c:pt>
                <c:pt idx="203">
                  <c:v>6.8342792009118192E-2</c:v>
                </c:pt>
                <c:pt idx="204">
                  <c:v>6.7256035249599444E-2</c:v>
                </c:pt>
                <c:pt idx="205">
                  <c:v>6.6132460593662179E-2</c:v>
                </c:pt>
                <c:pt idx="206">
                  <c:v>6.3936521278316283E-2</c:v>
                </c:pt>
                <c:pt idx="207">
                  <c:v>7.4456456238210178E-2</c:v>
                </c:pt>
                <c:pt idx="208">
                  <c:v>6.4272693943679515E-2</c:v>
                </c:pt>
                <c:pt idx="209">
                  <c:v>5.2544538948105624E-2</c:v>
                </c:pt>
                <c:pt idx="210">
                  <c:v>6.2445263353385183E-2</c:v>
                </c:pt>
                <c:pt idx="211">
                  <c:v>6.5511459290602536E-2</c:v>
                </c:pt>
                <c:pt idx="212">
                  <c:v>6.1795956311534228E-2</c:v>
                </c:pt>
                <c:pt idx="213">
                  <c:v>6.0655749049636665E-2</c:v>
                </c:pt>
                <c:pt idx="214">
                  <c:v>6.7389596379033412E-2</c:v>
                </c:pt>
                <c:pt idx="215">
                  <c:v>5.9595351592591106E-2</c:v>
                </c:pt>
                <c:pt idx="216">
                  <c:v>5.6974015394303912E-2</c:v>
                </c:pt>
                <c:pt idx="217">
                  <c:v>5.3384454487839017E-2</c:v>
                </c:pt>
                <c:pt idx="218">
                  <c:v>5.3937701762861945E-2</c:v>
                </c:pt>
                <c:pt idx="219">
                  <c:v>6.2872258955658067E-2</c:v>
                </c:pt>
                <c:pt idx="220">
                  <c:v>5.4262163723066914E-2</c:v>
                </c:pt>
                <c:pt idx="221">
                  <c:v>5.762190891269281E-2</c:v>
                </c:pt>
                <c:pt idx="222">
                  <c:v>3.3759734039789047E-2</c:v>
                </c:pt>
                <c:pt idx="223">
                  <c:v>1.8726599433912972E-2</c:v>
                </c:pt>
                <c:pt idx="224">
                  <c:v>2.9856872646799371E-2</c:v>
                </c:pt>
                <c:pt idx="225">
                  <c:v>2.6320521462958935E-2</c:v>
                </c:pt>
                <c:pt idx="226">
                  <c:v>5.0357529352760277E-2</c:v>
                </c:pt>
                <c:pt idx="227">
                  <c:v>5.8869820431505016E-2</c:v>
                </c:pt>
                <c:pt idx="228">
                  <c:v>5.2953566169956723E-2</c:v>
                </c:pt>
                <c:pt idx="229">
                  <c:v>5.9354715506421352E-2</c:v>
                </c:pt>
                <c:pt idx="230">
                  <c:v>6.6885854091385255E-2</c:v>
                </c:pt>
                <c:pt idx="231">
                  <c:v>4.8906819401506985E-2</c:v>
                </c:pt>
                <c:pt idx="232">
                  <c:v>5.4659979449191987E-2</c:v>
                </c:pt>
                <c:pt idx="233">
                  <c:v>6.8248056112309108E-2</c:v>
                </c:pt>
                <c:pt idx="234">
                  <c:v>7.6444338376578269E-2</c:v>
                </c:pt>
                <c:pt idx="235">
                  <c:v>7.7261061022376731E-2</c:v>
                </c:pt>
                <c:pt idx="236">
                  <c:v>7.8317901329657325E-2</c:v>
                </c:pt>
                <c:pt idx="237">
                  <c:v>7.9671641958796391E-2</c:v>
                </c:pt>
                <c:pt idx="238">
                  <c:v>8.7907198558063282E-2</c:v>
                </c:pt>
                <c:pt idx="239">
                  <c:v>8.6546995145924122E-2</c:v>
                </c:pt>
                <c:pt idx="240">
                  <c:v>0.14913795228985682</c:v>
                </c:pt>
                <c:pt idx="241">
                  <c:v>0.13842621036421243</c:v>
                </c:pt>
                <c:pt idx="242">
                  <c:v>0.14667132325278653</c:v>
                </c:pt>
                <c:pt idx="243">
                  <c:v>0.13898093807855161</c:v>
                </c:pt>
                <c:pt idx="244">
                  <c:v>0.13948062090729785</c:v>
                </c:pt>
                <c:pt idx="245">
                  <c:v>0.16078677845440836</c:v>
                </c:pt>
                <c:pt idx="246">
                  <c:v>0.16964020453037931</c:v>
                </c:pt>
                <c:pt idx="247">
                  <c:v>0.16558904881427927</c:v>
                </c:pt>
                <c:pt idx="248">
                  <c:v>0.17713249193111613</c:v>
                </c:pt>
                <c:pt idx="249">
                  <c:v>0.17311488971162858</c:v>
                </c:pt>
                <c:pt idx="250">
                  <c:v>0.17621869386147071</c:v>
                </c:pt>
                <c:pt idx="251">
                  <c:v>0.17536230675823727</c:v>
                </c:pt>
                <c:pt idx="252">
                  <c:v>0.17985188812592323</c:v>
                </c:pt>
                <c:pt idx="253">
                  <c:v>0.18499208459609529</c:v>
                </c:pt>
                <c:pt idx="254">
                  <c:v>0.17249610071021437</c:v>
                </c:pt>
                <c:pt idx="255">
                  <c:v>0.16580496858114868</c:v>
                </c:pt>
                <c:pt idx="256">
                  <c:v>0.17355312430984959</c:v>
                </c:pt>
                <c:pt idx="257">
                  <c:v>0.17426181121656459</c:v>
                </c:pt>
                <c:pt idx="258">
                  <c:v>0.18274767606688846</c:v>
                </c:pt>
                <c:pt idx="259">
                  <c:v>0.17754869953635644</c:v>
                </c:pt>
                <c:pt idx="260">
                  <c:v>0.18182122753120611</c:v>
                </c:pt>
                <c:pt idx="261">
                  <c:v>0.17350151417823167</c:v>
                </c:pt>
                <c:pt idx="262">
                  <c:v>0.17454675064345149</c:v>
                </c:pt>
                <c:pt idx="263">
                  <c:v>0.18726419279448203</c:v>
                </c:pt>
                <c:pt idx="264">
                  <c:v>0.18421030842248531</c:v>
                </c:pt>
                <c:pt idx="265">
                  <c:v>0.17996000410844526</c:v>
                </c:pt>
                <c:pt idx="266">
                  <c:v>0.18756367757655101</c:v>
                </c:pt>
                <c:pt idx="267">
                  <c:v>0.17302264458294725</c:v>
                </c:pt>
                <c:pt idx="268">
                  <c:v>0.17380602097267484</c:v>
                </c:pt>
                <c:pt idx="269">
                  <c:v>0.16193551478648649</c:v>
                </c:pt>
                <c:pt idx="270">
                  <c:v>0.15445483881993494</c:v>
                </c:pt>
                <c:pt idx="271">
                  <c:v>0.16410262149953092</c:v>
                </c:pt>
                <c:pt idx="272">
                  <c:v>0.16585936364951825</c:v>
                </c:pt>
                <c:pt idx="273">
                  <c:v>0.17229153653305529</c:v>
                </c:pt>
                <c:pt idx="274">
                  <c:v>0.16977124230101936</c:v>
                </c:pt>
                <c:pt idx="275">
                  <c:v>0.15065864988523603</c:v>
                </c:pt>
                <c:pt idx="276">
                  <c:v>0.15765850203263776</c:v>
                </c:pt>
                <c:pt idx="277">
                  <c:v>0.15306966879634887</c:v>
                </c:pt>
                <c:pt idx="278">
                  <c:v>0.15723002513513817</c:v>
                </c:pt>
                <c:pt idx="279">
                  <c:v>0.16161006466222716</c:v>
                </c:pt>
                <c:pt idx="280">
                  <c:v>0.15510955527329218</c:v>
                </c:pt>
                <c:pt idx="281">
                  <c:v>0.16072800702363166</c:v>
                </c:pt>
                <c:pt idx="282">
                  <c:v>0.14875465273404664</c:v>
                </c:pt>
                <c:pt idx="283">
                  <c:v>0.1451942539473734</c:v>
                </c:pt>
                <c:pt idx="284">
                  <c:v>0.14563878337083613</c:v>
                </c:pt>
                <c:pt idx="285">
                  <c:v>0.15382588453022583</c:v>
                </c:pt>
                <c:pt idx="286">
                  <c:v>0.14128726929888513</c:v>
                </c:pt>
                <c:pt idx="287">
                  <c:v>0.15520132349552274</c:v>
                </c:pt>
                <c:pt idx="288">
                  <c:v>0.15631064978423526</c:v>
                </c:pt>
                <c:pt idx="289">
                  <c:v>0.15315626337616517</c:v>
                </c:pt>
                <c:pt idx="290">
                  <c:v>0.15459800271075519</c:v>
                </c:pt>
                <c:pt idx="291">
                  <c:v>0.1678014065831086</c:v>
                </c:pt>
                <c:pt idx="292">
                  <c:v>0.17782693510812142</c:v>
                </c:pt>
                <c:pt idx="293">
                  <c:v>0.16353816316205561</c:v>
                </c:pt>
                <c:pt idx="294">
                  <c:v>0.16109575360359973</c:v>
                </c:pt>
                <c:pt idx="295">
                  <c:v>0.16738538298419892</c:v>
                </c:pt>
                <c:pt idx="296">
                  <c:v>0.16544560273753528</c:v>
                </c:pt>
                <c:pt idx="297">
                  <c:v>0.17070559352393766</c:v>
                </c:pt>
                <c:pt idx="298">
                  <c:v>0.17516029343964945</c:v>
                </c:pt>
                <c:pt idx="299">
                  <c:v>0.16645124968590652</c:v>
                </c:pt>
                <c:pt idx="300">
                  <c:v>0.151064148379491</c:v>
                </c:pt>
                <c:pt idx="301">
                  <c:v>0.14866263231659205</c:v>
                </c:pt>
                <c:pt idx="302">
                  <c:v>0.10635125959090552</c:v>
                </c:pt>
                <c:pt idx="303">
                  <c:v>0.10093896547157311</c:v>
                </c:pt>
                <c:pt idx="304">
                  <c:v>0.10438305148743021</c:v>
                </c:pt>
                <c:pt idx="305">
                  <c:v>0.11002173711010288</c:v>
                </c:pt>
                <c:pt idx="306">
                  <c:v>0.10766485323940556</c:v>
                </c:pt>
                <c:pt idx="307">
                  <c:v>0.10016016374652414</c:v>
                </c:pt>
                <c:pt idx="308">
                  <c:v>0.10159713526799896</c:v>
                </c:pt>
                <c:pt idx="309">
                  <c:v>7.8450336412783317E-2</c:v>
                </c:pt>
                <c:pt idx="310">
                  <c:v>7.7203829608850194E-2</c:v>
                </c:pt>
                <c:pt idx="311">
                  <c:v>9.3738621061786542E-2</c:v>
                </c:pt>
                <c:pt idx="312">
                  <c:v>9.1075905458056994E-2</c:v>
                </c:pt>
                <c:pt idx="313">
                  <c:v>7.4927709754259331E-2</c:v>
                </c:pt>
                <c:pt idx="314">
                  <c:v>6.6361775379332411E-2</c:v>
                </c:pt>
                <c:pt idx="315">
                  <c:v>5.6866231926307131E-2</c:v>
                </c:pt>
                <c:pt idx="316">
                  <c:v>4.5946021302710971E-2</c:v>
                </c:pt>
                <c:pt idx="317">
                  <c:v>4.3048475438843159E-2</c:v>
                </c:pt>
                <c:pt idx="318">
                  <c:v>4.0759522848882623E-2</c:v>
                </c:pt>
                <c:pt idx="319">
                  <c:v>2.4977669859229668E-2</c:v>
                </c:pt>
                <c:pt idx="320">
                  <c:v>3.5245173356403203E-2</c:v>
                </c:pt>
                <c:pt idx="321">
                  <c:v>5.319620670915981E-2</c:v>
                </c:pt>
                <c:pt idx="322">
                  <c:v>4.7126278216577555E-2</c:v>
                </c:pt>
                <c:pt idx="323">
                  <c:v>5.4113534577276523E-2</c:v>
                </c:pt>
                <c:pt idx="324">
                  <c:v>4.8406992711309549E-2</c:v>
                </c:pt>
                <c:pt idx="325">
                  <c:v>1.3631037957852588E-2</c:v>
                </c:pt>
                <c:pt idx="326">
                  <c:v>2.384390738321196E-2</c:v>
                </c:pt>
                <c:pt idx="327">
                  <c:v>2.622953820848406E-2</c:v>
                </c:pt>
                <c:pt idx="328">
                  <c:v>1.6388188804563608E-2</c:v>
                </c:pt>
                <c:pt idx="329">
                  <c:v>1.4007741850988964E-2</c:v>
                </c:pt>
                <c:pt idx="330">
                  <c:v>2.015257426306527E-2</c:v>
                </c:pt>
                <c:pt idx="331">
                  <c:v>2.7985865583681768E-2</c:v>
                </c:pt>
                <c:pt idx="332">
                  <c:v>5.4132358951721748E-3</c:v>
                </c:pt>
                <c:pt idx="333">
                  <c:v>4.2241895582240119E-3</c:v>
                </c:pt>
                <c:pt idx="334">
                  <c:v>-4.9287525848473734E-3</c:v>
                </c:pt>
                <c:pt idx="335">
                  <c:v>-9.457671007380819E-3</c:v>
                </c:pt>
                <c:pt idx="336">
                  <c:v>-1.9674553839843512E-2</c:v>
                </c:pt>
                <c:pt idx="337">
                  <c:v>-1.9493677458721326E-2</c:v>
                </c:pt>
                <c:pt idx="338">
                  <c:v>-7.1781251464168028E-3</c:v>
                </c:pt>
                <c:pt idx="339">
                  <c:v>2.9634570270963501E-2</c:v>
                </c:pt>
                <c:pt idx="340">
                  <c:v>1.4423012672864388E-2</c:v>
                </c:pt>
                <c:pt idx="341">
                  <c:v>1.72097631832E-2</c:v>
                </c:pt>
                <c:pt idx="342">
                  <c:v>4.6699091360263845E-2</c:v>
                </c:pt>
                <c:pt idx="343">
                  <c:v>3.3267839743758687E-2</c:v>
                </c:pt>
                <c:pt idx="344">
                  <c:v>4.2450327361841289E-2</c:v>
                </c:pt>
                <c:pt idx="345">
                  <c:v>4.9624003950740292E-2</c:v>
                </c:pt>
                <c:pt idx="346">
                  <c:v>5.7043455051657421E-2</c:v>
                </c:pt>
                <c:pt idx="347">
                  <c:v>5.6835384919068144E-2</c:v>
                </c:pt>
                <c:pt idx="348">
                  <c:v>4.1271515809928383E-2</c:v>
                </c:pt>
                <c:pt idx="349">
                  <c:v>6.034683586216083E-2</c:v>
                </c:pt>
                <c:pt idx="350">
                  <c:v>8.1411726811182694E-2</c:v>
                </c:pt>
                <c:pt idx="351">
                  <c:v>9.2422165099396381E-2</c:v>
                </c:pt>
                <c:pt idx="352">
                  <c:v>0.12068938977392429</c:v>
                </c:pt>
                <c:pt idx="353">
                  <c:v>0.12118463150677927</c:v>
                </c:pt>
                <c:pt idx="354">
                  <c:v>0.12328647329444875</c:v>
                </c:pt>
                <c:pt idx="355">
                  <c:v>0.12437571737615793</c:v>
                </c:pt>
                <c:pt idx="356">
                  <c:v>0.11936133859882148</c:v>
                </c:pt>
                <c:pt idx="357">
                  <c:v>6.0492732173831998E-2</c:v>
                </c:pt>
                <c:pt idx="358">
                  <c:v>4.6288230453449319E-2</c:v>
                </c:pt>
                <c:pt idx="359">
                  <c:v>4.4311164306471751E-2</c:v>
                </c:pt>
                <c:pt idx="360">
                  <c:v>3.1326771189296831E-2</c:v>
                </c:pt>
                <c:pt idx="361">
                  <c:v>2.0491751141151537E-2</c:v>
                </c:pt>
                <c:pt idx="362">
                  <c:v>1.2032351274750885E-2</c:v>
                </c:pt>
                <c:pt idx="363">
                  <c:v>3.3056445802350787E-3</c:v>
                </c:pt>
                <c:pt idx="364">
                  <c:v>2.9537718245675748E-3</c:v>
                </c:pt>
                <c:pt idx="365">
                  <c:v>-7.9750915686120916E-3</c:v>
                </c:pt>
                <c:pt idx="366">
                  <c:v>-1.7933253932092774E-2</c:v>
                </c:pt>
                <c:pt idx="367">
                  <c:v>-1.105879218533834E-2</c:v>
                </c:pt>
                <c:pt idx="368">
                  <c:v>-5.456929087963247E-3</c:v>
                </c:pt>
                <c:pt idx="369">
                  <c:v>2.9766848373788957E-3</c:v>
                </c:pt>
                <c:pt idx="370">
                  <c:v>2.0086068526627754E-2</c:v>
                </c:pt>
                <c:pt idx="371">
                  <c:v>5.6346014244577081E-3</c:v>
                </c:pt>
                <c:pt idx="372">
                  <c:v>-3.6887220138162369E-2</c:v>
                </c:pt>
                <c:pt idx="373">
                  <c:v>-4.9960421614338335E-2</c:v>
                </c:pt>
                <c:pt idx="374">
                  <c:v>-2.7844838510017067E-2</c:v>
                </c:pt>
                <c:pt idx="375">
                  <c:v>-2.1352402897207967E-2</c:v>
                </c:pt>
                <c:pt idx="376">
                  <c:v>-2.6013336462779479E-2</c:v>
                </c:pt>
                <c:pt idx="377">
                  <c:v>-4.1124607965830284E-2</c:v>
                </c:pt>
                <c:pt idx="378">
                  <c:v>-4.9715705401786492E-2</c:v>
                </c:pt>
                <c:pt idx="379">
                  <c:v>-3.4239558961689398E-2</c:v>
                </c:pt>
                <c:pt idx="380">
                  <c:v>-4.5509129236433021E-2</c:v>
                </c:pt>
                <c:pt idx="381">
                  <c:v>-4.5057310632030667E-2</c:v>
                </c:pt>
                <c:pt idx="382">
                  <c:v>-5.475452094396327E-2</c:v>
                </c:pt>
                <c:pt idx="383">
                  <c:v>-4.9290925067641767E-2</c:v>
                </c:pt>
                <c:pt idx="384">
                  <c:v>-4.9426962290966103E-2</c:v>
                </c:pt>
                <c:pt idx="385">
                  <c:v>-2.9244854829074796E-2</c:v>
                </c:pt>
                <c:pt idx="386">
                  <c:v>-2.0651772748534913E-2</c:v>
                </c:pt>
                <c:pt idx="387">
                  <c:v>-2.0623732477503709E-2</c:v>
                </c:pt>
                <c:pt idx="388">
                  <c:v>-5.3176664979082133E-4</c:v>
                </c:pt>
                <c:pt idx="389">
                  <c:v>-2.1436163963789445E-3</c:v>
                </c:pt>
                <c:pt idx="390">
                  <c:v>-3.5251980377419834E-3</c:v>
                </c:pt>
                <c:pt idx="391">
                  <c:v>-1.6055334876511007E-2</c:v>
                </c:pt>
                <c:pt idx="392">
                  <c:v>-1.48276192174851E-2</c:v>
                </c:pt>
                <c:pt idx="393">
                  <c:v>-1.4983644741257907E-2</c:v>
                </c:pt>
                <c:pt idx="394">
                  <c:v>-1.4891474876108646E-2</c:v>
                </c:pt>
                <c:pt idx="395">
                  <c:v>-1.8078276479341793E-2</c:v>
                </c:pt>
                <c:pt idx="396">
                  <c:v>-2.0834039691087547E-2</c:v>
                </c:pt>
                <c:pt idx="397">
                  <c:v>-4.9048805209831348E-2</c:v>
                </c:pt>
                <c:pt idx="398">
                  <c:v>-4.4771420546839247E-2</c:v>
                </c:pt>
                <c:pt idx="399">
                  <c:v>-5.2078106661144541E-2</c:v>
                </c:pt>
                <c:pt idx="400">
                  <c:v>-5.6901419822088295E-2</c:v>
                </c:pt>
                <c:pt idx="401">
                  <c:v>-6.5109264870443551E-2</c:v>
                </c:pt>
                <c:pt idx="402">
                  <c:v>-5.8092110608155889E-2</c:v>
                </c:pt>
                <c:pt idx="403">
                  <c:v>-4.7615995528939359E-2</c:v>
                </c:pt>
                <c:pt idx="404">
                  <c:v>-3.9272676844434584E-2</c:v>
                </c:pt>
                <c:pt idx="405">
                  <c:v>-4.2484492450026945E-2</c:v>
                </c:pt>
                <c:pt idx="406">
                  <c:v>-1.9116469492290511E-2</c:v>
                </c:pt>
                <c:pt idx="407">
                  <c:v>-9.1053182363983742E-3</c:v>
                </c:pt>
                <c:pt idx="408">
                  <c:v>-8.4608502617877779E-4</c:v>
                </c:pt>
                <c:pt idx="409">
                  <c:v>7.1781887252688747E-3</c:v>
                </c:pt>
                <c:pt idx="410">
                  <c:v>1.9736247659829509E-3</c:v>
                </c:pt>
                <c:pt idx="411">
                  <c:v>-2.1482452363326354E-2</c:v>
                </c:pt>
                <c:pt idx="412">
                  <c:v>-1.304277952895494E-2</c:v>
                </c:pt>
                <c:pt idx="413">
                  <c:v>-5.1911436901501684E-3</c:v>
                </c:pt>
                <c:pt idx="414">
                  <c:v>-3.293461588333324E-3</c:v>
                </c:pt>
                <c:pt idx="415">
                  <c:v>1.2263952610300777E-3</c:v>
                </c:pt>
                <c:pt idx="416">
                  <c:v>3.6689608453872591E-3</c:v>
                </c:pt>
                <c:pt idx="417">
                  <c:v>7.1411108074063812E-2</c:v>
                </c:pt>
                <c:pt idx="418">
                  <c:v>8.3734686927471103E-2</c:v>
                </c:pt>
                <c:pt idx="419">
                  <c:v>6.5233651808309201E-2</c:v>
                </c:pt>
                <c:pt idx="420">
                  <c:v>6.1492451605783094E-2</c:v>
                </c:pt>
                <c:pt idx="421">
                  <c:v>6.3673132208372785E-2</c:v>
                </c:pt>
                <c:pt idx="422">
                  <c:v>0.1055421104971983</c:v>
                </c:pt>
                <c:pt idx="423">
                  <c:v>9.7588294712655843E-2</c:v>
                </c:pt>
                <c:pt idx="424">
                  <c:v>9.9322981205959948E-2</c:v>
                </c:pt>
                <c:pt idx="425">
                  <c:v>9.7262008949054346E-2</c:v>
                </c:pt>
                <c:pt idx="426">
                  <c:v>8.688686716472338E-2</c:v>
                </c:pt>
                <c:pt idx="427">
                  <c:v>8.3835103214038753E-2</c:v>
                </c:pt>
                <c:pt idx="428">
                  <c:v>7.1778198315907149E-2</c:v>
                </c:pt>
                <c:pt idx="429">
                  <c:v>7.2626003159136587E-2</c:v>
                </c:pt>
                <c:pt idx="430">
                  <c:v>6.6183548502847023E-2</c:v>
                </c:pt>
                <c:pt idx="431">
                  <c:v>5.9518189935239496E-2</c:v>
                </c:pt>
                <c:pt idx="432">
                  <c:v>5.8397377616062451E-2</c:v>
                </c:pt>
                <c:pt idx="433">
                  <c:v>6.5516320004533002E-2</c:v>
                </c:pt>
                <c:pt idx="434">
                  <c:v>7.518173787651472E-2</c:v>
                </c:pt>
                <c:pt idx="435">
                  <c:v>9.323320096676202E-2</c:v>
                </c:pt>
                <c:pt idx="436">
                  <c:v>8.0176083599887038E-2</c:v>
                </c:pt>
                <c:pt idx="437">
                  <c:v>7.5907866084828246E-2</c:v>
                </c:pt>
                <c:pt idx="438">
                  <c:v>7.5761930072217654E-2</c:v>
                </c:pt>
                <c:pt idx="439">
                  <c:v>6.9812130556773155E-2</c:v>
                </c:pt>
                <c:pt idx="440">
                  <c:v>6.7267262121252669E-2</c:v>
                </c:pt>
                <c:pt idx="441">
                  <c:v>5.7534055413513974E-2</c:v>
                </c:pt>
                <c:pt idx="442">
                  <c:v>6.6619706052479799E-2</c:v>
                </c:pt>
                <c:pt idx="443">
                  <c:v>6.1751628195196639E-2</c:v>
                </c:pt>
                <c:pt idx="444">
                  <c:v>4.6301444906749145E-2</c:v>
                </c:pt>
                <c:pt idx="445">
                  <c:v>3.1202938302310246E-2</c:v>
                </c:pt>
                <c:pt idx="446">
                  <c:v>3.5328403189587076E-2</c:v>
                </c:pt>
                <c:pt idx="447">
                  <c:v>3.5292895499174026E-2</c:v>
                </c:pt>
                <c:pt idx="448">
                  <c:v>2.6785892173445625E-2</c:v>
                </c:pt>
                <c:pt idx="449">
                  <c:v>2.6980356522871007E-2</c:v>
                </c:pt>
                <c:pt idx="450">
                  <c:v>1.5034671665790089E-2</c:v>
                </c:pt>
                <c:pt idx="451">
                  <c:v>1.643887481275863E-2</c:v>
                </c:pt>
                <c:pt idx="452">
                  <c:v>1.5126312932212116E-3</c:v>
                </c:pt>
                <c:pt idx="453">
                  <c:v>1.3674133538670308E-3</c:v>
                </c:pt>
                <c:pt idx="454">
                  <c:v>-5.5769736220458999E-3</c:v>
                </c:pt>
                <c:pt idx="455">
                  <c:v>-1.1120956229149881E-2</c:v>
                </c:pt>
                <c:pt idx="456">
                  <c:v>-1.0288867756682585E-2</c:v>
                </c:pt>
                <c:pt idx="457">
                  <c:v>-8.0400452703923708E-3</c:v>
                </c:pt>
                <c:pt idx="458">
                  <c:v>-1.2652687944244456E-2</c:v>
                </c:pt>
                <c:pt idx="459">
                  <c:v>-1.2617333251822682E-2</c:v>
                </c:pt>
                <c:pt idx="460">
                  <c:v>-1.6572994962832377E-2</c:v>
                </c:pt>
                <c:pt idx="461">
                  <c:v>-2.278863872028325E-2</c:v>
                </c:pt>
                <c:pt idx="462">
                  <c:v>-2.7441068672505287E-2</c:v>
                </c:pt>
                <c:pt idx="463">
                  <c:v>-3.6959699012982794E-2</c:v>
                </c:pt>
                <c:pt idx="464">
                  <c:v>-2.5770823980010404E-2</c:v>
                </c:pt>
                <c:pt idx="465">
                  <c:v>-2.4579225969298624E-2</c:v>
                </c:pt>
                <c:pt idx="466">
                  <c:v>-9.2956240925197164E-3</c:v>
                </c:pt>
                <c:pt idx="467">
                  <c:v>4.9542675859903795E-3</c:v>
                </c:pt>
                <c:pt idx="468">
                  <c:v>1.7817281499477922E-2</c:v>
                </c:pt>
                <c:pt idx="469">
                  <c:v>2.3504858877099188E-2</c:v>
                </c:pt>
                <c:pt idx="470">
                  <c:v>1.6832252210100096E-2</c:v>
                </c:pt>
                <c:pt idx="471">
                  <c:v>2.786565071940017E-2</c:v>
                </c:pt>
                <c:pt idx="472">
                  <c:v>1.7853783484819363E-2</c:v>
                </c:pt>
                <c:pt idx="473">
                  <c:v>1.398869133026559E-2</c:v>
                </c:pt>
                <c:pt idx="474">
                  <c:v>2.6985275314618473E-2</c:v>
                </c:pt>
                <c:pt idx="475">
                  <c:v>3.2149679443113754E-2</c:v>
                </c:pt>
                <c:pt idx="476">
                  <c:v>2.37659931646379E-2</c:v>
                </c:pt>
                <c:pt idx="477">
                  <c:v>1.7535344475540615E-2</c:v>
                </c:pt>
                <c:pt idx="478">
                  <c:v>2.7571094832994358E-2</c:v>
                </c:pt>
                <c:pt idx="479">
                  <c:v>2.4807786405525389E-2</c:v>
                </c:pt>
                <c:pt idx="480">
                  <c:v>2.0498315855751459E-2</c:v>
                </c:pt>
                <c:pt idx="481">
                  <c:v>1.7100081815793811E-2</c:v>
                </c:pt>
                <c:pt idx="482">
                  <c:v>2.1407375537737305E-2</c:v>
                </c:pt>
                <c:pt idx="483">
                  <c:v>2.8555619759903506E-2</c:v>
                </c:pt>
                <c:pt idx="484">
                  <c:v>2.1992968008020419E-2</c:v>
                </c:pt>
                <c:pt idx="485">
                  <c:v>-1.1174509469100702E-3</c:v>
                </c:pt>
                <c:pt idx="486">
                  <c:v>-4.812637407877296E-3</c:v>
                </c:pt>
                <c:pt idx="487">
                  <c:v>-1.6361494086126194E-2</c:v>
                </c:pt>
                <c:pt idx="488">
                  <c:v>-6.2710322023905585E-3</c:v>
                </c:pt>
                <c:pt idx="489">
                  <c:v>-2.052645331494074E-3</c:v>
                </c:pt>
                <c:pt idx="490">
                  <c:v>3.4878191973519712E-3</c:v>
                </c:pt>
                <c:pt idx="491">
                  <c:v>-2.7461932129574707E-2</c:v>
                </c:pt>
                <c:pt idx="492">
                  <c:v>-4.6913728536511989E-2</c:v>
                </c:pt>
                <c:pt idx="493">
                  <c:v>-5.1814963278776216E-2</c:v>
                </c:pt>
                <c:pt idx="494">
                  <c:v>-5.2377644893144226E-2</c:v>
                </c:pt>
                <c:pt idx="495">
                  <c:v>-5.4342331767542995E-2</c:v>
                </c:pt>
                <c:pt idx="496">
                  <c:v>-5.2019416514520023E-2</c:v>
                </c:pt>
                <c:pt idx="497">
                  <c:v>-5.744533575167321E-2</c:v>
                </c:pt>
                <c:pt idx="498">
                  <c:v>-6.3636598475181883E-2</c:v>
                </c:pt>
                <c:pt idx="499">
                  <c:v>-7.5995996124405107E-2</c:v>
                </c:pt>
                <c:pt idx="500">
                  <c:v>-8.4076053727594524E-2</c:v>
                </c:pt>
                <c:pt idx="501">
                  <c:v>-7.2632950556943965E-2</c:v>
                </c:pt>
                <c:pt idx="502">
                  <c:v>-7.6221318811868999E-2</c:v>
                </c:pt>
                <c:pt idx="503">
                  <c:v>-0.13711218172679163</c:v>
                </c:pt>
                <c:pt idx="504">
                  <c:v>-0.11173389778412079</c:v>
                </c:pt>
                <c:pt idx="505">
                  <c:v>-9.0650392511541611E-2</c:v>
                </c:pt>
                <c:pt idx="506">
                  <c:v>-8.5547896570268622E-2</c:v>
                </c:pt>
                <c:pt idx="507">
                  <c:v>-8.1883086839093067E-2</c:v>
                </c:pt>
                <c:pt idx="508">
                  <c:v>-7.5361099126029063E-2</c:v>
                </c:pt>
                <c:pt idx="509">
                  <c:v>-6.7522141784650547E-2</c:v>
                </c:pt>
                <c:pt idx="510">
                  <c:v>-5.1639222940549123E-2</c:v>
                </c:pt>
                <c:pt idx="511">
                  <c:v>-4.356957172620235E-2</c:v>
                </c:pt>
                <c:pt idx="512">
                  <c:v>-5.0303890164460796E-2</c:v>
                </c:pt>
                <c:pt idx="513">
                  <c:v>-6.6269837397779474E-2</c:v>
                </c:pt>
                <c:pt idx="514">
                  <c:v>-5.6324058089136986E-2</c:v>
                </c:pt>
                <c:pt idx="515">
                  <c:v>-5.7922478776627151E-2</c:v>
                </c:pt>
                <c:pt idx="516">
                  <c:v>-6.2049659599963558E-2</c:v>
                </c:pt>
                <c:pt idx="517">
                  <c:v>-5.764789705927631E-2</c:v>
                </c:pt>
                <c:pt idx="518">
                  <c:v>-5.6904398919439325E-2</c:v>
                </c:pt>
                <c:pt idx="519">
                  <c:v>-6.1745139237203039E-2</c:v>
                </c:pt>
                <c:pt idx="520">
                  <c:v>-4.846673282641123E-2</c:v>
                </c:pt>
                <c:pt idx="521">
                  <c:v>-4.3172585908985761E-2</c:v>
                </c:pt>
                <c:pt idx="522">
                  <c:v>-5.8148953419994154E-3</c:v>
                </c:pt>
                <c:pt idx="523">
                  <c:v>2.7333766020953387E-2</c:v>
                </c:pt>
                <c:pt idx="524">
                  <c:v>1.9309671461766431E-2</c:v>
                </c:pt>
                <c:pt idx="525">
                  <c:v>2.6285176683286782E-2</c:v>
                </c:pt>
                <c:pt idx="526">
                  <c:v>-1.7779348002859074E-2</c:v>
                </c:pt>
                <c:pt idx="527">
                  <c:v>1.0293296309529465E-2</c:v>
                </c:pt>
                <c:pt idx="528">
                  <c:v>2.0896558047751812E-2</c:v>
                </c:pt>
                <c:pt idx="529">
                  <c:v>1.6011520291011161E-2</c:v>
                </c:pt>
                <c:pt idx="530">
                  <c:v>2.325904468080342E-2</c:v>
                </c:pt>
                <c:pt idx="531">
                  <c:v>2.948782080575918E-2</c:v>
                </c:pt>
                <c:pt idx="532">
                  <c:v>3.3918668977632738E-2</c:v>
                </c:pt>
                <c:pt idx="533">
                  <c:v>2.5156862148399517E-2</c:v>
                </c:pt>
                <c:pt idx="534">
                  <c:v>2.6468585089433727E-2</c:v>
                </c:pt>
                <c:pt idx="535">
                  <c:v>2.748644393685562E-2</c:v>
                </c:pt>
                <c:pt idx="536">
                  <c:v>2.6756849986963926E-2</c:v>
                </c:pt>
                <c:pt idx="537">
                  <c:v>9.3000731308274798E-3</c:v>
                </c:pt>
                <c:pt idx="538">
                  <c:v>2.1766723567957502E-3</c:v>
                </c:pt>
                <c:pt idx="539">
                  <c:v>-4.2592135220747007E-3</c:v>
                </c:pt>
                <c:pt idx="540">
                  <c:v>6.4230898146555804E-2</c:v>
                </c:pt>
                <c:pt idx="541">
                  <c:v>6.1978595977145501E-2</c:v>
                </c:pt>
                <c:pt idx="542">
                  <c:v>6.0020277929431209E-2</c:v>
                </c:pt>
                <c:pt idx="543">
                  <c:v>7.8070728939620082E-2</c:v>
                </c:pt>
                <c:pt idx="544">
                  <c:v>7.5884989180291962E-2</c:v>
                </c:pt>
                <c:pt idx="545">
                  <c:v>6.5766692860265374E-2</c:v>
                </c:pt>
                <c:pt idx="546">
                  <c:v>6.8663778305348977E-2</c:v>
                </c:pt>
                <c:pt idx="547">
                  <c:v>7.4850741733647475E-2</c:v>
                </c:pt>
                <c:pt idx="548">
                  <c:v>5.1000693816385168E-2</c:v>
                </c:pt>
                <c:pt idx="549">
                  <c:v>2.9653057392532878E-2</c:v>
                </c:pt>
                <c:pt idx="550">
                  <c:v>1.964775810702446E-2</c:v>
                </c:pt>
                <c:pt idx="551">
                  <c:v>3.2789362620114559E-2</c:v>
                </c:pt>
                <c:pt idx="552">
                  <c:v>4.3098934807614508E-2</c:v>
                </c:pt>
                <c:pt idx="553">
                  <c:v>4.3850091878460118E-2</c:v>
                </c:pt>
                <c:pt idx="554">
                  <c:v>3.7201795167371321E-2</c:v>
                </c:pt>
                <c:pt idx="555">
                  <c:v>4.4210404824455818E-2</c:v>
                </c:pt>
                <c:pt idx="556">
                  <c:v>4.8196868346152888E-2</c:v>
                </c:pt>
                <c:pt idx="557">
                  <c:v>4.1843049036037971E-2</c:v>
                </c:pt>
                <c:pt idx="558">
                  <c:v>2.8120778290885884E-2</c:v>
                </c:pt>
                <c:pt idx="559">
                  <c:v>4.8977222443593593E-3</c:v>
                </c:pt>
                <c:pt idx="560">
                  <c:v>1.1545884589182265E-2</c:v>
                </c:pt>
                <c:pt idx="561">
                  <c:v>1.1762544254334983E-2</c:v>
                </c:pt>
                <c:pt idx="562">
                  <c:v>-3.1926836100759637E-4</c:v>
                </c:pt>
                <c:pt idx="563">
                  <c:v>-1.0020712586034097E-4</c:v>
                </c:pt>
                <c:pt idx="564">
                  <c:v>4.4718388775895068E-3</c:v>
                </c:pt>
                <c:pt idx="565">
                  <c:v>7.7945098516543077E-3</c:v>
                </c:pt>
                <c:pt idx="566">
                  <c:v>-5.6784572710393277E-3</c:v>
                </c:pt>
                <c:pt idx="567">
                  <c:v>-2.1095775618209522E-3</c:v>
                </c:pt>
                <c:pt idx="568">
                  <c:v>-1.1092696883438946E-2</c:v>
                </c:pt>
                <c:pt idx="569">
                  <c:v>-2.3153370298250597E-2</c:v>
                </c:pt>
                <c:pt idx="570">
                  <c:v>-1.058786113129162E-2</c:v>
                </c:pt>
                <c:pt idx="571">
                  <c:v>-1.7338188988958336E-2</c:v>
                </c:pt>
                <c:pt idx="572">
                  <c:v>-2.506890879340562E-2</c:v>
                </c:pt>
                <c:pt idx="573">
                  <c:v>-2.4723186353857951E-2</c:v>
                </c:pt>
                <c:pt idx="574">
                  <c:v>-2.7965247901400092E-2</c:v>
                </c:pt>
                <c:pt idx="575">
                  <c:v>-3.1124813400365881E-2</c:v>
                </c:pt>
                <c:pt idx="576">
                  <c:v>-2.1483771019162656E-2</c:v>
                </c:pt>
                <c:pt idx="577">
                  <c:v>-1.9421512491469395E-2</c:v>
                </c:pt>
                <c:pt idx="578">
                  <c:v>-5.6432728858767489E-2</c:v>
                </c:pt>
                <c:pt idx="579">
                  <c:v>-5.5227712294254494E-2</c:v>
                </c:pt>
                <c:pt idx="580">
                  <c:v>-4.0800848529336631E-2</c:v>
                </c:pt>
                <c:pt idx="581">
                  <c:v>-5.0317091231344313E-2</c:v>
                </c:pt>
                <c:pt idx="582">
                  <c:v>-3.598663663063395E-2</c:v>
                </c:pt>
                <c:pt idx="583">
                  <c:v>-3.6566167660857074E-2</c:v>
                </c:pt>
                <c:pt idx="584">
                  <c:v>-4.2193284019074406E-2</c:v>
                </c:pt>
                <c:pt idx="585">
                  <c:v>-3.2247520928396778E-2</c:v>
                </c:pt>
                <c:pt idx="586">
                  <c:v>-3.3711699052417332E-2</c:v>
                </c:pt>
                <c:pt idx="587">
                  <c:v>-2.6854524807957025E-2</c:v>
                </c:pt>
                <c:pt idx="588">
                  <c:v>-2.6787389679707063E-2</c:v>
                </c:pt>
                <c:pt idx="589">
                  <c:v>-2.9594995229413668E-2</c:v>
                </c:pt>
                <c:pt idx="590">
                  <c:v>-2.8094666146992298E-2</c:v>
                </c:pt>
                <c:pt idx="591">
                  <c:v>-5.4189814964933691E-2</c:v>
                </c:pt>
                <c:pt idx="592">
                  <c:v>-6.0729151346917698E-2</c:v>
                </c:pt>
                <c:pt idx="593">
                  <c:v>-5.7881050916746002E-2</c:v>
                </c:pt>
                <c:pt idx="594">
                  <c:v>-4.4321462383777765E-2</c:v>
                </c:pt>
                <c:pt idx="595">
                  <c:v>-5.1819035343421138E-2</c:v>
                </c:pt>
                <c:pt idx="596">
                  <c:v>-4.2045353095343851E-2</c:v>
                </c:pt>
                <c:pt idx="597">
                  <c:v>-4.5408565151762614E-2</c:v>
                </c:pt>
                <c:pt idx="598">
                  <c:v>-3.753318760990243E-2</c:v>
                </c:pt>
                <c:pt idx="599">
                  <c:v>-2.9540724315446298E-2</c:v>
                </c:pt>
                <c:pt idx="600">
                  <c:v>-4.5968043964053629E-2</c:v>
                </c:pt>
                <c:pt idx="601">
                  <c:v>-2.9952467379319669E-2</c:v>
                </c:pt>
                <c:pt idx="602">
                  <c:v>-3.2807011690551002E-2</c:v>
                </c:pt>
                <c:pt idx="603">
                  <c:v>-2.2402772260727066E-2</c:v>
                </c:pt>
                <c:pt idx="604">
                  <c:v>-5.1356408693671307E-3</c:v>
                </c:pt>
                <c:pt idx="605">
                  <c:v>4.598379864891422E-3</c:v>
                </c:pt>
                <c:pt idx="606">
                  <c:v>1.4446450085414453E-2</c:v>
                </c:pt>
                <c:pt idx="607">
                  <c:v>1.1179913585925849E-3</c:v>
                </c:pt>
                <c:pt idx="608">
                  <c:v>3.7718931829691105E-3</c:v>
                </c:pt>
                <c:pt idx="609">
                  <c:v>1.1611108119048197E-2</c:v>
                </c:pt>
                <c:pt idx="610">
                  <c:v>9.0872676402349306E-3</c:v>
                </c:pt>
                <c:pt idx="611">
                  <c:v>2.1735437693088722E-2</c:v>
                </c:pt>
                <c:pt idx="612">
                  <c:v>3.133162110608434E-2</c:v>
                </c:pt>
                <c:pt idx="613">
                  <c:v>2.2375783350209622E-2</c:v>
                </c:pt>
                <c:pt idx="614">
                  <c:v>1.9600483031384064E-2</c:v>
                </c:pt>
                <c:pt idx="615">
                  <c:v>1.3737433987683456E-2</c:v>
                </c:pt>
                <c:pt idx="616">
                  <c:v>2.9674973233123181E-2</c:v>
                </c:pt>
                <c:pt idx="617">
                  <c:v>9.2906279912718936E-3</c:v>
                </c:pt>
                <c:pt idx="618">
                  <c:v>2.0435532990922267E-2</c:v>
                </c:pt>
                <c:pt idx="619">
                  <c:v>1.9365088630290961E-2</c:v>
                </c:pt>
                <c:pt idx="620">
                  <c:v>1.6517747071302047E-2</c:v>
                </c:pt>
                <c:pt idx="621">
                  <c:v>1.541767797924698E-2</c:v>
                </c:pt>
                <c:pt idx="622">
                  <c:v>1.2935349606373325E-2</c:v>
                </c:pt>
                <c:pt idx="623">
                  <c:v>9.3954292020490549E-3</c:v>
                </c:pt>
                <c:pt idx="624">
                  <c:v>1.5451332327406586E-2</c:v>
                </c:pt>
                <c:pt idx="625">
                  <c:v>2.7705431396804814E-2</c:v>
                </c:pt>
                <c:pt idx="626">
                  <c:v>6.6492319110518228E-3</c:v>
                </c:pt>
                <c:pt idx="627">
                  <c:v>1.3139338999325956E-2</c:v>
                </c:pt>
                <c:pt idx="628">
                  <c:v>2.4702142302208463E-2</c:v>
                </c:pt>
                <c:pt idx="629">
                  <c:v>3.6406922200984848E-2</c:v>
                </c:pt>
                <c:pt idx="630">
                  <c:v>1.1634820093352705E-2</c:v>
                </c:pt>
                <c:pt idx="631">
                  <c:v>1.5582919787117344E-2</c:v>
                </c:pt>
                <c:pt idx="632">
                  <c:v>3.191160231670831E-2</c:v>
                </c:pt>
                <c:pt idx="633">
                  <c:v>9.2950715799846595E-3</c:v>
                </c:pt>
                <c:pt idx="634">
                  <c:v>8.5255789953508909E-4</c:v>
                </c:pt>
                <c:pt idx="635">
                  <c:v>-4.823293842816434E-3</c:v>
                </c:pt>
                <c:pt idx="636">
                  <c:v>-2.5955985972763163E-3</c:v>
                </c:pt>
                <c:pt idx="637">
                  <c:v>1.4268578611816185E-2</c:v>
                </c:pt>
                <c:pt idx="638">
                  <c:v>9.3901785857128939E-3</c:v>
                </c:pt>
                <c:pt idx="639">
                  <c:v>8.3481940615681705E-3</c:v>
                </c:pt>
                <c:pt idx="640">
                  <c:v>9.4575255060247443E-3</c:v>
                </c:pt>
                <c:pt idx="641">
                  <c:v>-1.8373256504888857E-4</c:v>
                </c:pt>
                <c:pt idx="642">
                  <c:v>7.6980937232118407E-3</c:v>
                </c:pt>
                <c:pt idx="643">
                  <c:v>1.7356353390635348E-2</c:v>
                </c:pt>
                <c:pt idx="644">
                  <c:v>2.7148759765961206E-2</c:v>
                </c:pt>
                <c:pt idx="645">
                  <c:v>3.8828271219001342E-2</c:v>
                </c:pt>
                <c:pt idx="646">
                  <c:v>1.5174703014006363E-2</c:v>
                </c:pt>
                <c:pt idx="647">
                  <c:v>1.9822296024215369E-2</c:v>
                </c:pt>
                <c:pt idx="648">
                  <c:v>2.4308590110673656E-2</c:v>
                </c:pt>
                <c:pt idx="649">
                  <c:v>2.0547730353167593E-2</c:v>
                </c:pt>
                <c:pt idx="650">
                  <c:v>1.1670203991377859E-2</c:v>
                </c:pt>
                <c:pt idx="651">
                  <c:v>1.7471346345629524E-2</c:v>
                </c:pt>
                <c:pt idx="652">
                  <c:v>1.5299075123042183E-2</c:v>
                </c:pt>
                <c:pt idx="653">
                  <c:v>3.8438481809747849E-2</c:v>
                </c:pt>
                <c:pt idx="654">
                  <c:v>2.722411201769992E-2</c:v>
                </c:pt>
                <c:pt idx="655">
                  <c:v>4.9950400895769409E-2</c:v>
                </c:pt>
                <c:pt idx="656">
                  <c:v>2.5118485945048841E-2</c:v>
                </c:pt>
                <c:pt idx="657">
                  <c:v>8.7532702269605966E-3</c:v>
                </c:pt>
                <c:pt idx="658">
                  <c:v>7.983546139511688E-5</c:v>
                </c:pt>
                <c:pt idx="659">
                  <c:v>-9.8122992639825268E-3</c:v>
                </c:pt>
                <c:pt idx="660">
                  <c:v>-2.7598625226027407E-3</c:v>
                </c:pt>
                <c:pt idx="661">
                  <c:v>-1.068646424722175E-2</c:v>
                </c:pt>
                <c:pt idx="662">
                  <c:v>-2.1910214835678343E-2</c:v>
                </c:pt>
                <c:pt idx="663">
                  <c:v>-2.7580100987758316E-2</c:v>
                </c:pt>
                <c:pt idx="664">
                  <c:v>-4.1315290886604794E-2</c:v>
                </c:pt>
                <c:pt idx="665">
                  <c:v>-4.1955688617187237E-2</c:v>
                </c:pt>
                <c:pt idx="666">
                  <c:v>-3.4626393440592595E-2</c:v>
                </c:pt>
                <c:pt idx="667">
                  <c:v>-4.0337653669051732E-2</c:v>
                </c:pt>
                <c:pt idx="668">
                  <c:v>-4.5124457063966283E-2</c:v>
                </c:pt>
                <c:pt idx="669">
                  <c:v>-5.0040658176547792E-2</c:v>
                </c:pt>
                <c:pt idx="670">
                  <c:v>-2.628468378876847E-2</c:v>
                </c:pt>
                <c:pt idx="671">
                  <c:v>-5.3419788051245587E-2</c:v>
                </c:pt>
                <c:pt idx="672">
                  <c:v>-3.9126021943340805E-2</c:v>
                </c:pt>
                <c:pt idx="673">
                  <c:v>-3.6718308696969681E-2</c:v>
                </c:pt>
                <c:pt idx="674">
                  <c:v>-3.3229125639404167E-2</c:v>
                </c:pt>
                <c:pt idx="675">
                  <c:v>-2.7993233035742637E-2</c:v>
                </c:pt>
                <c:pt idx="676">
                  <c:v>-2.8566646617162794E-2</c:v>
                </c:pt>
                <c:pt idx="677">
                  <c:v>-4.8997614683683022E-2</c:v>
                </c:pt>
                <c:pt idx="678">
                  <c:v>-6.0593714244593144E-2</c:v>
                </c:pt>
                <c:pt idx="679">
                  <c:v>-5.3449268411655981E-2</c:v>
                </c:pt>
                <c:pt idx="680">
                  <c:v>-3.933257631957976E-2</c:v>
                </c:pt>
                <c:pt idx="681">
                  <c:v>-3.501713135004636E-2</c:v>
                </c:pt>
                <c:pt idx="682">
                  <c:v>-1.4082047153455401E-2</c:v>
                </c:pt>
                <c:pt idx="683">
                  <c:v>-1.7456797247037303E-2</c:v>
                </c:pt>
                <c:pt idx="684">
                  <c:v>-3.3861720584500876E-2</c:v>
                </c:pt>
                <c:pt idx="685">
                  <c:v>-2.4434264166405706E-2</c:v>
                </c:pt>
                <c:pt idx="686">
                  <c:v>-2.3311516841838076E-2</c:v>
                </c:pt>
                <c:pt idx="687">
                  <c:v>-2.15031864279559E-2</c:v>
                </c:pt>
                <c:pt idx="688">
                  <c:v>-3.4840340976855733E-2</c:v>
                </c:pt>
                <c:pt idx="689">
                  <c:v>-4.3259571732748747E-2</c:v>
                </c:pt>
                <c:pt idx="690">
                  <c:v>-3.7514915295331019E-2</c:v>
                </c:pt>
                <c:pt idx="691">
                  <c:v>-3.4733725548214744E-2</c:v>
                </c:pt>
                <c:pt idx="692">
                  <c:v>-3.2561076587629745E-2</c:v>
                </c:pt>
                <c:pt idx="693">
                  <c:v>-2.6651252343162346E-2</c:v>
                </c:pt>
                <c:pt idx="694">
                  <c:v>-4.1422288158963094E-2</c:v>
                </c:pt>
                <c:pt idx="695">
                  <c:v>-2.8989647975835697E-2</c:v>
                </c:pt>
                <c:pt idx="696">
                  <c:v>-2.3083146107140018E-2</c:v>
                </c:pt>
                <c:pt idx="697">
                  <c:v>-2.3453483352156801E-2</c:v>
                </c:pt>
                <c:pt idx="698">
                  <c:v>-1.9530332841456222E-2</c:v>
                </c:pt>
                <c:pt idx="699">
                  <c:v>-3.2319722372672666E-2</c:v>
                </c:pt>
                <c:pt idx="700">
                  <c:v>-4.3668125009245773E-2</c:v>
                </c:pt>
                <c:pt idx="701">
                  <c:v>-4.1091572718188529E-2</c:v>
                </c:pt>
                <c:pt idx="702">
                  <c:v>-3.5228030315868741E-2</c:v>
                </c:pt>
                <c:pt idx="703">
                  <c:v>-4.1168389747605616E-2</c:v>
                </c:pt>
                <c:pt idx="704">
                  <c:v>-4.2391498598341681E-2</c:v>
                </c:pt>
                <c:pt idx="705">
                  <c:v>-4.3141329745599588E-2</c:v>
                </c:pt>
                <c:pt idx="706">
                  <c:v>-4.1219293256078204E-2</c:v>
                </c:pt>
                <c:pt idx="707">
                  <c:v>-4.492024878289147E-2</c:v>
                </c:pt>
                <c:pt idx="708">
                  <c:v>-5.4034714048060484E-2</c:v>
                </c:pt>
                <c:pt idx="709">
                  <c:v>-5.9048302390119489E-2</c:v>
                </c:pt>
                <c:pt idx="710">
                  <c:v>-3.6302962089052371E-2</c:v>
                </c:pt>
                <c:pt idx="711">
                  <c:v>-2.9528558536888183E-2</c:v>
                </c:pt>
                <c:pt idx="712">
                  <c:v>-2.4925047768672215E-2</c:v>
                </c:pt>
                <c:pt idx="713">
                  <c:v>-4.69900883248765E-2</c:v>
                </c:pt>
                <c:pt idx="714">
                  <c:v>-2.4021648747949209E-2</c:v>
                </c:pt>
                <c:pt idx="715">
                  <c:v>1.0049906278063236E-2</c:v>
                </c:pt>
                <c:pt idx="716">
                  <c:v>1.9937540789822794E-3</c:v>
                </c:pt>
                <c:pt idx="717">
                  <c:v>8.6059125424897687E-3</c:v>
                </c:pt>
                <c:pt idx="718">
                  <c:v>-2.7341472777654086E-2</c:v>
                </c:pt>
                <c:pt idx="719">
                  <c:v>-1.9486005081353674E-2</c:v>
                </c:pt>
                <c:pt idx="720">
                  <c:v>-4.8077879020654857E-3</c:v>
                </c:pt>
                <c:pt idx="721">
                  <c:v>-1.6731919436605458E-2</c:v>
                </c:pt>
                <c:pt idx="722">
                  <c:v>-1.856307068878138E-2</c:v>
                </c:pt>
                <c:pt idx="723">
                  <c:v>-9.7528100567758624E-3</c:v>
                </c:pt>
                <c:pt idx="724">
                  <c:v>-2.0556951462805673E-2</c:v>
                </c:pt>
                <c:pt idx="725">
                  <c:v>-2.4433867735634163E-2</c:v>
                </c:pt>
                <c:pt idx="726">
                  <c:v>-3.3901306865833369E-2</c:v>
                </c:pt>
                <c:pt idx="727">
                  <c:v>-3.0374966090617295E-2</c:v>
                </c:pt>
                <c:pt idx="728">
                  <c:v>-2.9289775468518076E-2</c:v>
                </c:pt>
                <c:pt idx="729">
                  <c:v>-2.2907232930567512E-2</c:v>
                </c:pt>
                <c:pt idx="730">
                  <c:v>-1.0336116232818271E-2</c:v>
                </c:pt>
                <c:pt idx="731">
                  <c:v>1.4710068509173224E-2</c:v>
                </c:pt>
                <c:pt idx="732">
                  <c:v>2.1222810047798912E-2</c:v>
                </c:pt>
                <c:pt idx="733">
                  <c:v>3.1714845331485941E-2</c:v>
                </c:pt>
                <c:pt idx="734">
                  <c:v>5.4511118499145583E-2</c:v>
                </c:pt>
                <c:pt idx="735">
                  <c:v>6.112157549484265E-2</c:v>
                </c:pt>
                <c:pt idx="736">
                  <c:v>7.3841012932834182E-2</c:v>
                </c:pt>
                <c:pt idx="737">
                  <c:v>3.9659414907054824E-2</c:v>
                </c:pt>
                <c:pt idx="738">
                  <c:v>6.3039682254461438E-2</c:v>
                </c:pt>
                <c:pt idx="739">
                  <c:v>8.1199430546167628E-2</c:v>
                </c:pt>
                <c:pt idx="740">
                  <c:v>-4.3225529244692584E-3</c:v>
                </c:pt>
                <c:pt idx="741">
                  <c:v>-1.8688514456334904E-2</c:v>
                </c:pt>
                <c:pt idx="742">
                  <c:v>-4.6230083414265932E-3</c:v>
                </c:pt>
                <c:pt idx="743">
                  <c:v>-3.8076920128194969E-3</c:v>
                </c:pt>
                <c:pt idx="744">
                  <c:v>2.460191957530844E-2</c:v>
                </c:pt>
                <c:pt idx="745">
                  <c:v>4.0446400224461332E-2</c:v>
                </c:pt>
                <c:pt idx="746">
                  <c:v>-8.3751191814381842E-3</c:v>
                </c:pt>
                <c:pt idx="747">
                  <c:v>8.4559401865829109E-3</c:v>
                </c:pt>
                <c:pt idx="748">
                  <c:v>1.6634144163720999E-2</c:v>
                </c:pt>
                <c:pt idx="749">
                  <c:v>3.6016082368621749E-3</c:v>
                </c:pt>
                <c:pt idx="750">
                  <c:v>-7.9754608344184685E-3</c:v>
                </c:pt>
                <c:pt idx="751">
                  <c:v>-2.8125552235150675E-2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9D-EF4B-B218-FE2CAB216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457328"/>
        <c:axId val="1173952736"/>
      </c:lineChart>
      <c:dateAx>
        <c:axId val="1184457328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b" anchorCtr="0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73952736"/>
        <c:crosses val="autoZero"/>
        <c:auto val="1"/>
        <c:lblOffset val="100"/>
        <c:baseTimeUnit val="days"/>
        <c:minorUnit val="2"/>
        <c:minorTimeUnit val="months"/>
      </c:dateAx>
      <c:valAx>
        <c:axId val="117395273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844573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VMC Relative vs XLB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Share_Price_Analysis'!$P$63</c:f>
              <c:strCache>
                <c:ptCount val="1"/>
                <c:pt idx="0">
                  <c:v>VMC Relative vs XLB</c:v>
                </c:pt>
              </c:strCache>
            </c:strRef>
          </c:tx>
          <c:spPr>
            <a:ln w="28575" cap="rnd">
              <a:solidFill>
                <a:srgbClr val="2CA02C"/>
              </a:solidFill>
              <a:prstDash val="solid"/>
              <a:round/>
            </a:ln>
          </c:spPr>
          <c:marker>
            <c:symbol val="none"/>
          </c:marker>
          <c:cat>
            <c:numRef>
              <c:f>'1. Share_Price_Analysis'!$B$64:$B$815</c:f>
              <c:numCache>
                <c:formatCode>m/d/yy</c:formatCode>
                <c:ptCount val="752"/>
                <c:pt idx="0">
                  <c:v>44991</c:v>
                </c:pt>
                <c:pt idx="1">
                  <c:v>44992</c:v>
                </c:pt>
                <c:pt idx="2">
                  <c:v>44993</c:v>
                </c:pt>
                <c:pt idx="3">
                  <c:v>44994</c:v>
                </c:pt>
                <c:pt idx="4">
                  <c:v>44995</c:v>
                </c:pt>
                <c:pt idx="5">
                  <c:v>44998</c:v>
                </c:pt>
                <c:pt idx="6">
                  <c:v>44999</c:v>
                </c:pt>
                <c:pt idx="7">
                  <c:v>45000</c:v>
                </c:pt>
                <c:pt idx="8">
                  <c:v>45001</c:v>
                </c:pt>
                <c:pt idx="9">
                  <c:v>45002</c:v>
                </c:pt>
                <c:pt idx="10">
                  <c:v>45005</c:v>
                </c:pt>
                <c:pt idx="11">
                  <c:v>45006</c:v>
                </c:pt>
                <c:pt idx="12">
                  <c:v>45007</c:v>
                </c:pt>
                <c:pt idx="13">
                  <c:v>45008</c:v>
                </c:pt>
                <c:pt idx="14">
                  <c:v>45009</c:v>
                </c:pt>
                <c:pt idx="15">
                  <c:v>45012</c:v>
                </c:pt>
                <c:pt idx="16">
                  <c:v>45013</c:v>
                </c:pt>
                <c:pt idx="17">
                  <c:v>45014</c:v>
                </c:pt>
                <c:pt idx="18">
                  <c:v>45015</c:v>
                </c:pt>
                <c:pt idx="19">
                  <c:v>45016</c:v>
                </c:pt>
                <c:pt idx="20">
                  <c:v>45019</c:v>
                </c:pt>
                <c:pt idx="21">
                  <c:v>45020</c:v>
                </c:pt>
                <c:pt idx="22">
                  <c:v>45021</c:v>
                </c:pt>
                <c:pt idx="23">
                  <c:v>45022</c:v>
                </c:pt>
                <c:pt idx="24">
                  <c:v>45026</c:v>
                </c:pt>
                <c:pt idx="25">
                  <c:v>45027</c:v>
                </c:pt>
                <c:pt idx="26">
                  <c:v>45028</c:v>
                </c:pt>
                <c:pt idx="27">
                  <c:v>45029</c:v>
                </c:pt>
                <c:pt idx="28">
                  <c:v>45030</c:v>
                </c:pt>
                <c:pt idx="29">
                  <c:v>45033</c:v>
                </c:pt>
                <c:pt idx="30">
                  <c:v>45034</c:v>
                </c:pt>
                <c:pt idx="31">
                  <c:v>45035</c:v>
                </c:pt>
                <c:pt idx="32">
                  <c:v>45036</c:v>
                </c:pt>
                <c:pt idx="33">
                  <c:v>45037</c:v>
                </c:pt>
                <c:pt idx="34">
                  <c:v>45040</c:v>
                </c:pt>
                <c:pt idx="35">
                  <c:v>45041</c:v>
                </c:pt>
                <c:pt idx="36">
                  <c:v>45042</c:v>
                </c:pt>
                <c:pt idx="37">
                  <c:v>45043</c:v>
                </c:pt>
                <c:pt idx="38">
                  <c:v>45044</c:v>
                </c:pt>
                <c:pt idx="39">
                  <c:v>45047</c:v>
                </c:pt>
                <c:pt idx="40">
                  <c:v>45048</c:v>
                </c:pt>
                <c:pt idx="41">
                  <c:v>45049</c:v>
                </c:pt>
                <c:pt idx="42">
                  <c:v>45050</c:v>
                </c:pt>
                <c:pt idx="43">
                  <c:v>45051</c:v>
                </c:pt>
                <c:pt idx="44">
                  <c:v>45054</c:v>
                </c:pt>
                <c:pt idx="45">
                  <c:v>45055</c:v>
                </c:pt>
                <c:pt idx="46">
                  <c:v>45056</c:v>
                </c:pt>
                <c:pt idx="47">
                  <c:v>45057</c:v>
                </c:pt>
                <c:pt idx="48">
                  <c:v>45058</c:v>
                </c:pt>
                <c:pt idx="49">
                  <c:v>45061</c:v>
                </c:pt>
                <c:pt idx="50">
                  <c:v>45062</c:v>
                </c:pt>
                <c:pt idx="51">
                  <c:v>45063</c:v>
                </c:pt>
                <c:pt idx="52">
                  <c:v>45064</c:v>
                </c:pt>
                <c:pt idx="53">
                  <c:v>45065</c:v>
                </c:pt>
                <c:pt idx="54">
                  <c:v>45068</c:v>
                </c:pt>
                <c:pt idx="55">
                  <c:v>45069</c:v>
                </c:pt>
                <c:pt idx="56">
                  <c:v>45070</c:v>
                </c:pt>
                <c:pt idx="57">
                  <c:v>45071</c:v>
                </c:pt>
                <c:pt idx="58">
                  <c:v>45072</c:v>
                </c:pt>
                <c:pt idx="59">
                  <c:v>45076</c:v>
                </c:pt>
                <c:pt idx="60">
                  <c:v>45077</c:v>
                </c:pt>
                <c:pt idx="61">
                  <c:v>45078</c:v>
                </c:pt>
                <c:pt idx="62">
                  <c:v>45079</c:v>
                </c:pt>
                <c:pt idx="63">
                  <c:v>45082</c:v>
                </c:pt>
                <c:pt idx="64">
                  <c:v>45083</c:v>
                </c:pt>
                <c:pt idx="65">
                  <c:v>45084</c:v>
                </c:pt>
                <c:pt idx="66">
                  <c:v>45085</c:v>
                </c:pt>
                <c:pt idx="67">
                  <c:v>45086</c:v>
                </c:pt>
                <c:pt idx="68">
                  <c:v>45089</c:v>
                </c:pt>
                <c:pt idx="69">
                  <c:v>45090</c:v>
                </c:pt>
                <c:pt idx="70">
                  <c:v>45091</c:v>
                </c:pt>
                <c:pt idx="71">
                  <c:v>45092</c:v>
                </c:pt>
                <c:pt idx="72">
                  <c:v>45093</c:v>
                </c:pt>
                <c:pt idx="73">
                  <c:v>45097</c:v>
                </c:pt>
                <c:pt idx="74">
                  <c:v>45098</c:v>
                </c:pt>
                <c:pt idx="75">
                  <c:v>45099</c:v>
                </c:pt>
                <c:pt idx="76">
                  <c:v>45100</c:v>
                </c:pt>
                <c:pt idx="77">
                  <c:v>45103</c:v>
                </c:pt>
                <c:pt idx="78">
                  <c:v>45104</c:v>
                </c:pt>
                <c:pt idx="79">
                  <c:v>45105</c:v>
                </c:pt>
                <c:pt idx="80">
                  <c:v>45106</c:v>
                </c:pt>
                <c:pt idx="81">
                  <c:v>45107</c:v>
                </c:pt>
                <c:pt idx="82">
                  <c:v>45110</c:v>
                </c:pt>
                <c:pt idx="83">
                  <c:v>45112</c:v>
                </c:pt>
                <c:pt idx="84">
                  <c:v>45113</c:v>
                </c:pt>
                <c:pt idx="85">
                  <c:v>45114</c:v>
                </c:pt>
                <c:pt idx="86">
                  <c:v>45117</c:v>
                </c:pt>
                <c:pt idx="87">
                  <c:v>45118</c:v>
                </c:pt>
                <c:pt idx="88">
                  <c:v>45119</c:v>
                </c:pt>
                <c:pt idx="89">
                  <c:v>45120</c:v>
                </c:pt>
                <c:pt idx="90">
                  <c:v>45121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45131</c:v>
                </c:pt>
                <c:pt idx="97">
                  <c:v>45132</c:v>
                </c:pt>
                <c:pt idx="98">
                  <c:v>45133</c:v>
                </c:pt>
                <c:pt idx="99">
                  <c:v>45134</c:v>
                </c:pt>
                <c:pt idx="100">
                  <c:v>45135</c:v>
                </c:pt>
                <c:pt idx="101">
                  <c:v>45138</c:v>
                </c:pt>
                <c:pt idx="102">
                  <c:v>45139</c:v>
                </c:pt>
                <c:pt idx="103">
                  <c:v>45140</c:v>
                </c:pt>
                <c:pt idx="104">
                  <c:v>45141</c:v>
                </c:pt>
                <c:pt idx="105">
                  <c:v>45142</c:v>
                </c:pt>
                <c:pt idx="106">
                  <c:v>45145</c:v>
                </c:pt>
                <c:pt idx="107">
                  <c:v>45146</c:v>
                </c:pt>
                <c:pt idx="108">
                  <c:v>45147</c:v>
                </c:pt>
                <c:pt idx="109">
                  <c:v>45148</c:v>
                </c:pt>
                <c:pt idx="110">
                  <c:v>45149</c:v>
                </c:pt>
                <c:pt idx="111">
                  <c:v>45152</c:v>
                </c:pt>
                <c:pt idx="112">
                  <c:v>45153</c:v>
                </c:pt>
                <c:pt idx="113">
                  <c:v>45154</c:v>
                </c:pt>
                <c:pt idx="114">
                  <c:v>45155</c:v>
                </c:pt>
                <c:pt idx="115">
                  <c:v>45156</c:v>
                </c:pt>
                <c:pt idx="116">
                  <c:v>45159</c:v>
                </c:pt>
                <c:pt idx="117">
                  <c:v>45160</c:v>
                </c:pt>
                <c:pt idx="118">
                  <c:v>45161</c:v>
                </c:pt>
                <c:pt idx="119">
                  <c:v>45162</c:v>
                </c:pt>
                <c:pt idx="120">
                  <c:v>45163</c:v>
                </c:pt>
                <c:pt idx="121">
                  <c:v>45166</c:v>
                </c:pt>
                <c:pt idx="122">
                  <c:v>45167</c:v>
                </c:pt>
                <c:pt idx="123">
                  <c:v>45168</c:v>
                </c:pt>
                <c:pt idx="124">
                  <c:v>45169</c:v>
                </c:pt>
                <c:pt idx="125">
                  <c:v>45170</c:v>
                </c:pt>
                <c:pt idx="126">
                  <c:v>45174</c:v>
                </c:pt>
                <c:pt idx="127">
                  <c:v>45175</c:v>
                </c:pt>
                <c:pt idx="128">
                  <c:v>45176</c:v>
                </c:pt>
                <c:pt idx="129">
                  <c:v>45177</c:v>
                </c:pt>
                <c:pt idx="130">
                  <c:v>45180</c:v>
                </c:pt>
                <c:pt idx="131">
                  <c:v>45181</c:v>
                </c:pt>
                <c:pt idx="132">
                  <c:v>45182</c:v>
                </c:pt>
                <c:pt idx="133">
                  <c:v>45183</c:v>
                </c:pt>
                <c:pt idx="134">
                  <c:v>45184</c:v>
                </c:pt>
                <c:pt idx="135">
                  <c:v>45187</c:v>
                </c:pt>
                <c:pt idx="136">
                  <c:v>45188</c:v>
                </c:pt>
                <c:pt idx="137">
                  <c:v>45189</c:v>
                </c:pt>
                <c:pt idx="138">
                  <c:v>45190</c:v>
                </c:pt>
                <c:pt idx="139">
                  <c:v>45191</c:v>
                </c:pt>
                <c:pt idx="140">
                  <c:v>45194</c:v>
                </c:pt>
                <c:pt idx="141">
                  <c:v>45195</c:v>
                </c:pt>
                <c:pt idx="142">
                  <c:v>45196</c:v>
                </c:pt>
                <c:pt idx="143">
                  <c:v>45197</c:v>
                </c:pt>
                <c:pt idx="144">
                  <c:v>45198</c:v>
                </c:pt>
                <c:pt idx="145">
                  <c:v>45201</c:v>
                </c:pt>
                <c:pt idx="146">
                  <c:v>45202</c:v>
                </c:pt>
                <c:pt idx="147">
                  <c:v>45203</c:v>
                </c:pt>
                <c:pt idx="148">
                  <c:v>45204</c:v>
                </c:pt>
                <c:pt idx="149">
                  <c:v>45205</c:v>
                </c:pt>
                <c:pt idx="150">
                  <c:v>45208</c:v>
                </c:pt>
                <c:pt idx="151">
                  <c:v>45209</c:v>
                </c:pt>
                <c:pt idx="152">
                  <c:v>45210</c:v>
                </c:pt>
                <c:pt idx="153">
                  <c:v>45211</c:v>
                </c:pt>
                <c:pt idx="154">
                  <c:v>45212</c:v>
                </c:pt>
                <c:pt idx="155">
                  <c:v>45215</c:v>
                </c:pt>
                <c:pt idx="156">
                  <c:v>45216</c:v>
                </c:pt>
                <c:pt idx="157">
                  <c:v>45217</c:v>
                </c:pt>
                <c:pt idx="158">
                  <c:v>45218</c:v>
                </c:pt>
                <c:pt idx="159">
                  <c:v>45219</c:v>
                </c:pt>
                <c:pt idx="160">
                  <c:v>45222</c:v>
                </c:pt>
                <c:pt idx="161">
                  <c:v>45223</c:v>
                </c:pt>
                <c:pt idx="162">
                  <c:v>45224</c:v>
                </c:pt>
                <c:pt idx="163">
                  <c:v>45225</c:v>
                </c:pt>
                <c:pt idx="164">
                  <c:v>45226</c:v>
                </c:pt>
                <c:pt idx="165">
                  <c:v>45229</c:v>
                </c:pt>
                <c:pt idx="166">
                  <c:v>45230</c:v>
                </c:pt>
                <c:pt idx="167">
                  <c:v>45231</c:v>
                </c:pt>
                <c:pt idx="168">
                  <c:v>45232</c:v>
                </c:pt>
                <c:pt idx="169">
                  <c:v>45233</c:v>
                </c:pt>
                <c:pt idx="170">
                  <c:v>45236</c:v>
                </c:pt>
                <c:pt idx="171">
                  <c:v>45237</c:v>
                </c:pt>
                <c:pt idx="172">
                  <c:v>45238</c:v>
                </c:pt>
                <c:pt idx="173">
                  <c:v>45239</c:v>
                </c:pt>
                <c:pt idx="174">
                  <c:v>45240</c:v>
                </c:pt>
                <c:pt idx="175">
                  <c:v>45243</c:v>
                </c:pt>
                <c:pt idx="176">
                  <c:v>45244</c:v>
                </c:pt>
                <c:pt idx="177">
                  <c:v>45245</c:v>
                </c:pt>
                <c:pt idx="178">
                  <c:v>45246</c:v>
                </c:pt>
                <c:pt idx="179">
                  <c:v>45247</c:v>
                </c:pt>
                <c:pt idx="180">
                  <c:v>45250</c:v>
                </c:pt>
                <c:pt idx="181">
                  <c:v>45251</c:v>
                </c:pt>
                <c:pt idx="182">
                  <c:v>45252</c:v>
                </c:pt>
                <c:pt idx="183">
                  <c:v>45254</c:v>
                </c:pt>
                <c:pt idx="184">
                  <c:v>45257</c:v>
                </c:pt>
                <c:pt idx="185">
                  <c:v>45258</c:v>
                </c:pt>
                <c:pt idx="186">
                  <c:v>45259</c:v>
                </c:pt>
                <c:pt idx="187">
                  <c:v>45260</c:v>
                </c:pt>
                <c:pt idx="188">
                  <c:v>45261</c:v>
                </c:pt>
                <c:pt idx="189">
                  <c:v>45264</c:v>
                </c:pt>
                <c:pt idx="190">
                  <c:v>45265</c:v>
                </c:pt>
                <c:pt idx="191">
                  <c:v>45266</c:v>
                </c:pt>
                <c:pt idx="192">
                  <c:v>45267</c:v>
                </c:pt>
                <c:pt idx="193">
                  <c:v>45268</c:v>
                </c:pt>
                <c:pt idx="194">
                  <c:v>45271</c:v>
                </c:pt>
                <c:pt idx="195">
                  <c:v>45272</c:v>
                </c:pt>
                <c:pt idx="196">
                  <c:v>45273</c:v>
                </c:pt>
                <c:pt idx="197">
                  <c:v>45274</c:v>
                </c:pt>
                <c:pt idx="198">
                  <c:v>45275</c:v>
                </c:pt>
                <c:pt idx="199">
                  <c:v>45278</c:v>
                </c:pt>
                <c:pt idx="200">
                  <c:v>45279</c:v>
                </c:pt>
                <c:pt idx="201">
                  <c:v>45280</c:v>
                </c:pt>
                <c:pt idx="202">
                  <c:v>45281</c:v>
                </c:pt>
                <c:pt idx="203">
                  <c:v>45282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45307</c:v>
                </c:pt>
                <c:pt idx="218">
                  <c:v>45308</c:v>
                </c:pt>
                <c:pt idx="219">
                  <c:v>45309</c:v>
                </c:pt>
                <c:pt idx="220">
                  <c:v>45310</c:v>
                </c:pt>
                <c:pt idx="221">
                  <c:v>45313</c:v>
                </c:pt>
                <c:pt idx="222">
                  <c:v>45314</c:v>
                </c:pt>
                <c:pt idx="223">
                  <c:v>45315</c:v>
                </c:pt>
                <c:pt idx="224">
                  <c:v>45316</c:v>
                </c:pt>
                <c:pt idx="225">
                  <c:v>45317</c:v>
                </c:pt>
                <c:pt idx="226">
                  <c:v>45320</c:v>
                </c:pt>
                <c:pt idx="227">
                  <c:v>45321</c:v>
                </c:pt>
                <c:pt idx="228">
                  <c:v>45322</c:v>
                </c:pt>
                <c:pt idx="229">
                  <c:v>45323</c:v>
                </c:pt>
                <c:pt idx="230">
                  <c:v>45324</c:v>
                </c:pt>
                <c:pt idx="231">
                  <c:v>45327</c:v>
                </c:pt>
                <c:pt idx="232">
                  <c:v>45328</c:v>
                </c:pt>
                <c:pt idx="233">
                  <c:v>45329</c:v>
                </c:pt>
                <c:pt idx="234">
                  <c:v>45330</c:v>
                </c:pt>
                <c:pt idx="235">
                  <c:v>45331</c:v>
                </c:pt>
                <c:pt idx="236">
                  <c:v>45334</c:v>
                </c:pt>
                <c:pt idx="237">
                  <c:v>45335</c:v>
                </c:pt>
                <c:pt idx="238">
                  <c:v>45336</c:v>
                </c:pt>
                <c:pt idx="239">
                  <c:v>45337</c:v>
                </c:pt>
                <c:pt idx="240">
                  <c:v>45338</c:v>
                </c:pt>
                <c:pt idx="241">
                  <c:v>45342</c:v>
                </c:pt>
                <c:pt idx="242">
                  <c:v>45343</c:v>
                </c:pt>
                <c:pt idx="243">
                  <c:v>45344</c:v>
                </c:pt>
                <c:pt idx="244">
                  <c:v>45345</c:v>
                </c:pt>
                <c:pt idx="245">
                  <c:v>45348</c:v>
                </c:pt>
                <c:pt idx="246">
                  <c:v>45349</c:v>
                </c:pt>
                <c:pt idx="247">
                  <c:v>45350</c:v>
                </c:pt>
                <c:pt idx="248">
                  <c:v>45351</c:v>
                </c:pt>
                <c:pt idx="249">
                  <c:v>45352</c:v>
                </c:pt>
                <c:pt idx="250">
                  <c:v>45355</c:v>
                </c:pt>
                <c:pt idx="251">
                  <c:v>45356</c:v>
                </c:pt>
                <c:pt idx="252">
                  <c:v>45357</c:v>
                </c:pt>
                <c:pt idx="253">
                  <c:v>45358</c:v>
                </c:pt>
                <c:pt idx="254">
                  <c:v>45359</c:v>
                </c:pt>
                <c:pt idx="255">
                  <c:v>45362</c:v>
                </c:pt>
                <c:pt idx="256">
                  <c:v>45363</c:v>
                </c:pt>
                <c:pt idx="257">
                  <c:v>45364</c:v>
                </c:pt>
                <c:pt idx="258">
                  <c:v>45365</c:v>
                </c:pt>
                <c:pt idx="259">
                  <c:v>45366</c:v>
                </c:pt>
                <c:pt idx="260">
                  <c:v>45369</c:v>
                </c:pt>
                <c:pt idx="261">
                  <c:v>45370</c:v>
                </c:pt>
                <c:pt idx="262">
                  <c:v>45371</c:v>
                </c:pt>
                <c:pt idx="263">
                  <c:v>45372</c:v>
                </c:pt>
                <c:pt idx="264">
                  <c:v>45373</c:v>
                </c:pt>
                <c:pt idx="265">
                  <c:v>45376</c:v>
                </c:pt>
                <c:pt idx="266">
                  <c:v>45377</c:v>
                </c:pt>
                <c:pt idx="267">
                  <c:v>45378</c:v>
                </c:pt>
                <c:pt idx="268">
                  <c:v>45379</c:v>
                </c:pt>
                <c:pt idx="269">
                  <c:v>45383</c:v>
                </c:pt>
                <c:pt idx="270">
                  <c:v>45384</c:v>
                </c:pt>
                <c:pt idx="271">
                  <c:v>45385</c:v>
                </c:pt>
                <c:pt idx="272">
                  <c:v>45386</c:v>
                </c:pt>
                <c:pt idx="273">
                  <c:v>45387</c:v>
                </c:pt>
                <c:pt idx="274">
                  <c:v>45390</c:v>
                </c:pt>
                <c:pt idx="275">
                  <c:v>45391</c:v>
                </c:pt>
                <c:pt idx="276">
                  <c:v>45392</c:v>
                </c:pt>
                <c:pt idx="277">
                  <c:v>45393</c:v>
                </c:pt>
                <c:pt idx="278">
                  <c:v>45394</c:v>
                </c:pt>
                <c:pt idx="279">
                  <c:v>45397</c:v>
                </c:pt>
                <c:pt idx="280">
                  <c:v>45398</c:v>
                </c:pt>
                <c:pt idx="281">
                  <c:v>45399</c:v>
                </c:pt>
                <c:pt idx="282">
                  <c:v>45400</c:v>
                </c:pt>
                <c:pt idx="283">
                  <c:v>45401</c:v>
                </c:pt>
                <c:pt idx="284">
                  <c:v>45404</c:v>
                </c:pt>
                <c:pt idx="285">
                  <c:v>45405</c:v>
                </c:pt>
                <c:pt idx="286">
                  <c:v>45406</c:v>
                </c:pt>
                <c:pt idx="287">
                  <c:v>45407</c:v>
                </c:pt>
                <c:pt idx="288">
                  <c:v>45408</c:v>
                </c:pt>
                <c:pt idx="289">
                  <c:v>45411</c:v>
                </c:pt>
                <c:pt idx="290">
                  <c:v>45412</c:v>
                </c:pt>
                <c:pt idx="291">
                  <c:v>45413</c:v>
                </c:pt>
                <c:pt idx="292">
                  <c:v>45414</c:v>
                </c:pt>
                <c:pt idx="293">
                  <c:v>45415</c:v>
                </c:pt>
                <c:pt idx="294">
                  <c:v>45418</c:v>
                </c:pt>
                <c:pt idx="295">
                  <c:v>45419</c:v>
                </c:pt>
                <c:pt idx="296">
                  <c:v>45420</c:v>
                </c:pt>
                <c:pt idx="297">
                  <c:v>45421</c:v>
                </c:pt>
                <c:pt idx="298">
                  <c:v>45422</c:v>
                </c:pt>
                <c:pt idx="299">
                  <c:v>45425</c:v>
                </c:pt>
                <c:pt idx="300">
                  <c:v>45426</c:v>
                </c:pt>
                <c:pt idx="301">
                  <c:v>45427</c:v>
                </c:pt>
                <c:pt idx="302">
                  <c:v>45428</c:v>
                </c:pt>
                <c:pt idx="303">
                  <c:v>45429</c:v>
                </c:pt>
                <c:pt idx="304">
                  <c:v>45432</c:v>
                </c:pt>
                <c:pt idx="305">
                  <c:v>45433</c:v>
                </c:pt>
                <c:pt idx="306">
                  <c:v>45434</c:v>
                </c:pt>
                <c:pt idx="307">
                  <c:v>45435</c:v>
                </c:pt>
                <c:pt idx="308">
                  <c:v>45436</c:v>
                </c:pt>
                <c:pt idx="309">
                  <c:v>45440</c:v>
                </c:pt>
                <c:pt idx="310">
                  <c:v>45441</c:v>
                </c:pt>
                <c:pt idx="311">
                  <c:v>45442</c:v>
                </c:pt>
                <c:pt idx="312">
                  <c:v>45443</c:v>
                </c:pt>
                <c:pt idx="313">
                  <c:v>45446</c:v>
                </c:pt>
                <c:pt idx="314">
                  <c:v>45447</c:v>
                </c:pt>
                <c:pt idx="315">
                  <c:v>45448</c:v>
                </c:pt>
                <c:pt idx="316">
                  <c:v>45449</c:v>
                </c:pt>
                <c:pt idx="317">
                  <c:v>45450</c:v>
                </c:pt>
                <c:pt idx="318">
                  <c:v>45453</c:v>
                </c:pt>
                <c:pt idx="319">
                  <c:v>45454</c:v>
                </c:pt>
                <c:pt idx="320">
                  <c:v>45455</c:v>
                </c:pt>
                <c:pt idx="321">
                  <c:v>45456</c:v>
                </c:pt>
                <c:pt idx="322">
                  <c:v>45457</c:v>
                </c:pt>
                <c:pt idx="323">
                  <c:v>45460</c:v>
                </c:pt>
                <c:pt idx="324">
                  <c:v>45461</c:v>
                </c:pt>
                <c:pt idx="325">
                  <c:v>45463</c:v>
                </c:pt>
                <c:pt idx="326">
                  <c:v>45464</c:v>
                </c:pt>
                <c:pt idx="327">
                  <c:v>45467</c:v>
                </c:pt>
                <c:pt idx="328">
                  <c:v>45468</c:v>
                </c:pt>
                <c:pt idx="329">
                  <c:v>45469</c:v>
                </c:pt>
                <c:pt idx="330">
                  <c:v>45470</c:v>
                </c:pt>
                <c:pt idx="331">
                  <c:v>45471</c:v>
                </c:pt>
                <c:pt idx="332">
                  <c:v>45474</c:v>
                </c:pt>
                <c:pt idx="333">
                  <c:v>45475</c:v>
                </c:pt>
                <c:pt idx="334">
                  <c:v>45476</c:v>
                </c:pt>
                <c:pt idx="335">
                  <c:v>45478</c:v>
                </c:pt>
                <c:pt idx="336">
                  <c:v>45481</c:v>
                </c:pt>
                <c:pt idx="337">
                  <c:v>45482</c:v>
                </c:pt>
                <c:pt idx="338">
                  <c:v>45483</c:v>
                </c:pt>
                <c:pt idx="339">
                  <c:v>45484</c:v>
                </c:pt>
                <c:pt idx="340">
                  <c:v>45485</c:v>
                </c:pt>
                <c:pt idx="341">
                  <c:v>45488</c:v>
                </c:pt>
                <c:pt idx="342">
                  <c:v>45489</c:v>
                </c:pt>
                <c:pt idx="343">
                  <c:v>45490</c:v>
                </c:pt>
                <c:pt idx="344">
                  <c:v>45491</c:v>
                </c:pt>
                <c:pt idx="345">
                  <c:v>45492</c:v>
                </c:pt>
                <c:pt idx="346">
                  <c:v>45495</c:v>
                </c:pt>
                <c:pt idx="347">
                  <c:v>45496</c:v>
                </c:pt>
                <c:pt idx="348">
                  <c:v>45497</c:v>
                </c:pt>
                <c:pt idx="349">
                  <c:v>45498</c:v>
                </c:pt>
                <c:pt idx="350">
                  <c:v>45499</c:v>
                </c:pt>
                <c:pt idx="351">
                  <c:v>45502</c:v>
                </c:pt>
                <c:pt idx="352">
                  <c:v>45503</c:v>
                </c:pt>
                <c:pt idx="353">
                  <c:v>45504</c:v>
                </c:pt>
                <c:pt idx="354">
                  <c:v>45505</c:v>
                </c:pt>
                <c:pt idx="355">
                  <c:v>45506</c:v>
                </c:pt>
                <c:pt idx="356">
                  <c:v>45509</c:v>
                </c:pt>
                <c:pt idx="357">
                  <c:v>45510</c:v>
                </c:pt>
                <c:pt idx="358">
                  <c:v>45511</c:v>
                </c:pt>
                <c:pt idx="359">
                  <c:v>45512</c:v>
                </c:pt>
                <c:pt idx="360">
                  <c:v>45513</c:v>
                </c:pt>
                <c:pt idx="361">
                  <c:v>45516</c:v>
                </c:pt>
                <c:pt idx="362">
                  <c:v>45517</c:v>
                </c:pt>
                <c:pt idx="363">
                  <c:v>45518</c:v>
                </c:pt>
                <c:pt idx="364">
                  <c:v>45519</c:v>
                </c:pt>
                <c:pt idx="365">
                  <c:v>45520</c:v>
                </c:pt>
                <c:pt idx="366">
                  <c:v>45523</c:v>
                </c:pt>
                <c:pt idx="367">
                  <c:v>45524</c:v>
                </c:pt>
                <c:pt idx="368">
                  <c:v>45525</c:v>
                </c:pt>
                <c:pt idx="369">
                  <c:v>45526</c:v>
                </c:pt>
                <c:pt idx="370">
                  <c:v>45527</c:v>
                </c:pt>
                <c:pt idx="371">
                  <c:v>45530</c:v>
                </c:pt>
                <c:pt idx="372">
                  <c:v>45531</c:v>
                </c:pt>
                <c:pt idx="373">
                  <c:v>45532</c:v>
                </c:pt>
                <c:pt idx="374">
                  <c:v>45533</c:v>
                </c:pt>
                <c:pt idx="375">
                  <c:v>45534</c:v>
                </c:pt>
                <c:pt idx="376">
                  <c:v>45538</c:v>
                </c:pt>
                <c:pt idx="377">
                  <c:v>45539</c:v>
                </c:pt>
                <c:pt idx="378">
                  <c:v>45540</c:v>
                </c:pt>
                <c:pt idx="379">
                  <c:v>45541</c:v>
                </c:pt>
                <c:pt idx="380">
                  <c:v>45544</c:v>
                </c:pt>
                <c:pt idx="381">
                  <c:v>45545</c:v>
                </c:pt>
                <c:pt idx="382">
                  <c:v>45546</c:v>
                </c:pt>
                <c:pt idx="383">
                  <c:v>45547</c:v>
                </c:pt>
                <c:pt idx="384">
                  <c:v>45548</c:v>
                </c:pt>
                <c:pt idx="385">
                  <c:v>45551</c:v>
                </c:pt>
                <c:pt idx="386">
                  <c:v>45552</c:v>
                </c:pt>
                <c:pt idx="387">
                  <c:v>45553</c:v>
                </c:pt>
                <c:pt idx="388">
                  <c:v>45554</c:v>
                </c:pt>
                <c:pt idx="389">
                  <c:v>45555</c:v>
                </c:pt>
                <c:pt idx="390">
                  <c:v>45558</c:v>
                </c:pt>
                <c:pt idx="391">
                  <c:v>45559</c:v>
                </c:pt>
                <c:pt idx="392">
                  <c:v>45560</c:v>
                </c:pt>
                <c:pt idx="393">
                  <c:v>45561</c:v>
                </c:pt>
                <c:pt idx="394">
                  <c:v>45562</c:v>
                </c:pt>
                <c:pt idx="395">
                  <c:v>45565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45572</c:v>
                </c:pt>
                <c:pt idx="401">
                  <c:v>45573</c:v>
                </c:pt>
                <c:pt idx="402">
                  <c:v>45574</c:v>
                </c:pt>
                <c:pt idx="403">
                  <c:v>45575</c:v>
                </c:pt>
                <c:pt idx="404">
                  <c:v>45576</c:v>
                </c:pt>
                <c:pt idx="405">
                  <c:v>45579</c:v>
                </c:pt>
                <c:pt idx="406">
                  <c:v>45580</c:v>
                </c:pt>
                <c:pt idx="407">
                  <c:v>45581</c:v>
                </c:pt>
                <c:pt idx="408">
                  <c:v>45582</c:v>
                </c:pt>
                <c:pt idx="409">
                  <c:v>45583</c:v>
                </c:pt>
                <c:pt idx="410">
                  <c:v>45586</c:v>
                </c:pt>
                <c:pt idx="411">
                  <c:v>45587</c:v>
                </c:pt>
                <c:pt idx="412">
                  <c:v>45588</c:v>
                </c:pt>
                <c:pt idx="413">
                  <c:v>45589</c:v>
                </c:pt>
                <c:pt idx="414">
                  <c:v>45590</c:v>
                </c:pt>
                <c:pt idx="415">
                  <c:v>45593</c:v>
                </c:pt>
                <c:pt idx="416">
                  <c:v>45594</c:v>
                </c:pt>
                <c:pt idx="417">
                  <c:v>45595</c:v>
                </c:pt>
                <c:pt idx="418">
                  <c:v>45596</c:v>
                </c:pt>
                <c:pt idx="419">
                  <c:v>45597</c:v>
                </c:pt>
                <c:pt idx="420">
                  <c:v>45600</c:v>
                </c:pt>
                <c:pt idx="421">
                  <c:v>45601</c:v>
                </c:pt>
                <c:pt idx="422">
                  <c:v>45602</c:v>
                </c:pt>
                <c:pt idx="423">
                  <c:v>45603</c:v>
                </c:pt>
                <c:pt idx="424">
                  <c:v>45604</c:v>
                </c:pt>
                <c:pt idx="425">
                  <c:v>45607</c:v>
                </c:pt>
                <c:pt idx="426">
                  <c:v>45608</c:v>
                </c:pt>
                <c:pt idx="427">
                  <c:v>45609</c:v>
                </c:pt>
                <c:pt idx="428">
                  <c:v>45610</c:v>
                </c:pt>
                <c:pt idx="429">
                  <c:v>45611</c:v>
                </c:pt>
                <c:pt idx="430">
                  <c:v>45614</c:v>
                </c:pt>
                <c:pt idx="431">
                  <c:v>45615</c:v>
                </c:pt>
                <c:pt idx="432">
                  <c:v>45616</c:v>
                </c:pt>
                <c:pt idx="433">
                  <c:v>45617</c:v>
                </c:pt>
                <c:pt idx="434">
                  <c:v>45618</c:v>
                </c:pt>
                <c:pt idx="435">
                  <c:v>45621</c:v>
                </c:pt>
                <c:pt idx="436">
                  <c:v>45622</c:v>
                </c:pt>
                <c:pt idx="437">
                  <c:v>45623</c:v>
                </c:pt>
                <c:pt idx="438">
                  <c:v>45625</c:v>
                </c:pt>
                <c:pt idx="439">
                  <c:v>45628</c:v>
                </c:pt>
                <c:pt idx="440">
                  <c:v>45629</c:v>
                </c:pt>
                <c:pt idx="441">
                  <c:v>45630</c:v>
                </c:pt>
                <c:pt idx="442">
                  <c:v>45631</c:v>
                </c:pt>
                <c:pt idx="443">
                  <c:v>45632</c:v>
                </c:pt>
                <c:pt idx="444">
                  <c:v>45635</c:v>
                </c:pt>
                <c:pt idx="445">
                  <c:v>45636</c:v>
                </c:pt>
                <c:pt idx="446">
                  <c:v>45637</c:v>
                </c:pt>
                <c:pt idx="447">
                  <c:v>45638</c:v>
                </c:pt>
                <c:pt idx="448">
                  <c:v>45639</c:v>
                </c:pt>
                <c:pt idx="449">
                  <c:v>45642</c:v>
                </c:pt>
                <c:pt idx="450">
                  <c:v>45643</c:v>
                </c:pt>
                <c:pt idx="451">
                  <c:v>45644</c:v>
                </c:pt>
                <c:pt idx="452">
                  <c:v>45645</c:v>
                </c:pt>
                <c:pt idx="453">
                  <c:v>45646</c:v>
                </c:pt>
                <c:pt idx="454">
                  <c:v>45649</c:v>
                </c:pt>
                <c:pt idx="455">
                  <c:v>45650</c:v>
                </c:pt>
                <c:pt idx="456">
                  <c:v>45652</c:v>
                </c:pt>
                <c:pt idx="457">
                  <c:v>45653</c:v>
                </c:pt>
                <c:pt idx="458">
                  <c:v>45656</c:v>
                </c:pt>
                <c:pt idx="459">
                  <c:v>45657</c:v>
                </c:pt>
                <c:pt idx="460">
                  <c:v>45659</c:v>
                </c:pt>
                <c:pt idx="461">
                  <c:v>45660</c:v>
                </c:pt>
                <c:pt idx="462">
                  <c:v>45663</c:v>
                </c:pt>
                <c:pt idx="463">
                  <c:v>45664</c:v>
                </c:pt>
                <c:pt idx="464">
                  <c:v>45665</c:v>
                </c:pt>
                <c:pt idx="465">
                  <c:v>45667</c:v>
                </c:pt>
                <c:pt idx="466">
                  <c:v>45670</c:v>
                </c:pt>
                <c:pt idx="467">
                  <c:v>45671</c:v>
                </c:pt>
                <c:pt idx="468">
                  <c:v>45672</c:v>
                </c:pt>
                <c:pt idx="469">
                  <c:v>45673</c:v>
                </c:pt>
                <c:pt idx="470">
                  <c:v>45674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45684</c:v>
                </c:pt>
                <c:pt idx="476">
                  <c:v>45685</c:v>
                </c:pt>
                <c:pt idx="477">
                  <c:v>45686</c:v>
                </c:pt>
                <c:pt idx="478">
                  <c:v>45687</c:v>
                </c:pt>
                <c:pt idx="479">
                  <c:v>45688</c:v>
                </c:pt>
                <c:pt idx="480">
                  <c:v>45691</c:v>
                </c:pt>
                <c:pt idx="481">
                  <c:v>45692</c:v>
                </c:pt>
                <c:pt idx="482">
                  <c:v>45693</c:v>
                </c:pt>
                <c:pt idx="483">
                  <c:v>45694</c:v>
                </c:pt>
                <c:pt idx="484">
                  <c:v>45695</c:v>
                </c:pt>
                <c:pt idx="485">
                  <c:v>45698</c:v>
                </c:pt>
                <c:pt idx="486">
                  <c:v>45699</c:v>
                </c:pt>
                <c:pt idx="487">
                  <c:v>45700</c:v>
                </c:pt>
                <c:pt idx="488">
                  <c:v>45701</c:v>
                </c:pt>
                <c:pt idx="489">
                  <c:v>45702</c:v>
                </c:pt>
                <c:pt idx="490">
                  <c:v>45706</c:v>
                </c:pt>
                <c:pt idx="491">
                  <c:v>45707</c:v>
                </c:pt>
                <c:pt idx="492">
                  <c:v>45708</c:v>
                </c:pt>
                <c:pt idx="493">
                  <c:v>45709</c:v>
                </c:pt>
                <c:pt idx="494">
                  <c:v>45712</c:v>
                </c:pt>
                <c:pt idx="495">
                  <c:v>45713</c:v>
                </c:pt>
                <c:pt idx="496">
                  <c:v>45714</c:v>
                </c:pt>
                <c:pt idx="497">
                  <c:v>45715</c:v>
                </c:pt>
                <c:pt idx="498">
                  <c:v>45716</c:v>
                </c:pt>
                <c:pt idx="499">
                  <c:v>45719</c:v>
                </c:pt>
                <c:pt idx="500">
                  <c:v>45720</c:v>
                </c:pt>
                <c:pt idx="501">
                  <c:v>45721</c:v>
                </c:pt>
                <c:pt idx="502">
                  <c:v>45722</c:v>
                </c:pt>
                <c:pt idx="503">
                  <c:v>45723</c:v>
                </c:pt>
                <c:pt idx="504">
                  <c:v>45726</c:v>
                </c:pt>
                <c:pt idx="505">
                  <c:v>45727</c:v>
                </c:pt>
                <c:pt idx="506">
                  <c:v>45728</c:v>
                </c:pt>
                <c:pt idx="507">
                  <c:v>45729</c:v>
                </c:pt>
                <c:pt idx="508">
                  <c:v>45730</c:v>
                </c:pt>
                <c:pt idx="509">
                  <c:v>45733</c:v>
                </c:pt>
                <c:pt idx="510">
                  <c:v>45734</c:v>
                </c:pt>
                <c:pt idx="511">
                  <c:v>45735</c:v>
                </c:pt>
                <c:pt idx="512">
                  <c:v>45736</c:v>
                </c:pt>
                <c:pt idx="513">
                  <c:v>45737</c:v>
                </c:pt>
                <c:pt idx="514">
                  <c:v>45740</c:v>
                </c:pt>
                <c:pt idx="515">
                  <c:v>45741</c:v>
                </c:pt>
                <c:pt idx="516">
                  <c:v>45742</c:v>
                </c:pt>
                <c:pt idx="517">
                  <c:v>45743</c:v>
                </c:pt>
                <c:pt idx="518">
                  <c:v>45744</c:v>
                </c:pt>
                <c:pt idx="519">
                  <c:v>45747</c:v>
                </c:pt>
                <c:pt idx="520">
                  <c:v>45748</c:v>
                </c:pt>
                <c:pt idx="521">
                  <c:v>45749</c:v>
                </c:pt>
                <c:pt idx="522">
                  <c:v>45750</c:v>
                </c:pt>
                <c:pt idx="523">
                  <c:v>45751</c:v>
                </c:pt>
                <c:pt idx="524">
                  <c:v>45754</c:v>
                </c:pt>
                <c:pt idx="525">
                  <c:v>45755</c:v>
                </c:pt>
                <c:pt idx="526">
                  <c:v>45756</c:v>
                </c:pt>
                <c:pt idx="527">
                  <c:v>45757</c:v>
                </c:pt>
                <c:pt idx="528">
                  <c:v>45758</c:v>
                </c:pt>
                <c:pt idx="529">
                  <c:v>45761</c:v>
                </c:pt>
                <c:pt idx="530">
                  <c:v>45762</c:v>
                </c:pt>
                <c:pt idx="531">
                  <c:v>45763</c:v>
                </c:pt>
                <c:pt idx="532">
                  <c:v>45764</c:v>
                </c:pt>
                <c:pt idx="533">
                  <c:v>45768</c:v>
                </c:pt>
                <c:pt idx="534">
                  <c:v>45769</c:v>
                </c:pt>
                <c:pt idx="535">
                  <c:v>45770</c:v>
                </c:pt>
                <c:pt idx="536">
                  <c:v>45771</c:v>
                </c:pt>
                <c:pt idx="537">
                  <c:v>45772</c:v>
                </c:pt>
                <c:pt idx="538">
                  <c:v>45775</c:v>
                </c:pt>
                <c:pt idx="539">
                  <c:v>45776</c:v>
                </c:pt>
                <c:pt idx="540">
                  <c:v>45777</c:v>
                </c:pt>
                <c:pt idx="541">
                  <c:v>45778</c:v>
                </c:pt>
                <c:pt idx="542">
                  <c:v>45779</c:v>
                </c:pt>
                <c:pt idx="543">
                  <c:v>45782</c:v>
                </c:pt>
                <c:pt idx="544">
                  <c:v>45783</c:v>
                </c:pt>
                <c:pt idx="545">
                  <c:v>45784</c:v>
                </c:pt>
                <c:pt idx="546">
                  <c:v>45785</c:v>
                </c:pt>
                <c:pt idx="547">
                  <c:v>45786</c:v>
                </c:pt>
                <c:pt idx="548">
                  <c:v>45789</c:v>
                </c:pt>
                <c:pt idx="549">
                  <c:v>45790</c:v>
                </c:pt>
                <c:pt idx="550">
                  <c:v>45791</c:v>
                </c:pt>
                <c:pt idx="551">
                  <c:v>45792</c:v>
                </c:pt>
                <c:pt idx="552">
                  <c:v>45793</c:v>
                </c:pt>
                <c:pt idx="553">
                  <c:v>45796</c:v>
                </c:pt>
                <c:pt idx="554">
                  <c:v>45797</c:v>
                </c:pt>
                <c:pt idx="555">
                  <c:v>45798</c:v>
                </c:pt>
                <c:pt idx="556">
                  <c:v>45799</c:v>
                </c:pt>
                <c:pt idx="557">
                  <c:v>45800</c:v>
                </c:pt>
                <c:pt idx="558">
                  <c:v>45804</c:v>
                </c:pt>
                <c:pt idx="559">
                  <c:v>45805</c:v>
                </c:pt>
                <c:pt idx="560">
                  <c:v>45806</c:v>
                </c:pt>
                <c:pt idx="561">
                  <c:v>45807</c:v>
                </c:pt>
                <c:pt idx="562">
                  <c:v>45810</c:v>
                </c:pt>
                <c:pt idx="563">
                  <c:v>45811</c:v>
                </c:pt>
                <c:pt idx="564">
                  <c:v>45812</c:v>
                </c:pt>
                <c:pt idx="565">
                  <c:v>45813</c:v>
                </c:pt>
                <c:pt idx="566">
                  <c:v>45814</c:v>
                </c:pt>
                <c:pt idx="567">
                  <c:v>45817</c:v>
                </c:pt>
                <c:pt idx="568">
                  <c:v>45818</c:v>
                </c:pt>
                <c:pt idx="569">
                  <c:v>45819</c:v>
                </c:pt>
                <c:pt idx="570">
                  <c:v>45820</c:v>
                </c:pt>
                <c:pt idx="571">
                  <c:v>45821</c:v>
                </c:pt>
                <c:pt idx="572">
                  <c:v>45824</c:v>
                </c:pt>
                <c:pt idx="573">
                  <c:v>45825</c:v>
                </c:pt>
                <c:pt idx="574">
                  <c:v>45826</c:v>
                </c:pt>
                <c:pt idx="575">
                  <c:v>45828</c:v>
                </c:pt>
                <c:pt idx="576">
                  <c:v>45831</c:v>
                </c:pt>
                <c:pt idx="577">
                  <c:v>45832</c:v>
                </c:pt>
                <c:pt idx="578">
                  <c:v>45833</c:v>
                </c:pt>
                <c:pt idx="579">
                  <c:v>45834</c:v>
                </c:pt>
                <c:pt idx="580">
                  <c:v>45835</c:v>
                </c:pt>
                <c:pt idx="581">
                  <c:v>45838</c:v>
                </c:pt>
                <c:pt idx="582">
                  <c:v>45839</c:v>
                </c:pt>
                <c:pt idx="583">
                  <c:v>45840</c:v>
                </c:pt>
                <c:pt idx="584">
                  <c:v>45841</c:v>
                </c:pt>
                <c:pt idx="585">
                  <c:v>45845</c:v>
                </c:pt>
                <c:pt idx="586">
                  <c:v>45846</c:v>
                </c:pt>
                <c:pt idx="587">
                  <c:v>45847</c:v>
                </c:pt>
                <c:pt idx="588">
                  <c:v>45848</c:v>
                </c:pt>
                <c:pt idx="589">
                  <c:v>45849</c:v>
                </c:pt>
                <c:pt idx="590">
                  <c:v>45852</c:v>
                </c:pt>
                <c:pt idx="591">
                  <c:v>45853</c:v>
                </c:pt>
                <c:pt idx="592">
                  <c:v>45854</c:v>
                </c:pt>
                <c:pt idx="593">
                  <c:v>45855</c:v>
                </c:pt>
                <c:pt idx="594">
                  <c:v>45856</c:v>
                </c:pt>
                <c:pt idx="595">
                  <c:v>45859</c:v>
                </c:pt>
                <c:pt idx="596">
                  <c:v>45860</c:v>
                </c:pt>
                <c:pt idx="597">
                  <c:v>45861</c:v>
                </c:pt>
                <c:pt idx="598">
                  <c:v>45862</c:v>
                </c:pt>
                <c:pt idx="599">
                  <c:v>45863</c:v>
                </c:pt>
                <c:pt idx="600">
                  <c:v>45866</c:v>
                </c:pt>
                <c:pt idx="601">
                  <c:v>45867</c:v>
                </c:pt>
                <c:pt idx="602">
                  <c:v>45868</c:v>
                </c:pt>
                <c:pt idx="603">
                  <c:v>45869</c:v>
                </c:pt>
                <c:pt idx="604">
                  <c:v>45870</c:v>
                </c:pt>
                <c:pt idx="605">
                  <c:v>45873</c:v>
                </c:pt>
                <c:pt idx="606">
                  <c:v>45874</c:v>
                </c:pt>
                <c:pt idx="607">
                  <c:v>45875</c:v>
                </c:pt>
                <c:pt idx="608">
                  <c:v>45876</c:v>
                </c:pt>
                <c:pt idx="609">
                  <c:v>45877</c:v>
                </c:pt>
                <c:pt idx="610">
                  <c:v>45880</c:v>
                </c:pt>
                <c:pt idx="611">
                  <c:v>45881</c:v>
                </c:pt>
                <c:pt idx="612">
                  <c:v>45882</c:v>
                </c:pt>
                <c:pt idx="613">
                  <c:v>45883</c:v>
                </c:pt>
                <c:pt idx="614">
                  <c:v>45884</c:v>
                </c:pt>
                <c:pt idx="615">
                  <c:v>45887</c:v>
                </c:pt>
                <c:pt idx="616">
                  <c:v>45888</c:v>
                </c:pt>
                <c:pt idx="617">
                  <c:v>45889</c:v>
                </c:pt>
                <c:pt idx="618">
                  <c:v>45890</c:v>
                </c:pt>
                <c:pt idx="619">
                  <c:v>45891</c:v>
                </c:pt>
                <c:pt idx="620">
                  <c:v>45894</c:v>
                </c:pt>
                <c:pt idx="621">
                  <c:v>45895</c:v>
                </c:pt>
                <c:pt idx="622">
                  <c:v>45896</c:v>
                </c:pt>
                <c:pt idx="623">
                  <c:v>45897</c:v>
                </c:pt>
                <c:pt idx="624">
                  <c:v>45898</c:v>
                </c:pt>
                <c:pt idx="625">
                  <c:v>45902</c:v>
                </c:pt>
                <c:pt idx="626">
                  <c:v>45903</c:v>
                </c:pt>
                <c:pt idx="627">
                  <c:v>45904</c:v>
                </c:pt>
                <c:pt idx="628">
                  <c:v>45905</c:v>
                </c:pt>
                <c:pt idx="629">
                  <c:v>45908</c:v>
                </c:pt>
                <c:pt idx="630">
                  <c:v>45909</c:v>
                </c:pt>
                <c:pt idx="631">
                  <c:v>45910</c:v>
                </c:pt>
                <c:pt idx="632">
                  <c:v>45911</c:v>
                </c:pt>
                <c:pt idx="633">
                  <c:v>45912</c:v>
                </c:pt>
                <c:pt idx="634">
                  <c:v>45915</c:v>
                </c:pt>
                <c:pt idx="635">
                  <c:v>45916</c:v>
                </c:pt>
                <c:pt idx="636">
                  <c:v>45917</c:v>
                </c:pt>
                <c:pt idx="637">
                  <c:v>45918</c:v>
                </c:pt>
                <c:pt idx="638">
                  <c:v>45919</c:v>
                </c:pt>
                <c:pt idx="639">
                  <c:v>45922</c:v>
                </c:pt>
                <c:pt idx="640">
                  <c:v>45923</c:v>
                </c:pt>
                <c:pt idx="641">
                  <c:v>45924</c:v>
                </c:pt>
                <c:pt idx="642">
                  <c:v>45925</c:v>
                </c:pt>
                <c:pt idx="643">
                  <c:v>45926</c:v>
                </c:pt>
                <c:pt idx="644">
                  <c:v>45929</c:v>
                </c:pt>
                <c:pt idx="645">
                  <c:v>45930</c:v>
                </c:pt>
                <c:pt idx="646">
                  <c:v>45931</c:v>
                </c:pt>
                <c:pt idx="647">
                  <c:v>45932</c:v>
                </c:pt>
                <c:pt idx="648">
                  <c:v>45933</c:v>
                </c:pt>
                <c:pt idx="649">
                  <c:v>45936</c:v>
                </c:pt>
                <c:pt idx="650">
                  <c:v>45937</c:v>
                </c:pt>
                <c:pt idx="651">
                  <c:v>45938</c:v>
                </c:pt>
                <c:pt idx="652">
                  <c:v>45939</c:v>
                </c:pt>
                <c:pt idx="653">
                  <c:v>45940</c:v>
                </c:pt>
                <c:pt idx="654">
                  <c:v>45943</c:v>
                </c:pt>
                <c:pt idx="655">
                  <c:v>45944</c:v>
                </c:pt>
                <c:pt idx="656">
                  <c:v>45945</c:v>
                </c:pt>
                <c:pt idx="657">
                  <c:v>45946</c:v>
                </c:pt>
                <c:pt idx="658">
                  <c:v>45947</c:v>
                </c:pt>
                <c:pt idx="659">
                  <c:v>45950</c:v>
                </c:pt>
                <c:pt idx="660">
                  <c:v>45951</c:v>
                </c:pt>
                <c:pt idx="661">
                  <c:v>45952</c:v>
                </c:pt>
                <c:pt idx="662">
                  <c:v>45953</c:v>
                </c:pt>
                <c:pt idx="663">
                  <c:v>45954</c:v>
                </c:pt>
                <c:pt idx="664">
                  <c:v>45957</c:v>
                </c:pt>
                <c:pt idx="665">
                  <c:v>45958</c:v>
                </c:pt>
                <c:pt idx="666">
                  <c:v>45959</c:v>
                </c:pt>
                <c:pt idx="667">
                  <c:v>45960</c:v>
                </c:pt>
                <c:pt idx="668">
                  <c:v>45961</c:v>
                </c:pt>
                <c:pt idx="669">
                  <c:v>45964</c:v>
                </c:pt>
                <c:pt idx="670">
                  <c:v>45965</c:v>
                </c:pt>
                <c:pt idx="671">
                  <c:v>45966</c:v>
                </c:pt>
                <c:pt idx="672">
                  <c:v>45967</c:v>
                </c:pt>
                <c:pt idx="673">
                  <c:v>45968</c:v>
                </c:pt>
                <c:pt idx="674">
                  <c:v>45971</c:v>
                </c:pt>
                <c:pt idx="675">
                  <c:v>45972</c:v>
                </c:pt>
                <c:pt idx="676">
                  <c:v>45973</c:v>
                </c:pt>
                <c:pt idx="677">
                  <c:v>45974</c:v>
                </c:pt>
                <c:pt idx="678">
                  <c:v>45975</c:v>
                </c:pt>
                <c:pt idx="679">
                  <c:v>45978</c:v>
                </c:pt>
                <c:pt idx="680">
                  <c:v>45979</c:v>
                </c:pt>
                <c:pt idx="681">
                  <c:v>45980</c:v>
                </c:pt>
                <c:pt idx="682">
                  <c:v>45981</c:v>
                </c:pt>
                <c:pt idx="683">
                  <c:v>45982</c:v>
                </c:pt>
                <c:pt idx="684">
                  <c:v>45985</c:v>
                </c:pt>
                <c:pt idx="685">
                  <c:v>45986</c:v>
                </c:pt>
                <c:pt idx="686">
                  <c:v>45987</c:v>
                </c:pt>
                <c:pt idx="687">
                  <c:v>45989</c:v>
                </c:pt>
                <c:pt idx="688">
                  <c:v>45992</c:v>
                </c:pt>
                <c:pt idx="689">
                  <c:v>45993</c:v>
                </c:pt>
                <c:pt idx="690">
                  <c:v>45994</c:v>
                </c:pt>
                <c:pt idx="691">
                  <c:v>45995</c:v>
                </c:pt>
                <c:pt idx="692">
                  <c:v>45996</c:v>
                </c:pt>
                <c:pt idx="693">
                  <c:v>45999</c:v>
                </c:pt>
                <c:pt idx="694">
                  <c:v>46000</c:v>
                </c:pt>
                <c:pt idx="695">
                  <c:v>46001</c:v>
                </c:pt>
                <c:pt idx="696">
                  <c:v>46002</c:v>
                </c:pt>
                <c:pt idx="697">
                  <c:v>46003</c:v>
                </c:pt>
                <c:pt idx="698">
                  <c:v>46006</c:v>
                </c:pt>
                <c:pt idx="699">
                  <c:v>46007</c:v>
                </c:pt>
                <c:pt idx="700">
                  <c:v>46008</c:v>
                </c:pt>
                <c:pt idx="701">
                  <c:v>46009</c:v>
                </c:pt>
                <c:pt idx="702">
                  <c:v>46010</c:v>
                </c:pt>
                <c:pt idx="703">
                  <c:v>46013</c:v>
                </c:pt>
                <c:pt idx="704">
                  <c:v>46014</c:v>
                </c:pt>
                <c:pt idx="705">
                  <c:v>46015</c:v>
                </c:pt>
                <c:pt idx="706">
                  <c:v>46017</c:v>
                </c:pt>
                <c:pt idx="707">
                  <c:v>46020</c:v>
                </c:pt>
                <c:pt idx="708">
                  <c:v>46021</c:v>
                </c:pt>
                <c:pt idx="709">
                  <c:v>46022</c:v>
                </c:pt>
                <c:pt idx="710">
                  <c:v>46024</c:v>
                </c:pt>
                <c:pt idx="711">
                  <c:v>46027</c:v>
                </c:pt>
                <c:pt idx="712">
                  <c:v>46028</c:v>
                </c:pt>
                <c:pt idx="713">
                  <c:v>46029</c:v>
                </c:pt>
                <c:pt idx="714">
                  <c:v>46030</c:v>
                </c:pt>
                <c:pt idx="715">
                  <c:v>46031</c:v>
                </c:pt>
                <c:pt idx="716">
                  <c:v>46034</c:v>
                </c:pt>
                <c:pt idx="717">
                  <c:v>46035</c:v>
                </c:pt>
                <c:pt idx="718">
                  <c:v>46036</c:v>
                </c:pt>
                <c:pt idx="719">
                  <c:v>46037</c:v>
                </c:pt>
                <c:pt idx="720">
                  <c:v>46038</c:v>
                </c:pt>
                <c:pt idx="721">
                  <c:v>46042</c:v>
                </c:pt>
                <c:pt idx="722">
                  <c:v>46043</c:v>
                </c:pt>
                <c:pt idx="723">
                  <c:v>46044</c:v>
                </c:pt>
                <c:pt idx="724">
                  <c:v>46045</c:v>
                </c:pt>
                <c:pt idx="725">
                  <c:v>46048</c:v>
                </c:pt>
                <c:pt idx="726">
                  <c:v>46049</c:v>
                </c:pt>
                <c:pt idx="727">
                  <c:v>46050</c:v>
                </c:pt>
                <c:pt idx="728">
                  <c:v>46051</c:v>
                </c:pt>
                <c:pt idx="729">
                  <c:v>46052</c:v>
                </c:pt>
                <c:pt idx="730">
                  <c:v>46055</c:v>
                </c:pt>
                <c:pt idx="731">
                  <c:v>46056</c:v>
                </c:pt>
                <c:pt idx="732">
                  <c:v>46057</c:v>
                </c:pt>
                <c:pt idx="733">
                  <c:v>46058</c:v>
                </c:pt>
                <c:pt idx="734">
                  <c:v>46059</c:v>
                </c:pt>
                <c:pt idx="735">
                  <c:v>46062</c:v>
                </c:pt>
                <c:pt idx="736">
                  <c:v>46063</c:v>
                </c:pt>
                <c:pt idx="737">
                  <c:v>46064</c:v>
                </c:pt>
                <c:pt idx="738">
                  <c:v>46065</c:v>
                </c:pt>
                <c:pt idx="739">
                  <c:v>46066</c:v>
                </c:pt>
                <c:pt idx="740">
                  <c:v>46070</c:v>
                </c:pt>
                <c:pt idx="741">
                  <c:v>46071</c:v>
                </c:pt>
                <c:pt idx="742">
                  <c:v>46072</c:v>
                </c:pt>
                <c:pt idx="743">
                  <c:v>46073</c:v>
                </c:pt>
                <c:pt idx="744">
                  <c:v>46076</c:v>
                </c:pt>
                <c:pt idx="745">
                  <c:v>46077</c:v>
                </c:pt>
                <c:pt idx="746">
                  <c:v>46078</c:v>
                </c:pt>
                <c:pt idx="747">
                  <c:v>46079</c:v>
                </c:pt>
                <c:pt idx="748">
                  <c:v>46080</c:v>
                </c:pt>
                <c:pt idx="749">
                  <c:v>46083</c:v>
                </c:pt>
                <c:pt idx="750">
                  <c:v>46084</c:v>
                </c:pt>
                <c:pt idx="751">
                  <c:v>46085</c:v>
                </c:pt>
              </c:numCache>
            </c:numRef>
          </c:cat>
          <c:val>
            <c:numRef>
              <c:f>'1. Share_Price_Analysis'!$P$64:$P$815</c:f>
              <c:numCache>
                <c:formatCode>General</c:formatCode>
                <c:ptCount val="752"/>
                <c:pt idx="0">
                  <c:v>0</c:v>
                </c:pt>
                <c:pt idx="1">
                  <c:v>5.5754605945910196E-3</c:v>
                </c:pt>
                <c:pt idx="2">
                  <c:v>1.021163304987649E-2</c:v>
                </c:pt>
                <c:pt idx="3">
                  <c:v>8.7887615950317244E-3</c:v>
                </c:pt>
                <c:pt idx="4">
                  <c:v>2.4206419384906752E-3</c:v>
                </c:pt>
                <c:pt idx="5">
                  <c:v>-7.017951833211189E-3</c:v>
                </c:pt>
                <c:pt idx="6">
                  <c:v>-1.0524024303147028E-2</c:v>
                </c:pt>
                <c:pt idx="7">
                  <c:v>-6.0732422033802358E-3</c:v>
                </c:pt>
                <c:pt idx="8">
                  <c:v>3.1737229578217008E-3</c:v>
                </c:pt>
                <c:pt idx="9">
                  <c:v>-1.2835079027917584E-2</c:v>
                </c:pt>
                <c:pt idx="10">
                  <c:v>-1.495616615202322E-2</c:v>
                </c:pt>
                <c:pt idx="11">
                  <c:v>-9.644353299296915E-3</c:v>
                </c:pt>
                <c:pt idx="12">
                  <c:v>-6.474801794192131E-3</c:v>
                </c:pt>
                <c:pt idx="13">
                  <c:v>-5.011680330173629E-4</c:v>
                </c:pt>
                <c:pt idx="14">
                  <c:v>1.6768032956384626E-3</c:v>
                </c:pt>
                <c:pt idx="15">
                  <c:v>-8.0948090971586506E-3</c:v>
                </c:pt>
                <c:pt idx="16">
                  <c:v>5.2198805000980286E-4</c:v>
                </c:pt>
                <c:pt idx="17">
                  <c:v>-1.7341612630411563E-3</c:v>
                </c:pt>
                <c:pt idx="18">
                  <c:v>-7.6510594237368945E-3</c:v>
                </c:pt>
                <c:pt idx="19">
                  <c:v>-1.537199907316722E-2</c:v>
                </c:pt>
                <c:pt idx="20">
                  <c:v>-1.3745136782750911E-2</c:v>
                </c:pt>
                <c:pt idx="21">
                  <c:v>-2.2872670893820723E-2</c:v>
                </c:pt>
                <c:pt idx="22">
                  <c:v>-4.8507551245544844E-2</c:v>
                </c:pt>
                <c:pt idx="23">
                  <c:v>-4.1179511919864131E-2</c:v>
                </c:pt>
                <c:pt idx="24">
                  <c:v>-3.9484579973418366E-2</c:v>
                </c:pt>
                <c:pt idx="25">
                  <c:v>-4.3655227818015452E-2</c:v>
                </c:pt>
                <c:pt idx="26">
                  <c:v>-4.0063505879896155E-2</c:v>
                </c:pt>
                <c:pt idx="27">
                  <c:v>-3.7684694404948926E-2</c:v>
                </c:pt>
                <c:pt idx="28">
                  <c:v>-3.2842818454389966E-2</c:v>
                </c:pt>
                <c:pt idx="29">
                  <c:v>-2.2503294520648254E-2</c:v>
                </c:pt>
                <c:pt idx="30">
                  <c:v>-2.3850774004029462E-2</c:v>
                </c:pt>
                <c:pt idx="31">
                  <c:v>-1.439462739927333E-2</c:v>
                </c:pt>
                <c:pt idx="32">
                  <c:v>-1.9559419666840716E-2</c:v>
                </c:pt>
                <c:pt idx="33">
                  <c:v>-1.826933846061507E-2</c:v>
                </c:pt>
                <c:pt idx="34">
                  <c:v>-2.337655127563365E-2</c:v>
                </c:pt>
                <c:pt idx="35">
                  <c:v>-1.1886290145005196E-2</c:v>
                </c:pt>
                <c:pt idx="36">
                  <c:v>-1.7859792503518102E-2</c:v>
                </c:pt>
                <c:pt idx="37">
                  <c:v>5.7454621449213317E-3</c:v>
                </c:pt>
                <c:pt idx="38">
                  <c:v>6.4322991624585768E-3</c:v>
                </c:pt>
                <c:pt idx="39">
                  <c:v>2.0674722919711508E-2</c:v>
                </c:pt>
                <c:pt idx="40">
                  <c:v>4.0878928059714381E-2</c:v>
                </c:pt>
                <c:pt idx="41">
                  <c:v>4.8679430589122274E-2</c:v>
                </c:pt>
                <c:pt idx="42">
                  <c:v>0.12411256669501358</c:v>
                </c:pt>
                <c:pt idx="43">
                  <c:v>0.124895320658714</c:v>
                </c:pt>
                <c:pt idx="44">
                  <c:v>0.12426440559045715</c:v>
                </c:pt>
                <c:pt idx="45">
                  <c:v>0.13619997351595825</c:v>
                </c:pt>
                <c:pt idx="46">
                  <c:v>0.15300066372225163</c:v>
                </c:pt>
                <c:pt idx="47">
                  <c:v>0.15690676948772464</c:v>
                </c:pt>
                <c:pt idx="48">
                  <c:v>0.15809299211578365</c:v>
                </c:pt>
                <c:pt idx="49">
                  <c:v>0.15303169848486631</c:v>
                </c:pt>
                <c:pt idx="50">
                  <c:v>0.16545028355728442</c:v>
                </c:pt>
                <c:pt idx="51">
                  <c:v>0.16673300530181856</c:v>
                </c:pt>
                <c:pt idx="52">
                  <c:v>0.15929975170360522</c:v>
                </c:pt>
                <c:pt idx="53">
                  <c:v>0.16111982696162985</c:v>
                </c:pt>
                <c:pt idx="54">
                  <c:v>0.167442714815911</c:v>
                </c:pt>
                <c:pt idx="55">
                  <c:v>0.17340261614281771</c:v>
                </c:pt>
                <c:pt idx="56">
                  <c:v>0.18027733612503605</c:v>
                </c:pt>
                <c:pt idx="57">
                  <c:v>0.19058057700882358</c:v>
                </c:pt>
                <c:pt idx="58">
                  <c:v>0.19011120995947928</c:v>
                </c:pt>
                <c:pt idx="59">
                  <c:v>0.1968511815369276</c:v>
                </c:pt>
                <c:pt idx="60">
                  <c:v>0.20637982086064399</c:v>
                </c:pt>
                <c:pt idx="61">
                  <c:v>0.21060615326024346</c:v>
                </c:pt>
                <c:pt idx="62">
                  <c:v>0.19447105299117751</c:v>
                </c:pt>
                <c:pt idx="63">
                  <c:v>0.19249465592788861</c:v>
                </c:pt>
                <c:pt idx="64">
                  <c:v>0.19010420115005777</c:v>
                </c:pt>
                <c:pt idx="65">
                  <c:v>0.18693946356218971</c:v>
                </c:pt>
                <c:pt idx="66">
                  <c:v>0.19817594262237748</c:v>
                </c:pt>
                <c:pt idx="67">
                  <c:v>0.21088155590805258</c:v>
                </c:pt>
                <c:pt idx="68">
                  <c:v>0.20101368683490906</c:v>
                </c:pt>
                <c:pt idx="69">
                  <c:v>0.18411758162300429</c:v>
                </c:pt>
                <c:pt idx="70">
                  <c:v>0.1873217863746468</c:v>
                </c:pt>
                <c:pt idx="71">
                  <c:v>0.18607455001746165</c:v>
                </c:pt>
                <c:pt idx="72">
                  <c:v>0.17394257282493819</c:v>
                </c:pt>
                <c:pt idx="73">
                  <c:v>0.20378838655482223</c:v>
                </c:pt>
                <c:pt idx="74">
                  <c:v>0.21076827449272462</c:v>
                </c:pt>
                <c:pt idx="75">
                  <c:v>0.2302314395014633</c:v>
                </c:pt>
                <c:pt idx="76">
                  <c:v>0.24596284189775419</c:v>
                </c:pt>
                <c:pt idx="77">
                  <c:v>0.23507149645601011</c:v>
                </c:pt>
                <c:pt idx="78">
                  <c:v>0.24986286330731677</c:v>
                </c:pt>
                <c:pt idx="79">
                  <c:v>0.26100755930430575</c:v>
                </c:pt>
                <c:pt idx="80">
                  <c:v>0.26778258489282303</c:v>
                </c:pt>
                <c:pt idx="81">
                  <c:v>0.25935450227241419</c:v>
                </c:pt>
                <c:pt idx="82">
                  <c:v>0.24297375283319544</c:v>
                </c:pt>
                <c:pt idx="83">
                  <c:v>0.25891802347681936</c:v>
                </c:pt>
                <c:pt idx="84">
                  <c:v>0.25296606353081441</c:v>
                </c:pt>
                <c:pt idx="85">
                  <c:v>0.23869399413380976</c:v>
                </c:pt>
                <c:pt idx="86">
                  <c:v>0.25045539668232375</c:v>
                </c:pt>
                <c:pt idx="87">
                  <c:v>0.26207690299063247</c:v>
                </c:pt>
                <c:pt idx="88">
                  <c:v>0.22712387610388407</c:v>
                </c:pt>
                <c:pt idx="89">
                  <c:v>0.23462466077754107</c:v>
                </c:pt>
                <c:pt idx="90">
                  <c:v>0.24961910415756239</c:v>
                </c:pt>
                <c:pt idx="91">
                  <c:v>0.24264267435277986</c:v>
                </c:pt>
                <c:pt idx="92">
                  <c:v>0.23407306804824191</c:v>
                </c:pt>
                <c:pt idx="93">
                  <c:v>0.22653458002495208</c:v>
                </c:pt>
                <c:pt idx="94">
                  <c:v>0.22520836180277892</c:v>
                </c:pt>
                <c:pt idx="95">
                  <c:v>0.22876550004856444</c:v>
                </c:pt>
                <c:pt idx="96">
                  <c:v>0.2266157519447014</c:v>
                </c:pt>
                <c:pt idx="97">
                  <c:v>0.20306319200693124</c:v>
                </c:pt>
                <c:pt idx="98">
                  <c:v>0.21372883066277226</c:v>
                </c:pt>
                <c:pt idx="99">
                  <c:v>0.19334867086181973</c:v>
                </c:pt>
                <c:pt idx="100">
                  <c:v>0.19540671392858688</c:v>
                </c:pt>
                <c:pt idx="101">
                  <c:v>0.19080539521960604</c:v>
                </c:pt>
                <c:pt idx="102">
                  <c:v>0.21493088836958263</c:v>
                </c:pt>
                <c:pt idx="103">
                  <c:v>0.22532267712109388</c:v>
                </c:pt>
                <c:pt idx="104">
                  <c:v>0.25011824657154724</c:v>
                </c:pt>
                <c:pt idx="105">
                  <c:v>0.25190795534308541</c:v>
                </c:pt>
                <c:pt idx="106">
                  <c:v>0.25869132945481943</c:v>
                </c:pt>
                <c:pt idx="107">
                  <c:v>0.26169419878747435</c:v>
                </c:pt>
                <c:pt idx="108">
                  <c:v>0.24754583085502269</c:v>
                </c:pt>
                <c:pt idx="109">
                  <c:v>0.25183360897136664</c:v>
                </c:pt>
                <c:pt idx="110">
                  <c:v>0.25313171620920727</c:v>
                </c:pt>
                <c:pt idx="111">
                  <c:v>0.25716766733149532</c:v>
                </c:pt>
                <c:pt idx="112">
                  <c:v>0.2723592880296446</c:v>
                </c:pt>
                <c:pt idx="113">
                  <c:v>0.27162588177290514</c:v>
                </c:pt>
                <c:pt idx="114">
                  <c:v>0.22163084789750997</c:v>
                </c:pt>
                <c:pt idx="115">
                  <c:v>0.21301937913916191</c:v>
                </c:pt>
                <c:pt idx="116">
                  <c:v>0.21727871999987647</c:v>
                </c:pt>
                <c:pt idx="117">
                  <c:v>0.22985389327593952</c:v>
                </c:pt>
                <c:pt idx="118">
                  <c:v>0.24206876158429802</c:v>
                </c:pt>
                <c:pt idx="119">
                  <c:v>0.23535837324942599</c:v>
                </c:pt>
                <c:pt idx="120">
                  <c:v>0.23082959409740345</c:v>
                </c:pt>
                <c:pt idx="121">
                  <c:v>0.22349983186415412</c:v>
                </c:pt>
                <c:pt idx="122">
                  <c:v>0.22300754339359385</c:v>
                </c:pt>
                <c:pt idx="123">
                  <c:v>0.21825176654943101</c:v>
                </c:pt>
                <c:pt idx="124">
                  <c:v>0.21889550355496712</c:v>
                </c:pt>
                <c:pt idx="125">
                  <c:v>0.23116352412473407</c:v>
                </c:pt>
                <c:pt idx="126">
                  <c:v>0.21677113230294887</c:v>
                </c:pt>
                <c:pt idx="127">
                  <c:v>0.21357430774717523</c:v>
                </c:pt>
                <c:pt idx="128">
                  <c:v>0.22110828870697663</c:v>
                </c:pt>
                <c:pt idx="129">
                  <c:v>0.22381895286418674</c:v>
                </c:pt>
                <c:pt idx="130">
                  <c:v>0.22052083012787826</c:v>
                </c:pt>
                <c:pt idx="131">
                  <c:v>0.21307046687053144</c:v>
                </c:pt>
                <c:pt idx="132">
                  <c:v>0.21436473518455657</c:v>
                </c:pt>
                <c:pt idx="133">
                  <c:v>0.20435485004534448</c:v>
                </c:pt>
                <c:pt idx="134">
                  <c:v>0.19310013901435608</c:v>
                </c:pt>
                <c:pt idx="135">
                  <c:v>0.21014366792816008</c:v>
                </c:pt>
                <c:pt idx="136">
                  <c:v>0.20083466553272622</c:v>
                </c:pt>
                <c:pt idx="137">
                  <c:v>0.21167582097508175</c:v>
                </c:pt>
                <c:pt idx="138">
                  <c:v>0.19405580145180967</c:v>
                </c:pt>
                <c:pt idx="139">
                  <c:v>0.18505563992778029</c:v>
                </c:pt>
                <c:pt idx="140">
                  <c:v>0.18407608105279727</c:v>
                </c:pt>
                <c:pt idx="141">
                  <c:v>0.19731212140275045</c:v>
                </c:pt>
                <c:pt idx="142">
                  <c:v>0.21084710739667822</c:v>
                </c:pt>
                <c:pt idx="143">
                  <c:v>0.20633359520468542</c:v>
                </c:pt>
                <c:pt idx="144">
                  <c:v>0.19059084739537457</c:v>
                </c:pt>
                <c:pt idx="145">
                  <c:v>0.20005571516803222</c:v>
                </c:pt>
                <c:pt idx="146">
                  <c:v>0.19768648445466019</c:v>
                </c:pt>
                <c:pt idx="147">
                  <c:v>0.2135830107493244</c:v>
                </c:pt>
                <c:pt idx="148">
                  <c:v>0.24000971910781943</c:v>
                </c:pt>
                <c:pt idx="149">
                  <c:v>0.26075283753599976</c:v>
                </c:pt>
                <c:pt idx="150">
                  <c:v>0.24639283529451061</c:v>
                </c:pt>
                <c:pt idx="151">
                  <c:v>0.23768389809511015</c:v>
                </c:pt>
                <c:pt idx="152">
                  <c:v>0.25671376785465627</c:v>
                </c:pt>
                <c:pt idx="153">
                  <c:v>0.25120915588054227</c:v>
                </c:pt>
                <c:pt idx="154">
                  <c:v>0.24789289920615132</c:v>
                </c:pt>
                <c:pt idx="155">
                  <c:v>0.25793862681064317</c:v>
                </c:pt>
                <c:pt idx="156">
                  <c:v>0.255936769535968</c:v>
                </c:pt>
                <c:pt idx="157">
                  <c:v>0.2229920759327555</c:v>
                </c:pt>
                <c:pt idx="158">
                  <c:v>0.23105580522971936</c:v>
                </c:pt>
                <c:pt idx="159">
                  <c:v>0.23908810684916637</c:v>
                </c:pt>
                <c:pt idx="160">
                  <c:v>0.25897283064461529</c:v>
                </c:pt>
                <c:pt idx="161">
                  <c:v>0.26055055412035455</c:v>
                </c:pt>
                <c:pt idx="162">
                  <c:v>0.26438175095405136</c:v>
                </c:pt>
                <c:pt idx="163">
                  <c:v>0.19757712500332425</c:v>
                </c:pt>
                <c:pt idx="164">
                  <c:v>0.19632705430815145</c:v>
                </c:pt>
                <c:pt idx="165">
                  <c:v>0.19822305015298158</c:v>
                </c:pt>
                <c:pt idx="166">
                  <c:v>0.19590999005954468</c:v>
                </c:pt>
                <c:pt idx="167">
                  <c:v>0.23974933816419841</c:v>
                </c:pt>
                <c:pt idx="168">
                  <c:v>0.2342783309503722</c:v>
                </c:pt>
                <c:pt idx="169">
                  <c:v>0.22080697989088871</c:v>
                </c:pt>
                <c:pt idx="170">
                  <c:v>0.22310085973317961</c:v>
                </c:pt>
                <c:pt idx="171">
                  <c:v>0.24770437605579643</c:v>
                </c:pt>
                <c:pt idx="172">
                  <c:v>0.2511447844638468</c:v>
                </c:pt>
                <c:pt idx="173">
                  <c:v>0.26678824164274317</c:v>
                </c:pt>
                <c:pt idx="174">
                  <c:v>0.26659186090539966</c:v>
                </c:pt>
                <c:pt idx="175">
                  <c:v>0.26138407070024594</c:v>
                </c:pt>
                <c:pt idx="176">
                  <c:v>0.26043807049378453</c:v>
                </c:pt>
                <c:pt idx="177">
                  <c:v>0.22205598987501696</c:v>
                </c:pt>
                <c:pt idx="178">
                  <c:v>0.22648443625789905</c:v>
                </c:pt>
                <c:pt idx="179">
                  <c:v>0.22465388502302375</c:v>
                </c:pt>
                <c:pt idx="180">
                  <c:v>0.21118016757366131</c:v>
                </c:pt>
                <c:pt idx="181">
                  <c:v>0.20343180908505087</c:v>
                </c:pt>
                <c:pt idx="182">
                  <c:v>0.21449361536569844</c:v>
                </c:pt>
                <c:pt idx="183">
                  <c:v>0.20799808849969881</c:v>
                </c:pt>
                <c:pt idx="184">
                  <c:v>0.21617417720492815</c:v>
                </c:pt>
                <c:pt idx="185">
                  <c:v>0.2041399590206523</c:v>
                </c:pt>
                <c:pt idx="186">
                  <c:v>0.2065653665660041</c:v>
                </c:pt>
                <c:pt idx="187">
                  <c:v>0.19964945283040225</c:v>
                </c:pt>
                <c:pt idx="188">
                  <c:v>0.19761696918083405</c:v>
                </c:pt>
                <c:pt idx="189">
                  <c:v>0.2070544226012323</c:v>
                </c:pt>
                <c:pt idx="190">
                  <c:v>0.20800247125920368</c:v>
                </c:pt>
                <c:pt idx="191">
                  <c:v>0.21002142553364789</c:v>
                </c:pt>
                <c:pt idx="192">
                  <c:v>0.21457182507772354</c:v>
                </c:pt>
                <c:pt idx="193">
                  <c:v>0.22063402868666704</c:v>
                </c:pt>
                <c:pt idx="194">
                  <c:v>0.22793158360213739</c:v>
                </c:pt>
                <c:pt idx="195">
                  <c:v>0.23220882115074959</c:v>
                </c:pt>
                <c:pt idx="196">
                  <c:v>0.2326586109720592</c:v>
                </c:pt>
                <c:pt idx="197">
                  <c:v>0.21850235275659302</c:v>
                </c:pt>
                <c:pt idx="198">
                  <c:v>0.21942133407399833</c:v>
                </c:pt>
                <c:pt idx="199">
                  <c:v>0.21702611519470349</c:v>
                </c:pt>
                <c:pt idx="200">
                  <c:v>0.21669798659255068</c:v>
                </c:pt>
                <c:pt idx="201">
                  <c:v>0.2163296528825609</c:v>
                </c:pt>
                <c:pt idx="202">
                  <c:v>0.21503210323620237</c:v>
                </c:pt>
                <c:pt idx="203">
                  <c:v>0.21643240452386503</c:v>
                </c:pt>
                <c:pt idx="204">
                  <c:v>0.21465026380906838</c:v>
                </c:pt>
                <c:pt idx="205">
                  <c:v>0.21260434535363926</c:v>
                </c:pt>
                <c:pt idx="206">
                  <c:v>0.2152155053949103</c:v>
                </c:pt>
                <c:pt idx="207">
                  <c:v>0.22854227367826452</c:v>
                </c:pt>
                <c:pt idx="208">
                  <c:v>0.21221358816681857</c:v>
                </c:pt>
                <c:pt idx="209">
                  <c:v>0.20201505363060024</c:v>
                </c:pt>
                <c:pt idx="210">
                  <c:v>0.21329175407730139</c:v>
                </c:pt>
                <c:pt idx="211">
                  <c:v>0.21643726497080551</c:v>
                </c:pt>
                <c:pt idx="212">
                  <c:v>0.22427496909847444</c:v>
                </c:pt>
                <c:pt idx="213">
                  <c:v>0.23525129676914336</c:v>
                </c:pt>
                <c:pt idx="214">
                  <c:v>0.2517683570320195</c:v>
                </c:pt>
                <c:pt idx="215">
                  <c:v>0.24580477765154529</c:v>
                </c:pt>
                <c:pt idx="216">
                  <c:v>0.24239152455042756</c:v>
                </c:pt>
                <c:pt idx="217">
                  <c:v>0.24798333066895895</c:v>
                </c:pt>
                <c:pt idx="218">
                  <c:v>0.2507957564717207</c:v>
                </c:pt>
                <c:pt idx="219">
                  <c:v>0.26858880501587312</c:v>
                </c:pt>
                <c:pt idx="220">
                  <c:v>0.27275911645186346</c:v>
                </c:pt>
                <c:pt idx="221">
                  <c:v>0.27579115936783283</c:v>
                </c:pt>
                <c:pt idx="222">
                  <c:v>0.24656242585705046</c:v>
                </c:pt>
                <c:pt idx="223">
                  <c:v>0.2466526365760997</c:v>
                </c:pt>
                <c:pt idx="224">
                  <c:v>0.25391563759400393</c:v>
                </c:pt>
                <c:pt idx="225">
                  <c:v>0.24756861431861088</c:v>
                </c:pt>
                <c:pt idx="226">
                  <c:v>0.28053567855750128</c:v>
                </c:pt>
                <c:pt idx="227">
                  <c:v>0.28403048187404334</c:v>
                </c:pt>
                <c:pt idx="228">
                  <c:v>0.27267457873431922</c:v>
                </c:pt>
                <c:pt idx="229">
                  <c:v>0.27590713267470002</c:v>
                </c:pt>
                <c:pt idx="230">
                  <c:v>0.30616281571221693</c:v>
                </c:pt>
                <c:pt idx="231">
                  <c:v>0.31281351665029966</c:v>
                </c:pt>
                <c:pt idx="232">
                  <c:v>0.30087479062775979</c:v>
                </c:pt>
                <c:pt idx="233">
                  <c:v>0.31806862430148142</c:v>
                </c:pt>
                <c:pt idx="234">
                  <c:v>0.33053018621371222</c:v>
                </c:pt>
                <c:pt idx="235">
                  <c:v>0.3363357402656546</c:v>
                </c:pt>
                <c:pt idx="236">
                  <c:v>0.32652904787752091</c:v>
                </c:pt>
                <c:pt idx="237">
                  <c:v>0.32860951348751222</c:v>
                </c:pt>
                <c:pt idx="238">
                  <c:v>0.34229916194402743</c:v>
                </c:pt>
                <c:pt idx="239">
                  <c:v>0.32485550895307824</c:v>
                </c:pt>
                <c:pt idx="240">
                  <c:v>0.38683019116995965</c:v>
                </c:pt>
                <c:pt idx="241">
                  <c:v>0.36923267625488676</c:v>
                </c:pt>
                <c:pt idx="242">
                  <c:v>0.37280703895293765</c:v>
                </c:pt>
                <c:pt idx="243">
                  <c:v>0.37795377946085718</c:v>
                </c:pt>
                <c:pt idx="244">
                  <c:v>0.37140642226351961</c:v>
                </c:pt>
                <c:pt idx="245">
                  <c:v>0.40031857478854449</c:v>
                </c:pt>
                <c:pt idx="246">
                  <c:v>0.40839847676637886</c:v>
                </c:pt>
                <c:pt idx="247">
                  <c:v>0.39731035140024784</c:v>
                </c:pt>
                <c:pt idx="248">
                  <c:v>0.40554668101567315</c:v>
                </c:pt>
                <c:pt idx="249">
                  <c:v>0.40747038615942599</c:v>
                </c:pt>
                <c:pt idx="250">
                  <c:v>0.39949802861301409</c:v>
                </c:pt>
                <c:pt idx="251">
                  <c:v>0.39188606812086357</c:v>
                </c:pt>
                <c:pt idx="252">
                  <c:v>0.39400125657851914</c:v>
                </c:pt>
                <c:pt idx="253">
                  <c:v>0.39682262740007834</c:v>
                </c:pt>
                <c:pt idx="254">
                  <c:v>0.38179246800804845</c:v>
                </c:pt>
                <c:pt idx="255">
                  <c:v>0.35738193132260965</c:v>
                </c:pt>
                <c:pt idx="256">
                  <c:v>0.38125503550489626</c:v>
                </c:pt>
                <c:pt idx="257">
                  <c:v>0.36646241697685089</c:v>
                </c:pt>
                <c:pt idx="258">
                  <c:v>0.38088101340305514</c:v>
                </c:pt>
                <c:pt idx="259">
                  <c:v>0.36054213273292501</c:v>
                </c:pt>
                <c:pt idx="260">
                  <c:v>0.37601857703262276</c:v>
                </c:pt>
                <c:pt idx="261">
                  <c:v>0.37377300544328573</c:v>
                </c:pt>
                <c:pt idx="262">
                  <c:v>0.37392222628744576</c:v>
                </c:pt>
                <c:pt idx="263">
                  <c:v>0.3876288403712902</c:v>
                </c:pt>
                <c:pt idx="264">
                  <c:v>0.39005355091744875</c:v>
                </c:pt>
                <c:pt idx="265">
                  <c:v>0.38078442598299844</c:v>
                </c:pt>
                <c:pt idx="266">
                  <c:v>0.38817866802484424</c:v>
                </c:pt>
                <c:pt idx="267">
                  <c:v>0.36315192638388893</c:v>
                </c:pt>
                <c:pt idx="268">
                  <c:v>0.3601310714463688</c:v>
                </c:pt>
                <c:pt idx="269">
                  <c:v>0.34722471830002499</c:v>
                </c:pt>
                <c:pt idx="270">
                  <c:v>0.33493814555191692</c:v>
                </c:pt>
                <c:pt idx="271">
                  <c:v>0.33959323847963185</c:v>
                </c:pt>
                <c:pt idx="272">
                  <c:v>0.3387881721627144</c:v>
                </c:pt>
                <c:pt idx="273">
                  <c:v>0.3480679311447763</c:v>
                </c:pt>
                <c:pt idx="274">
                  <c:v>0.34490739459332254</c:v>
                </c:pt>
                <c:pt idx="275">
                  <c:v>0.32133240625417558</c:v>
                </c:pt>
                <c:pt idx="276">
                  <c:v>0.33688995759154894</c:v>
                </c:pt>
                <c:pt idx="277">
                  <c:v>0.34266596295926055</c:v>
                </c:pt>
                <c:pt idx="278">
                  <c:v>0.35285226249525037</c:v>
                </c:pt>
                <c:pt idx="279">
                  <c:v>0.34740316813787264</c:v>
                </c:pt>
                <c:pt idx="280">
                  <c:v>0.34781144819105658</c:v>
                </c:pt>
                <c:pt idx="281">
                  <c:v>0.3433262526630616</c:v>
                </c:pt>
                <c:pt idx="282">
                  <c:v>0.32628656704627912</c:v>
                </c:pt>
                <c:pt idx="283">
                  <c:v>0.31166678120877056</c:v>
                </c:pt>
                <c:pt idx="284">
                  <c:v>0.3229215605866691</c:v>
                </c:pt>
                <c:pt idx="285">
                  <c:v>0.35994562502852312</c:v>
                </c:pt>
                <c:pt idx="286">
                  <c:v>0.34361544711125602</c:v>
                </c:pt>
                <c:pt idx="287">
                  <c:v>0.34523610879359024</c:v>
                </c:pt>
                <c:pt idx="288">
                  <c:v>0.35093347660444252</c:v>
                </c:pt>
                <c:pt idx="289">
                  <c:v>0.34078630674526056</c:v>
                </c:pt>
                <c:pt idx="290">
                  <c:v>0.34564358833597519</c:v>
                </c:pt>
                <c:pt idx="291">
                  <c:v>0.34960761114454186</c:v>
                </c:pt>
                <c:pt idx="292">
                  <c:v>0.3810566362299237</c:v>
                </c:pt>
                <c:pt idx="293">
                  <c:v>0.36732868913480199</c:v>
                </c:pt>
                <c:pt idx="294">
                  <c:v>0.37028415020513927</c:v>
                </c:pt>
                <c:pt idx="295">
                  <c:v>0.3630347796956126</c:v>
                </c:pt>
                <c:pt idx="296">
                  <c:v>0.36720193620952557</c:v>
                </c:pt>
                <c:pt idx="297">
                  <c:v>0.36607700444296909</c:v>
                </c:pt>
                <c:pt idx="298">
                  <c:v>0.37139683797763801</c:v>
                </c:pt>
                <c:pt idx="299">
                  <c:v>0.36230645275593099</c:v>
                </c:pt>
                <c:pt idx="300">
                  <c:v>0.34918071664138361</c:v>
                </c:pt>
                <c:pt idx="301">
                  <c:v>0.36066812031666218</c:v>
                </c:pt>
                <c:pt idx="302">
                  <c:v>0.31729816022210389</c:v>
                </c:pt>
                <c:pt idx="303">
                  <c:v>0.30162666114023118</c:v>
                </c:pt>
                <c:pt idx="304">
                  <c:v>0.30536137823752263</c:v>
                </c:pt>
                <c:pt idx="305">
                  <c:v>0.31524401885520792</c:v>
                </c:pt>
                <c:pt idx="306">
                  <c:v>0.32156140408989109</c:v>
                </c:pt>
                <c:pt idx="307">
                  <c:v>0.31467330314328712</c:v>
                </c:pt>
                <c:pt idx="308">
                  <c:v>0.31364203338414898</c:v>
                </c:pt>
                <c:pt idx="309">
                  <c:v>0.29188770996481317</c:v>
                </c:pt>
                <c:pt idx="310">
                  <c:v>0.29992684773635725</c:v>
                </c:pt>
                <c:pt idx="311">
                  <c:v>0.30054172248083466</c:v>
                </c:pt>
                <c:pt idx="312">
                  <c:v>0.293601478695656</c:v>
                </c:pt>
                <c:pt idx="313">
                  <c:v>0.28306470626202795</c:v>
                </c:pt>
                <c:pt idx="314">
                  <c:v>0.28856624249863949</c:v>
                </c:pt>
                <c:pt idx="315">
                  <c:v>0.28342714525788781</c:v>
                </c:pt>
                <c:pt idx="316">
                  <c:v>0.26874183055534417</c:v>
                </c:pt>
                <c:pt idx="317">
                  <c:v>0.27649609475895143</c:v>
                </c:pt>
                <c:pt idx="318">
                  <c:v>0.27891224885616661</c:v>
                </c:pt>
                <c:pt idx="319">
                  <c:v>0.26297472821422674</c:v>
                </c:pt>
                <c:pt idx="320">
                  <c:v>0.28366947547442711</c:v>
                </c:pt>
                <c:pt idx="321">
                  <c:v>0.30899468449746115</c:v>
                </c:pt>
                <c:pt idx="322">
                  <c:v>0.31438947696665087</c:v>
                </c:pt>
                <c:pt idx="323">
                  <c:v>0.32387150991938718</c:v>
                </c:pt>
                <c:pt idx="324">
                  <c:v>0.32152417589214899</c:v>
                </c:pt>
                <c:pt idx="325">
                  <c:v>0.27293846490311546</c:v>
                </c:pt>
                <c:pt idx="326">
                  <c:v>0.27976828115125185</c:v>
                </c:pt>
                <c:pt idx="327">
                  <c:v>0.2764445379071101</c:v>
                </c:pt>
                <c:pt idx="328">
                  <c:v>0.28539161452602624</c:v>
                </c:pt>
                <c:pt idx="329">
                  <c:v>0.28485129027097655</c:v>
                </c:pt>
                <c:pt idx="330">
                  <c:v>0.29833916995430942</c:v>
                </c:pt>
                <c:pt idx="331">
                  <c:v>0.30360295468960308</c:v>
                </c:pt>
                <c:pt idx="332">
                  <c:v>0.29758538498096199</c:v>
                </c:pt>
                <c:pt idx="333">
                  <c:v>0.30237634413071546</c:v>
                </c:pt>
                <c:pt idx="334">
                  <c:v>0.28666402710383632</c:v>
                </c:pt>
                <c:pt idx="335">
                  <c:v>0.28614202981470882</c:v>
                </c:pt>
                <c:pt idx="336">
                  <c:v>0.27058670056586309</c:v>
                </c:pt>
                <c:pt idx="337">
                  <c:v>0.28517698411918158</c:v>
                </c:pt>
                <c:pt idx="338">
                  <c:v>0.29680838080805194</c:v>
                </c:pt>
                <c:pt idx="339">
                  <c:v>0.31529875116586181</c:v>
                </c:pt>
                <c:pt idx="340">
                  <c:v>0.29164856236511438</c:v>
                </c:pt>
                <c:pt idx="341">
                  <c:v>0.30206786491727566</c:v>
                </c:pt>
                <c:pt idx="342">
                  <c:v>0.32212957305752621</c:v>
                </c:pt>
                <c:pt idx="343">
                  <c:v>0.28952663850804905</c:v>
                </c:pt>
                <c:pt idx="344">
                  <c:v>0.30390981760090541</c:v>
                </c:pt>
                <c:pt idx="345">
                  <c:v>0.31588754927209894</c:v>
                </c:pt>
                <c:pt idx="346">
                  <c:v>0.33440902082551438</c:v>
                </c:pt>
                <c:pt idx="347">
                  <c:v>0.3267706537996824</c:v>
                </c:pt>
                <c:pt idx="348">
                  <c:v>0.29414503904321054</c:v>
                </c:pt>
                <c:pt idx="349">
                  <c:v>0.30733903182319899</c:v>
                </c:pt>
                <c:pt idx="350">
                  <c:v>0.32654266333947368</c:v>
                </c:pt>
                <c:pt idx="351">
                  <c:v>0.33849165095399414</c:v>
                </c:pt>
                <c:pt idx="352">
                  <c:v>0.37066369806335353</c:v>
                </c:pt>
                <c:pt idx="353">
                  <c:v>0.37919071297189855</c:v>
                </c:pt>
                <c:pt idx="354">
                  <c:v>0.36770112635433483</c:v>
                </c:pt>
                <c:pt idx="355">
                  <c:v>0.36935253872001828</c:v>
                </c:pt>
                <c:pt idx="356">
                  <c:v>0.35376355151288608</c:v>
                </c:pt>
                <c:pt idx="357">
                  <c:v>0.28780896629752695</c:v>
                </c:pt>
                <c:pt idx="358">
                  <c:v>0.27941941787773406</c:v>
                </c:pt>
                <c:pt idx="359">
                  <c:v>0.2866218418460611</c:v>
                </c:pt>
                <c:pt idx="360">
                  <c:v>0.27723650843679515</c:v>
                </c:pt>
                <c:pt idx="361">
                  <c:v>0.27007506514458557</c:v>
                </c:pt>
                <c:pt idx="362">
                  <c:v>0.26760921617986999</c:v>
                </c:pt>
                <c:pt idx="363">
                  <c:v>0.2606431878429234</c:v>
                </c:pt>
                <c:pt idx="364">
                  <c:v>0.26182176427439852</c:v>
                </c:pt>
                <c:pt idx="365">
                  <c:v>0.24935109633106678</c:v>
                </c:pt>
                <c:pt idx="366">
                  <c:v>0.24273537075305551</c:v>
                </c:pt>
                <c:pt idx="367">
                  <c:v>0.2539467926850385</c:v>
                </c:pt>
                <c:pt idx="368">
                  <c:v>0.25103387407675104</c:v>
                </c:pt>
                <c:pt idx="369">
                  <c:v>0.25433923347634924</c:v>
                </c:pt>
                <c:pt idx="370">
                  <c:v>0.27246808852632221</c:v>
                </c:pt>
                <c:pt idx="371">
                  <c:v>0.24594196772621268</c:v>
                </c:pt>
                <c:pt idx="372">
                  <c:v>0.19476923590434181</c:v>
                </c:pt>
                <c:pt idx="373">
                  <c:v>0.17676295300491862</c:v>
                </c:pt>
                <c:pt idx="374">
                  <c:v>0.1976785602694624</c:v>
                </c:pt>
                <c:pt idx="375">
                  <c:v>0.20401796132162908</c:v>
                </c:pt>
                <c:pt idx="376">
                  <c:v>0.20088216900857225</c:v>
                </c:pt>
                <c:pt idx="377">
                  <c:v>0.18471676827459937</c:v>
                </c:pt>
                <c:pt idx="378">
                  <c:v>0.18050955953200765</c:v>
                </c:pt>
                <c:pt idx="379">
                  <c:v>0.19463381683149206</c:v>
                </c:pt>
                <c:pt idx="380">
                  <c:v>0.18246830915388035</c:v>
                </c:pt>
                <c:pt idx="381">
                  <c:v>0.18765753511254823</c:v>
                </c:pt>
                <c:pt idx="382">
                  <c:v>0.18478690604503845</c:v>
                </c:pt>
                <c:pt idx="383">
                  <c:v>0.19068395795287807</c:v>
                </c:pt>
                <c:pt idx="384">
                  <c:v>0.18601513803840541</c:v>
                </c:pt>
                <c:pt idx="385">
                  <c:v>0.20183388131809443</c:v>
                </c:pt>
                <c:pt idx="386">
                  <c:v>0.21063853393642407</c:v>
                </c:pt>
                <c:pt idx="387">
                  <c:v>0.21225587619762121</c:v>
                </c:pt>
                <c:pt idx="388">
                  <c:v>0.23951015940852471</c:v>
                </c:pt>
                <c:pt idx="389">
                  <c:v>0.24036619077926291</c:v>
                </c:pt>
                <c:pt idx="390">
                  <c:v>0.236486373229158</c:v>
                </c:pt>
                <c:pt idx="391">
                  <c:v>0.20793715962970216</c:v>
                </c:pt>
                <c:pt idx="392">
                  <c:v>0.21489654597029628</c:v>
                </c:pt>
                <c:pt idx="393">
                  <c:v>0.19477538342517686</c:v>
                </c:pt>
                <c:pt idx="394">
                  <c:v>0.1952470710486558</c:v>
                </c:pt>
                <c:pt idx="395">
                  <c:v>0.20285642903970613</c:v>
                </c:pt>
                <c:pt idx="396">
                  <c:v>0.19170263627145001</c:v>
                </c:pt>
                <c:pt idx="397">
                  <c:v>0.16232537092120669</c:v>
                </c:pt>
                <c:pt idx="398">
                  <c:v>0.17846241490492876</c:v>
                </c:pt>
                <c:pt idx="399">
                  <c:v>0.17437156537389509</c:v>
                </c:pt>
                <c:pt idx="400">
                  <c:v>0.16124969300754932</c:v>
                </c:pt>
                <c:pt idx="401">
                  <c:v>0.16744364219287244</c:v>
                </c:pt>
                <c:pt idx="402">
                  <c:v>0.17687698012518216</c:v>
                </c:pt>
                <c:pt idx="403">
                  <c:v>0.18514093039969337</c:v>
                </c:pt>
                <c:pt idx="404">
                  <c:v>0.1949061427739176</c:v>
                </c:pt>
                <c:pt idx="405">
                  <c:v>0.19380376926682397</c:v>
                </c:pt>
                <c:pt idx="406">
                  <c:v>0.21469602456296522</c:v>
                </c:pt>
                <c:pt idx="407">
                  <c:v>0.22290681754684827</c:v>
                </c:pt>
                <c:pt idx="408">
                  <c:v>0.23130347075930335</c:v>
                </c:pt>
                <c:pt idx="409">
                  <c:v>0.24098915018458467</c:v>
                </c:pt>
                <c:pt idx="410">
                  <c:v>0.24209080471853994</c:v>
                </c:pt>
                <c:pt idx="411">
                  <c:v>0.22361015679756346</c:v>
                </c:pt>
                <c:pt idx="412">
                  <c:v>0.22620808111453616</c:v>
                </c:pt>
                <c:pt idx="413">
                  <c:v>0.25396179214159043</c:v>
                </c:pt>
                <c:pt idx="414">
                  <c:v>0.26393996013181087</c:v>
                </c:pt>
                <c:pt idx="415">
                  <c:v>0.26311103483700693</c:v>
                </c:pt>
                <c:pt idx="416">
                  <c:v>0.27646037248255517</c:v>
                </c:pt>
                <c:pt idx="417">
                  <c:v>0.35117149330365716</c:v>
                </c:pt>
                <c:pt idx="418">
                  <c:v>0.35785558934650674</c:v>
                </c:pt>
                <c:pt idx="419">
                  <c:v>0.34404987571938572</c:v>
                </c:pt>
                <c:pt idx="420">
                  <c:v>0.33058673933643523</c:v>
                </c:pt>
                <c:pt idx="421">
                  <c:v>0.34742573637361662</c:v>
                </c:pt>
                <c:pt idx="422">
                  <c:v>0.41579151435100536</c:v>
                </c:pt>
                <c:pt idx="423">
                  <c:v>0.41097682162881921</c:v>
                </c:pt>
                <c:pt idx="424">
                  <c:v>0.43239936495309683</c:v>
                </c:pt>
                <c:pt idx="425">
                  <c:v>0.43731423755573751</c:v>
                </c:pt>
                <c:pt idx="426">
                  <c:v>0.44386174718198079</c:v>
                </c:pt>
                <c:pt idx="427">
                  <c:v>0.43708777225661821</c:v>
                </c:pt>
                <c:pt idx="428">
                  <c:v>0.42363753263828197</c:v>
                </c:pt>
                <c:pt idx="429">
                  <c:v>0.41637602424368581</c:v>
                </c:pt>
                <c:pt idx="430">
                  <c:v>0.40272662080346655</c:v>
                </c:pt>
                <c:pt idx="431">
                  <c:v>0.40363053438375962</c:v>
                </c:pt>
                <c:pt idx="432">
                  <c:v>0.3912407821625794</c:v>
                </c:pt>
                <c:pt idx="433">
                  <c:v>0.39111219986187229</c:v>
                </c:pt>
                <c:pt idx="434">
                  <c:v>0.40029987158468816</c:v>
                </c:pt>
                <c:pt idx="435">
                  <c:v>0.41406149589837749</c:v>
                </c:pt>
                <c:pt idx="436">
                  <c:v>0.41503673263274798</c:v>
                </c:pt>
                <c:pt idx="437">
                  <c:v>0.40591970825866541</c:v>
                </c:pt>
                <c:pt idx="438">
                  <c:v>0.40729821588176152</c:v>
                </c:pt>
                <c:pt idx="439">
                  <c:v>0.40291133457313943</c:v>
                </c:pt>
                <c:pt idx="440">
                  <c:v>0.40467221643495099</c:v>
                </c:pt>
                <c:pt idx="441">
                  <c:v>0.41428514490910451</c:v>
                </c:pt>
                <c:pt idx="442">
                  <c:v>0.44307207559258921</c:v>
                </c:pt>
                <c:pt idx="443">
                  <c:v>0.44484610059793961</c:v>
                </c:pt>
                <c:pt idx="444">
                  <c:v>0.41679742071726977</c:v>
                </c:pt>
                <c:pt idx="445">
                  <c:v>0.40639806975341752</c:v>
                </c:pt>
                <c:pt idx="446">
                  <c:v>0.42796451070635566</c:v>
                </c:pt>
                <c:pt idx="447">
                  <c:v>0.43050196216573311</c:v>
                </c:pt>
                <c:pt idx="448">
                  <c:v>0.43070629607554101</c:v>
                </c:pt>
                <c:pt idx="449">
                  <c:v>0.44992453002294996</c:v>
                </c:pt>
                <c:pt idx="450">
                  <c:v>0.43510613307591361</c:v>
                </c:pt>
                <c:pt idx="451">
                  <c:v>0.43505272762960123</c:v>
                </c:pt>
                <c:pt idx="452">
                  <c:v>0.42892970015815335</c:v>
                </c:pt>
                <c:pt idx="453">
                  <c:v>0.4233524256136294</c:v>
                </c:pt>
                <c:pt idx="454">
                  <c:v>0.43047066005777546</c:v>
                </c:pt>
                <c:pt idx="455">
                  <c:v>0.43057122380204715</c:v>
                </c:pt>
                <c:pt idx="456">
                  <c:v>0.4340498796865897</c:v>
                </c:pt>
                <c:pt idx="457">
                  <c:v>0.4298804482580989</c:v>
                </c:pt>
                <c:pt idx="458">
                  <c:v>0.42613059176304802</c:v>
                </c:pt>
                <c:pt idx="459">
                  <c:v>0.41525100600358167</c:v>
                </c:pt>
                <c:pt idx="460">
                  <c:v>0.42183340404368908</c:v>
                </c:pt>
                <c:pt idx="461">
                  <c:v>0.43085619362750727</c:v>
                </c:pt>
                <c:pt idx="462">
                  <c:v>0.4226705551169545</c:v>
                </c:pt>
                <c:pt idx="463">
                  <c:v>0.3936540327182434</c:v>
                </c:pt>
                <c:pt idx="464">
                  <c:v>0.40418854739062726</c:v>
                </c:pt>
                <c:pt idx="465">
                  <c:v>0.39873461148183442</c:v>
                </c:pt>
                <c:pt idx="466">
                  <c:v>0.39177671298629613</c:v>
                </c:pt>
                <c:pt idx="467">
                  <c:v>0.39635743363003995</c:v>
                </c:pt>
                <c:pt idx="468">
                  <c:v>0.4263892599474699</c:v>
                </c:pt>
                <c:pt idx="469">
                  <c:v>0.41985633066390515</c:v>
                </c:pt>
                <c:pt idx="470">
                  <c:v>0.41556793302011075</c:v>
                </c:pt>
                <c:pt idx="471">
                  <c:v>0.42578604790269425</c:v>
                </c:pt>
                <c:pt idx="472">
                  <c:v>0.4313550994678963</c:v>
                </c:pt>
                <c:pt idx="473">
                  <c:v>0.42582953675324142</c:v>
                </c:pt>
                <c:pt idx="474">
                  <c:v>0.4436101919155353</c:v>
                </c:pt>
                <c:pt idx="475">
                  <c:v>0.42954338237082768</c:v>
                </c:pt>
                <c:pt idx="476">
                  <c:v>0.43478774658763109</c:v>
                </c:pt>
                <c:pt idx="477">
                  <c:v>0.42222648268979768</c:v>
                </c:pt>
                <c:pt idx="478">
                  <c:v>0.4304008373513859</c:v>
                </c:pt>
                <c:pt idx="479">
                  <c:v>0.4293499027262333</c:v>
                </c:pt>
                <c:pt idx="480">
                  <c:v>0.41232921056163496</c:v>
                </c:pt>
                <c:pt idx="481">
                  <c:v>0.41293566973150475</c:v>
                </c:pt>
                <c:pt idx="482">
                  <c:v>0.42579213066292287</c:v>
                </c:pt>
                <c:pt idx="483">
                  <c:v>0.43576348757546191</c:v>
                </c:pt>
                <c:pt idx="484">
                  <c:v>0.43099530214807058</c:v>
                </c:pt>
                <c:pt idx="485">
                  <c:v>0.4009939700892855</c:v>
                </c:pt>
                <c:pt idx="486">
                  <c:v>0.38873505508960071</c:v>
                </c:pt>
                <c:pt idx="487">
                  <c:v>0.37807822484138942</c:v>
                </c:pt>
                <c:pt idx="488">
                  <c:v>0.38288221178676496</c:v>
                </c:pt>
                <c:pt idx="489">
                  <c:v>0.3934754585846949</c:v>
                </c:pt>
                <c:pt idx="490">
                  <c:v>0.38771850303354971</c:v>
                </c:pt>
                <c:pt idx="491">
                  <c:v>0.36412688938795346</c:v>
                </c:pt>
                <c:pt idx="492">
                  <c:v>0.33439753704158126</c:v>
                </c:pt>
                <c:pt idx="493">
                  <c:v>0.32912705841358592</c:v>
                </c:pt>
                <c:pt idx="494">
                  <c:v>0.3237968895076393</c:v>
                </c:pt>
                <c:pt idx="495">
                  <c:v>0.30439964002622766</c:v>
                </c:pt>
                <c:pt idx="496">
                  <c:v>0.30885448062426302</c:v>
                </c:pt>
                <c:pt idx="497">
                  <c:v>0.28932109744189427</c:v>
                </c:pt>
                <c:pt idx="498">
                  <c:v>0.28984862816643764</c:v>
                </c:pt>
                <c:pt idx="499">
                  <c:v>0.27611496645168643</c:v>
                </c:pt>
                <c:pt idx="500">
                  <c:v>0.26717364249484854</c:v>
                </c:pt>
                <c:pt idx="501">
                  <c:v>0.263800301977829</c:v>
                </c:pt>
                <c:pt idx="502">
                  <c:v>0.24305785005243208</c:v>
                </c:pt>
                <c:pt idx="503">
                  <c:v>0.16443873909474571</c:v>
                </c:pt>
                <c:pt idx="504">
                  <c:v>0.19158854303156558</c:v>
                </c:pt>
                <c:pt idx="505">
                  <c:v>0.2190878876508946</c:v>
                </c:pt>
                <c:pt idx="506">
                  <c:v>0.23823825180818448</c:v>
                </c:pt>
                <c:pt idx="507">
                  <c:v>0.22749541668715256</c:v>
                </c:pt>
                <c:pt idx="508">
                  <c:v>0.24546092071102699</c:v>
                </c:pt>
                <c:pt idx="509">
                  <c:v>0.25000393866356396</c:v>
                </c:pt>
                <c:pt idx="510">
                  <c:v>0.25972502636371164</c:v>
                </c:pt>
                <c:pt idx="511">
                  <c:v>0.28000922712583431</c:v>
                </c:pt>
                <c:pt idx="512">
                  <c:v>0.27536531287527732</c:v>
                </c:pt>
                <c:pt idx="513">
                  <c:v>0.2631124131875453</c:v>
                </c:pt>
                <c:pt idx="514">
                  <c:v>0.28816646537515189</c:v>
                </c:pt>
                <c:pt idx="515">
                  <c:v>0.28937383077812062</c:v>
                </c:pt>
                <c:pt idx="516">
                  <c:v>0.26605840177638207</c:v>
                </c:pt>
                <c:pt idx="517">
                  <c:v>0.26920761972377871</c:v>
                </c:pt>
                <c:pt idx="518">
                  <c:v>0.26789741209279883</c:v>
                </c:pt>
                <c:pt idx="519">
                  <c:v>0.25612153208491573</c:v>
                </c:pt>
                <c:pt idx="520">
                  <c:v>0.27275964484637072</c:v>
                </c:pt>
                <c:pt idx="521">
                  <c:v>0.27743071305545963</c:v>
                </c:pt>
                <c:pt idx="522">
                  <c:v>0.32158755106764181</c:v>
                </c:pt>
                <c:pt idx="523">
                  <c:v>0.37154893629396235</c:v>
                </c:pt>
                <c:pt idx="524">
                  <c:v>0.38057103130533831</c:v>
                </c:pt>
                <c:pt idx="525">
                  <c:v>0.41172455937309471</c:v>
                </c:pt>
                <c:pt idx="526">
                  <c:v>0.37302348722786061</c:v>
                </c:pt>
                <c:pt idx="527">
                  <c:v>0.39494509320024451</c:v>
                </c:pt>
                <c:pt idx="528">
                  <c:v>0.39338745444564394</c:v>
                </c:pt>
                <c:pt idx="529">
                  <c:v>0.38350247048789687</c:v>
                </c:pt>
                <c:pt idx="530">
                  <c:v>0.40047039084465985</c:v>
                </c:pt>
                <c:pt idx="531">
                  <c:v>0.38849830898586291</c:v>
                </c:pt>
                <c:pt idx="532">
                  <c:v>0.38695240077992454</c:v>
                </c:pt>
                <c:pt idx="533">
                  <c:v>0.3632303512940358</c:v>
                </c:pt>
                <c:pt idx="534">
                  <c:v>0.36847902384025621</c:v>
                </c:pt>
                <c:pt idx="535">
                  <c:v>0.38935506850393664</c:v>
                </c:pt>
                <c:pt idx="536">
                  <c:v>0.38761902902416923</c:v>
                </c:pt>
                <c:pt idx="537">
                  <c:v>0.38419236762801545</c:v>
                </c:pt>
                <c:pt idx="538">
                  <c:v>0.37245548638984594</c:v>
                </c:pt>
                <c:pt idx="539">
                  <c:v>0.36088693325640953</c:v>
                </c:pt>
                <c:pt idx="540">
                  <c:v>0.4476118417673407</c:v>
                </c:pt>
                <c:pt idx="541">
                  <c:v>0.4612304246930039</c:v>
                </c:pt>
                <c:pt idx="542">
                  <c:v>0.45561264755634867</c:v>
                </c:pt>
                <c:pt idx="543">
                  <c:v>0.48291031773789905</c:v>
                </c:pt>
                <c:pt idx="544">
                  <c:v>0.47823083596333937</c:v>
                </c:pt>
                <c:pt idx="545">
                  <c:v>0.47861393848378397</c:v>
                </c:pt>
                <c:pt idx="546">
                  <c:v>0.47331509188459187</c:v>
                </c:pt>
                <c:pt idx="547">
                  <c:v>0.47610618385172421</c:v>
                </c:pt>
                <c:pt idx="548">
                  <c:v>0.45727386733641318</c:v>
                </c:pt>
                <c:pt idx="549">
                  <c:v>0.44428032030321507</c:v>
                </c:pt>
                <c:pt idx="550">
                  <c:v>0.44533697546186035</c:v>
                </c:pt>
                <c:pt idx="551">
                  <c:v>0.45626269730968905</c:v>
                </c:pt>
                <c:pt idx="552">
                  <c:v>0.46515291517428037</c:v>
                </c:pt>
                <c:pt idx="553">
                  <c:v>0.46411167356785032</c:v>
                </c:pt>
                <c:pt idx="554">
                  <c:v>0.45239182857502414</c:v>
                </c:pt>
                <c:pt idx="555">
                  <c:v>0.45696608040542142</c:v>
                </c:pt>
                <c:pt idx="556">
                  <c:v>0.46463891115077471</c:v>
                </c:pt>
                <c:pt idx="557">
                  <c:v>0.44869219586730091</c:v>
                </c:pt>
                <c:pt idx="558">
                  <c:v>0.43423040438105187</c:v>
                </c:pt>
                <c:pt idx="559">
                  <c:v>0.41300712940821116</c:v>
                </c:pt>
                <c:pt idx="560">
                  <c:v>0.4226767722052529</c:v>
                </c:pt>
                <c:pt idx="561">
                  <c:v>0.42122518868466252</c:v>
                </c:pt>
                <c:pt idx="562">
                  <c:v>0.40387142000215404</c:v>
                </c:pt>
                <c:pt idx="563">
                  <c:v>0.39786188767476682</c:v>
                </c:pt>
                <c:pt idx="564">
                  <c:v>0.39861633988249157</c:v>
                </c:pt>
                <c:pt idx="565">
                  <c:v>0.40475545602110796</c:v>
                </c:pt>
                <c:pt idx="566">
                  <c:v>0.39653931713527335</c:v>
                </c:pt>
                <c:pt idx="567">
                  <c:v>0.39344921054244453</c:v>
                </c:pt>
                <c:pt idx="568">
                  <c:v>0.38014474426691969</c:v>
                </c:pt>
                <c:pt idx="569">
                  <c:v>0.37301241877449853</c:v>
                </c:pt>
                <c:pt idx="570">
                  <c:v>0.3903577662987372</c:v>
                </c:pt>
                <c:pt idx="571">
                  <c:v>0.38152881904858371</c:v>
                </c:pt>
                <c:pt idx="572">
                  <c:v>0.37208112899759738</c:v>
                </c:pt>
                <c:pt idx="573">
                  <c:v>0.37425075734254976</c:v>
                </c:pt>
                <c:pt idx="574">
                  <c:v>0.3734109298964432</c:v>
                </c:pt>
                <c:pt idx="575">
                  <c:v>0.37100256040697444</c:v>
                </c:pt>
                <c:pt idx="576">
                  <c:v>0.38995835094423281</c:v>
                </c:pt>
                <c:pt idx="577">
                  <c:v>0.39670835839774643</c:v>
                </c:pt>
                <c:pt idx="578">
                  <c:v>0.35775436081402101</c:v>
                </c:pt>
                <c:pt idx="579">
                  <c:v>0.35514045138431238</c:v>
                </c:pt>
                <c:pt idx="580">
                  <c:v>0.3809388788253345</c:v>
                </c:pt>
                <c:pt idx="581">
                  <c:v>0.37502715701058831</c:v>
                </c:pt>
                <c:pt idx="582">
                  <c:v>0.36016220250841102</c:v>
                </c:pt>
                <c:pt idx="583">
                  <c:v>0.34534460607629436</c:v>
                </c:pt>
                <c:pt idx="584">
                  <c:v>0.3489133160674347</c:v>
                </c:pt>
                <c:pt idx="585">
                  <c:v>0.36591928067550206</c:v>
                </c:pt>
                <c:pt idx="586">
                  <c:v>0.35204893974949547</c:v>
                </c:pt>
                <c:pt idx="587">
                  <c:v>0.36160030701419421</c:v>
                </c:pt>
                <c:pt idx="588">
                  <c:v>0.35828287391851354</c:v>
                </c:pt>
                <c:pt idx="589">
                  <c:v>0.36066317366375555</c:v>
                </c:pt>
                <c:pt idx="590">
                  <c:v>0.37301854299866966</c:v>
                </c:pt>
                <c:pt idx="591">
                  <c:v>0.3583542976990195</c:v>
                </c:pt>
                <c:pt idx="592">
                  <c:v>0.34983831799688581</c:v>
                </c:pt>
                <c:pt idx="593">
                  <c:v>0.35268246980659468</c:v>
                </c:pt>
                <c:pt idx="594">
                  <c:v>0.36795460118876111</c:v>
                </c:pt>
                <c:pt idx="595">
                  <c:v>0.35289818099550452</c:v>
                </c:pt>
                <c:pt idx="596">
                  <c:v>0.34845121621912978</c:v>
                </c:pt>
                <c:pt idx="597">
                  <c:v>0.350594274075269</c:v>
                </c:pt>
                <c:pt idx="598">
                  <c:v>0.37636303831326012</c:v>
                </c:pt>
                <c:pt idx="599">
                  <c:v>0.37736028542266542</c:v>
                </c:pt>
                <c:pt idx="600">
                  <c:v>0.37363226203881306</c:v>
                </c:pt>
                <c:pt idx="601">
                  <c:v>0.39838447506995389</c:v>
                </c:pt>
                <c:pt idx="602">
                  <c:v>0.42119455127461447</c:v>
                </c:pt>
                <c:pt idx="603">
                  <c:v>0.4493639681848991</c:v>
                </c:pt>
                <c:pt idx="604">
                  <c:v>0.46768555986493987</c:v>
                </c:pt>
                <c:pt idx="605">
                  <c:v>0.48488142657082012</c:v>
                </c:pt>
                <c:pt idx="606">
                  <c:v>0.48138317546309461</c:v>
                </c:pt>
                <c:pt idx="607">
                  <c:v>0.48927418507801246</c:v>
                </c:pt>
                <c:pt idx="608">
                  <c:v>0.48552227500796885</c:v>
                </c:pt>
                <c:pt idx="609">
                  <c:v>0.50128363616572624</c:v>
                </c:pt>
                <c:pt idx="610">
                  <c:v>0.49796778412022968</c:v>
                </c:pt>
                <c:pt idx="611">
                  <c:v>0.51315047971544359</c:v>
                </c:pt>
                <c:pt idx="612">
                  <c:v>0.50429018999975783</c:v>
                </c:pt>
                <c:pt idx="613">
                  <c:v>0.50710298673269416</c:v>
                </c:pt>
                <c:pt idx="614">
                  <c:v>0.49949291365059123</c:v>
                </c:pt>
                <c:pt idx="615">
                  <c:v>0.49920512348878887</c:v>
                </c:pt>
                <c:pt idx="616">
                  <c:v>0.50543165311099369</c:v>
                </c:pt>
                <c:pt idx="617">
                  <c:v>0.47056487241229727</c:v>
                </c:pt>
                <c:pt idx="618">
                  <c:v>0.47641513715208506</c:v>
                </c:pt>
                <c:pt idx="619">
                  <c:v>0.46843601230919107</c:v>
                </c:pt>
                <c:pt idx="620">
                  <c:v>0.46600066294329134</c:v>
                </c:pt>
                <c:pt idx="621">
                  <c:v>0.46654609277015724</c:v>
                </c:pt>
                <c:pt idx="622">
                  <c:v>0.46263451328050276</c:v>
                </c:pt>
                <c:pt idx="623">
                  <c:v>0.46268474973982898</c:v>
                </c:pt>
                <c:pt idx="624">
                  <c:v>0.46062418388085447</c:v>
                </c:pt>
                <c:pt idx="625">
                  <c:v>0.4783502044131831</c:v>
                </c:pt>
                <c:pt idx="626">
                  <c:v>0.46583148932019625</c:v>
                </c:pt>
                <c:pt idx="627">
                  <c:v>0.48191005898568728</c:v>
                </c:pt>
                <c:pt idx="628">
                  <c:v>0.48408101825625316</c:v>
                </c:pt>
                <c:pt idx="629">
                  <c:v>0.5034126382754831</c:v>
                </c:pt>
                <c:pt idx="630">
                  <c:v>0.49523910728483345</c:v>
                </c:pt>
                <c:pt idx="631">
                  <c:v>0.50259262958022988</c:v>
                </c:pt>
                <c:pt idx="632">
                  <c:v>0.50785578892179051</c:v>
                </c:pt>
                <c:pt idx="633">
                  <c:v>0.48926997387974147</c:v>
                </c:pt>
                <c:pt idx="634">
                  <c:v>0.49675616714478221</c:v>
                </c:pt>
                <c:pt idx="635">
                  <c:v>0.49080898816101293</c:v>
                </c:pt>
                <c:pt idx="636">
                  <c:v>0.48884111663648788</c:v>
                </c:pt>
                <c:pt idx="637">
                  <c:v>0.52108872747757928</c:v>
                </c:pt>
                <c:pt idx="638">
                  <c:v>0.51773223359531295</c:v>
                </c:pt>
                <c:pt idx="639">
                  <c:v>0.5310926263961675</c:v>
                </c:pt>
                <c:pt idx="640">
                  <c:v>0.52934095229711575</c:v>
                </c:pt>
                <c:pt idx="641">
                  <c:v>0.52858127069178051</c:v>
                </c:pt>
                <c:pt idx="642">
                  <c:v>0.5537798222524537</c:v>
                </c:pt>
                <c:pt idx="643">
                  <c:v>0.55954538762379347</c:v>
                </c:pt>
                <c:pt idx="644">
                  <c:v>0.5729618446359368</c:v>
                </c:pt>
                <c:pt idx="645">
                  <c:v>0.58900034120741473</c:v>
                </c:pt>
                <c:pt idx="646">
                  <c:v>0.57462669510960906</c:v>
                </c:pt>
                <c:pt idx="647">
                  <c:v>0.56547500217450142</c:v>
                </c:pt>
                <c:pt idx="648">
                  <c:v>0.56971353192469065</c:v>
                </c:pt>
                <c:pt idx="649">
                  <c:v>0.57095756415206056</c:v>
                </c:pt>
                <c:pt idx="650">
                  <c:v>0.55776479403410106</c:v>
                </c:pt>
                <c:pt idx="651">
                  <c:v>0.56762477370552067</c:v>
                </c:pt>
                <c:pt idx="652">
                  <c:v>0.5813824949578219</c:v>
                </c:pt>
                <c:pt idx="653">
                  <c:v>0.60668601310368775</c:v>
                </c:pt>
                <c:pt idx="654">
                  <c:v>0.58848176903554927</c:v>
                </c:pt>
                <c:pt idx="655">
                  <c:v>0.60562739972404467</c:v>
                </c:pt>
                <c:pt idx="656">
                  <c:v>0.58171312842349443</c:v>
                </c:pt>
                <c:pt idx="657">
                  <c:v>0.55744973969409917</c:v>
                </c:pt>
                <c:pt idx="658">
                  <c:v>0.5558269467921928</c:v>
                </c:pt>
                <c:pt idx="659">
                  <c:v>0.53808190217947516</c:v>
                </c:pt>
                <c:pt idx="660">
                  <c:v>0.55495851002901531</c:v>
                </c:pt>
                <c:pt idx="661">
                  <c:v>0.53927028317457082</c:v>
                </c:pt>
                <c:pt idx="662">
                  <c:v>0.51267661405176335</c:v>
                </c:pt>
                <c:pt idx="663">
                  <c:v>0.52250115116701523</c:v>
                </c:pt>
                <c:pt idx="664">
                  <c:v>0.51938731387335135</c:v>
                </c:pt>
                <c:pt idx="665">
                  <c:v>0.52035456414269277</c:v>
                </c:pt>
                <c:pt idx="666">
                  <c:v>0.56343209382271087</c:v>
                </c:pt>
                <c:pt idx="667">
                  <c:v>0.55795987095514077</c:v>
                </c:pt>
                <c:pt idx="668">
                  <c:v>0.56435085320251321</c:v>
                </c:pt>
                <c:pt idx="669">
                  <c:v>0.56892359724927721</c:v>
                </c:pt>
                <c:pt idx="670">
                  <c:v>0.59697381442970587</c:v>
                </c:pt>
                <c:pt idx="671">
                  <c:v>0.54870981124174723</c:v>
                </c:pt>
                <c:pt idx="672">
                  <c:v>0.56293118963738409</c:v>
                </c:pt>
                <c:pt idx="673">
                  <c:v>0.54974940403100137</c:v>
                </c:pt>
                <c:pt idx="674">
                  <c:v>0.56486344641169484</c:v>
                </c:pt>
                <c:pt idx="675">
                  <c:v>0.56072592072347027</c:v>
                </c:pt>
                <c:pt idx="676">
                  <c:v>0.54969609246963613</c:v>
                </c:pt>
                <c:pt idx="677">
                  <c:v>0.50180988753687883</c:v>
                </c:pt>
                <c:pt idx="678">
                  <c:v>0.4969299430386227</c:v>
                </c:pt>
                <c:pt idx="679">
                  <c:v>0.51734519217221875</c:v>
                </c:pt>
                <c:pt idx="680">
                  <c:v>0.52579267460514334</c:v>
                </c:pt>
                <c:pt idx="681">
                  <c:v>0.53461980298321832</c:v>
                </c:pt>
                <c:pt idx="682">
                  <c:v>0.56741414066140594</c:v>
                </c:pt>
                <c:pt idx="683">
                  <c:v>0.5430787053788817</c:v>
                </c:pt>
                <c:pt idx="684">
                  <c:v>0.53662241871179628</c:v>
                </c:pt>
                <c:pt idx="685">
                  <c:v>0.54320201441660787</c:v>
                </c:pt>
                <c:pt idx="686">
                  <c:v>0.53674295490461876</c:v>
                </c:pt>
                <c:pt idx="687">
                  <c:v>0.53916116154902394</c:v>
                </c:pt>
                <c:pt idx="688">
                  <c:v>0.5149789266616025</c:v>
                </c:pt>
                <c:pt idx="689">
                  <c:v>0.51833578640459521</c:v>
                </c:pt>
                <c:pt idx="690">
                  <c:v>0.52206301965920421</c:v>
                </c:pt>
                <c:pt idx="691">
                  <c:v>0.53655581361506011</c:v>
                </c:pt>
                <c:pt idx="692">
                  <c:v>0.54801390538905226</c:v>
                </c:pt>
                <c:pt idx="693">
                  <c:v>0.57457602969589261</c:v>
                </c:pt>
                <c:pt idx="694">
                  <c:v>0.55255644401708359</c:v>
                </c:pt>
                <c:pt idx="695">
                  <c:v>0.55270604911073962</c:v>
                </c:pt>
                <c:pt idx="696">
                  <c:v>0.53524771339809596</c:v>
                </c:pt>
                <c:pt idx="697">
                  <c:v>0.51715614815044608</c:v>
                </c:pt>
                <c:pt idx="698">
                  <c:v>0.52196107732464703</c:v>
                </c:pt>
                <c:pt idx="699">
                  <c:v>0.50199877017013517</c:v>
                </c:pt>
                <c:pt idx="700">
                  <c:v>0.46187827058592412</c:v>
                </c:pt>
                <c:pt idx="701">
                  <c:v>0.47753973860458876</c:v>
                </c:pt>
                <c:pt idx="702">
                  <c:v>0.48903547783927181</c:v>
                </c:pt>
                <c:pt idx="703">
                  <c:v>0.47930488886426992</c:v>
                </c:pt>
                <c:pt idx="704">
                  <c:v>0.48157508593054854</c:v>
                </c:pt>
                <c:pt idx="705">
                  <c:v>0.48270575415355021</c:v>
                </c:pt>
                <c:pt idx="706">
                  <c:v>0.47683478383760702</c:v>
                </c:pt>
                <c:pt idx="707">
                  <c:v>0.47774943818363713</c:v>
                </c:pt>
                <c:pt idx="708">
                  <c:v>0.46217933119168375</c:v>
                </c:pt>
                <c:pt idx="709">
                  <c:v>0.45575084444040437</c:v>
                </c:pt>
                <c:pt idx="710">
                  <c:v>0.4687355145038381</c:v>
                </c:pt>
                <c:pt idx="711">
                  <c:v>0.4742071525123368</c:v>
                </c:pt>
                <c:pt idx="712">
                  <c:v>0.46115002590741705</c:v>
                </c:pt>
                <c:pt idx="713">
                  <c:v>0.4484876981823922</c:v>
                </c:pt>
                <c:pt idx="714">
                  <c:v>0.45764151158807942</c:v>
                </c:pt>
                <c:pt idx="715">
                  <c:v>0.49459103263334159</c:v>
                </c:pt>
                <c:pt idx="716">
                  <c:v>0.47704110185891802</c:v>
                </c:pt>
                <c:pt idx="717">
                  <c:v>0.47742076406330569</c:v>
                </c:pt>
                <c:pt idx="718">
                  <c:v>0.41717989506275743</c:v>
                </c:pt>
                <c:pt idx="719">
                  <c:v>0.42637153135629768</c:v>
                </c:pt>
                <c:pt idx="720">
                  <c:v>0.4548313247131226</c:v>
                </c:pt>
                <c:pt idx="721">
                  <c:v>0.42245709962907507</c:v>
                </c:pt>
                <c:pt idx="722">
                  <c:v>0.40556856340520597</c:v>
                </c:pt>
                <c:pt idx="723">
                  <c:v>0.41753301239706775</c:v>
                </c:pt>
                <c:pt idx="724">
                  <c:v>0.38994493531315233</c:v>
                </c:pt>
                <c:pt idx="725">
                  <c:v>0.38980475111117596</c:v>
                </c:pt>
                <c:pt idx="726">
                  <c:v>0.38318323602871129</c:v>
                </c:pt>
                <c:pt idx="727">
                  <c:v>0.38892593578059831</c:v>
                </c:pt>
                <c:pt idx="728">
                  <c:v>0.38633339451582294</c:v>
                </c:pt>
                <c:pt idx="729">
                  <c:v>0.41190048155430237</c:v>
                </c:pt>
                <c:pt idx="730">
                  <c:v>0.42617554204869168</c:v>
                </c:pt>
                <c:pt idx="731">
                  <c:v>0.41987711830797814</c:v>
                </c:pt>
                <c:pt idx="732">
                  <c:v>0.38945601949624553</c:v>
                </c:pt>
                <c:pt idx="733">
                  <c:v>0.42435453023026115</c:v>
                </c:pt>
                <c:pt idx="734">
                  <c:v>0.45466285225512992</c:v>
                </c:pt>
                <c:pt idx="735">
                  <c:v>0.45195392239372123</c:v>
                </c:pt>
                <c:pt idx="736">
                  <c:v>0.44526407775197874</c:v>
                </c:pt>
                <c:pt idx="737">
                  <c:v>0.38041241035922635</c:v>
                </c:pt>
                <c:pt idx="738">
                  <c:v>0.41043057816090145</c:v>
                </c:pt>
                <c:pt idx="739">
                  <c:v>0.42260999720499548</c:v>
                </c:pt>
                <c:pt idx="740">
                  <c:v>0.32738514351499792</c:v>
                </c:pt>
                <c:pt idx="741">
                  <c:v>0.30688812961699674</c:v>
                </c:pt>
                <c:pt idx="742">
                  <c:v>0.32687904012185998</c:v>
                </c:pt>
                <c:pt idx="743">
                  <c:v>0.33428612228701082</c:v>
                </c:pt>
                <c:pt idx="744">
                  <c:v>0.35832416373146891</c:v>
                </c:pt>
                <c:pt idx="745">
                  <c:v>0.37894013426291906</c:v>
                </c:pt>
                <c:pt idx="746">
                  <c:v>0.33281840393974615</c:v>
                </c:pt>
                <c:pt idx="747">
                  <c:v>0.34943795539240119</c:v>
                </c:pt>
                <c:pt idx="748">
                  <c:v>0.34345610872506804</c:v>
                </c:pt>
                <c:pt idx="749">
                  <c:v>0.33097513087125252</c:v>
                </c:pt>
                <c:pt idx="750">
                  <c:v>0.3369146304111299</c:v>
                </c:pt>
                <c:pt idx="751">
                  <c:v>0.31950806372200424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78-3F44-B645-4B45ADC83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880256"/>
        <c:axId val="995839040"/>
      </c:lineChart>
      <c:dateAx>
        <c:axId val="1759880256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995839040"/>
        <c:crosses val="autoZero"/>
        <c:auto val="1"/>
        <c:lblOffset val="100"/>
        <c:baseTimeUnit val="days"/>
        <c:minorUnit val="2"/>
        <c:minorTimeUnit val="months"/>
      </c:dateAx>
      <c:valAx>
        <c:axId val="99583904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5988025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Revenue/EBITDA/EBIT/NI</a:t>
            </a:r>
            <a:r>
              <a:rPr lang="en-US" sz="1200" b="1" baseline="0">
                <a:latin typeface="Arial" panose="020B0604020202020204" pitchFamily="34" charset="0"/>
                <a:cs typeface="Arial" panose="020B0604020202020204" pitchFamily="34" charset="0"/>
              </a:rPr>
              <a:t> Trend 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i="1" baseline="0">
                <a:latin typeface="Arial" panose="020B0604020202020204" pitchFamily="34" charset="0"/>
                <a:cs typeface="Arial" panose="020B0604020202020204" pitchFamily="34" charset="0"/>
              </a:rPr>
              <a:t>(in million USD)</a:t>
            </a:r>
            <a:endParaRPr lang="en-US" sz="900" i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Financial_Analyst'!$B$5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'2. Financial_Analyst'!$C$3:$G$3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'2. Financial_Analyst'!$C$5:$G$5</c:f>
              <c:numCache>
                <c:formatCode>#,##0.0;\(#,##0.0\);"-"</c:formatCode>
                <c:ptCount val="5"/>
                <c:pt idx="0">
                  <c:v>5552.2</c:v>
                </c:pt>
                <c:pt idx="1">
                  <c:v>7315.2</c:v>
                </c:pt>
                <c:pt idx="2">
                  <c:v>7781.9</c:v>
                </c:pt>
                <c:pt idx="3">
                  <c:v>7417.7</c:v>
                </c:pt>
                <c:pt idx="4">
                  <c:v>7941.1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8-7F45-B83A-F9A4AB8997CF}"/>
            </c:ext>
          </c:extLst>
        </c:ser>
        <c:ser>
          <c:idx val="1"/>
          <c:order val="1"/>
          <c:tx>
            <c:strRef>
              <c:f>'2. Financial_Analyst'!$B$10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'2. Financial_Analyst'!$C$3:$G$3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'2. Financial_Analyst'!$C$10:$G$10</c:f>
              <c:numCache>
                <c:formatCode>#,##0.0;\(#,##0.0\);"-"</c:formatCode>
                <c:ptCount val="5"/>
                <c:pt idx="0">
                  <c:v>1434.6999999999996</c:v>
                </c:pt>
                <c:pt idx="1">
                  <c:v>1617</c:v>
                </c:pt>
                <c:pt idx="2">
                  <c:v>1939.2</c:v>
                </c:pt>
                <c:pt idx="3">
                  <c:v>2028.2999999999995</c:v>
                </c:pt>
                <c:pt idx="4">
                  <c:v>2275.9000000000005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58-7F45-B83A-F9A4AB8997CF}"/>
            </c:ext>
          </c:extLst>
        </c:ser>
        <c:ser>
          <c:idx val="2"/>
          <c:order val="2"/>
          <c:tx>
            <c:strRef>
              <c:f>'2. Financial_Analyst'!$B$11</c:f>
              <c:strCache>
                <c:ptCount val="1"/>
                <c:pt idx="0">
                  <c:v>EBIT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'2. Financial_Analyst'!$C$3:$G$3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'2. Financial_Analyst'!$C$11:$G$11</c:f>
              <c:numCache>
                <c:formatCode>#,##0.0;\(#,##0.0\);"-"</c:formatCode>
                <c:ptCount val="5"/>
                <c:pt idx="0">
                  <c:v>971.69999999999959</c:v>
                </c:pt>
                <c:pt idx="1">
                  <c:v>1029.5</c:v>
                </c:pt>
                <c:pt idx="2">
                  <c:v>1322.2</c:v>
                </c:pt>
                <c:pt idx="3">
                  <c:v>1396.0999999999995</c:v>
                </c:pt>
                <c:pt idx="4">
                  <c:v>1527.4000000000005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58-7F45-B83A-F9A4AB8997CF}"/>
            </c:ext>
          </c:extLst>
        </c:ser>
        <c:ser>
          <c:idx val="3"/>
          <c:order val="3"/>
          <c:tx>
            <c:strRef>
              <c:f>'2. Financial_Analyst'!$B$12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'2. Financial_Analyst'!$C$3:$G$3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'2. Financial_Analyst'!$C$12:$G$12</c:f>
              <c:numCache>
                <c:formatCode>#,##0.0;\(#,##0.0\);"-"</c:formatCode>
                <c:ptCount val="5"/>
                <c:pt idx="0">
                  <c:v>670.8</c:v>
                </c:pt>
                <c:pt idx="1">
                  <c:v>575.6</c:v>
                </c:pt>
                <c:pt idx="2">
                  <c:v>933.2</c:v>
                </c:pt>
                <c:pt idx="3">
                  <c:v>911.9</c:v>
                </c:pt>
                <c:pt idx="4">
                  <c:v>1076.7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58-7F45-B83A-F9A4AB89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864192"/>
        <c:axId val="1806397040"/>
      </c:lineChart>
      <c:catAx>
        <c:axId val="18058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06397040"/>
        <c:crosses val="autoZero"/>
        <c:auto val="1"/>
        <c:lblAlgn val="ctr"/>
        <c:lblOffset val="100"/>
        <c:noMultiLvlLbl val="0"/>
      </c:catAx>
      <c:valAx>
        <c:axId val="1806397040"/>
        <c:scaling>
          <c:orientation val="minMax"/>
        </c:scaling>
        <c:delete val="0"/>
        <c:axPos val="l"/>
        <c:numFmt formatCode="#,##0.0;\(#,##0.0\);&quot;-&quot;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058641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Margin Trend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Financial_Analyst'!$B$38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'2. Financial_Analyst'!$C$35:$G$35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'2. Financial_Analyst'!$C$38:$G$38</c:f>
              <c:numCache>
                <c:formatCode>0.0%;\(0.0%\);"-"</c:formatCode>
                <c:ptCount val="5"/>
                <c:pt idx="0">
                  <c:v>0.24736140628939873</c:v>
                </c:pt>
                <c:pt idx="1">
                  <c:v>0.21294017935258092</c:v>
                </c:pt>
                <c:pt idx="2">
                  <c:v>0.25038872254847788</c:v>
                </c:pt>
                <c:pt idx="3">
                  <c:v>0.26957143049732391</c:v>
                </c:pt>
                <c:pt idx="4">
                  <c:v>0.27384115550742344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C-CC4B-A0E9-2BAF6A8EFC2A}"/>
            </c:ext>
          </c:extLst>
        </c:ser>
        <c:ser>
          <c:idx val="1"/>
          <c:order val="1"/>
          <c:tx>
            <c:strRef>
              <c:f>'2. Financial_Analyst'!$B$41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'2. Financial_Analyst'!$C$35:$G$35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'2. Financial_Analyst'!$C$41:$G$41</c:f>
              <c:numCache>
                <c:formatCode>0.0%;\(0.0%\);"-"</c:formatCode>
                <c:ptCount val="5"/>
                <c:pt idx="0">
                  <c:v>0.25840207485321126</c:v>
                </c:pt>
                <c:pt idx="1">
                  <c:v>0.22104658792650919</c:v>
                </c:pt>
                <c:pt idx="2">
                  <c:v>0.24919364165563682</c:v>
                </c:pt>
                <c:pt idx="3">
                  <c:v>0.27344055434973097</c:v>
                </c:pt>
                <c:pt idx="4">
                  <c:v>0.28659757464331143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C-CC4B-A0E9-2BAF6A8EFC2A}"/>
            </c:ext>
          </c:extLst>
        </c:ser>
        <c:ser>
          <c:idx val="2"/>
          <c:order val="2"/>
          <c:tx>
            <c:strRef>
              <c:f>'2. Financial_Analyst'!$B$42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'2. Financial_Analyst'!$C$35:$G$35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'2. Financial_Analyst'!$C$42:$G$42</c:f>
              <c:numCache>
                <c:formatCode>0.0%;\(0.0%\);"-"</c:formatCode>
                <c:ptCount val="5"/>
                <c:pt idx="0">
                  <c:v>0.17501170707107086</c:v>
                </c:pt>
                <c:pt idx="1">
                  <c:v>0.14073436132983377</c:v>
                </c:pt>
                <c:pt idx="2">
                  <c:v>0.16990709209833074</c:v>
                </c:pt>
                <c:pt idx="3">
                  <c:v>0.18821197945454785</c:v>
                </c:pt>
                <c:pt idx="4">
                  <c:v>0.19234111143292498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C-CC4B-A0E9-2BAF6A8EFC2A}"/>
            </c:ext>
          </c:extLst>
        </c:ser>
        <c:ser>
          <c:idx val="3"/>
          <c:order val="3"/>
          <c:tx>
            <c:strRef>
              <c:f>'2. Financial_Analyst'!$B$43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'2. Financial_Analyst'!$C$35:$G$35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'2. Financial_Analyst'!$C$43:$G$43</c:f>
              <c:numCache>
                <c:formatCode>0.0%;\(0.0%\);"-"</c:formatCode>
                <c:ptCount val="5"/>
                <c:pt idx="0">
                  <c:v>0.12081697345196499</c:v>
                </c:pt>
                <c:pt idx="1">
                  <c:v>7.8685476815398087E-2</c:v>
                </c:pt>
                <c:pt idx="2">
                  <c:v>0.11991929991390278</c:v>
                </c:pt>
                <c:pt idx="3">
                  <c:v>0.12293568087142914</c:v>
                </c:pt>
                <c:pt idx="4">
                  <c:v>0.13558575008500082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CC-CC4B-A0E9-2BAF6A8EF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612464"/>
        <c:axId val="2078751728"/>
      </c:lineChart>
      <c:catAx>
        <c:axId val="17866124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78751728"/>
        <c:crosses val="autoZero"/>
        <c:auto val="1"/>
        <c:lblAlgn val="ctr"/>
        <c:lblOffset val="100"/>
        <c:noMultiLvlLbl val="0"/>
      </c:catAx>
      <c:valAx>
        <c:axId val="2078751728"/>
        <c:scaling>
          <c:orientation val="minMax"/>
        </c:scaling>
        <c:delete val="0"/>
        <c:axPos val="l"/>
        <c:numFmt formatCode="0.0%;\(0.0%\);&quot;-&quot;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866124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542406651723279E-2"/>
          <c:y val="0.89541456222354676"/>
          <c:w val="0.94428568691687276"/>
          <c:h val="7.743608244188600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VMC ESG Pillar Scores (FY2024)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ESG_Score'!$L$1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'4. ESG_Score'!$K$2:$K$4</c:f>
              <c:strCache>
                <c:ptCount val="3"/>
                <c:pt idx="0">
                  <c:v>Environmental</c:v>
                </c:pt>
                <c:pt idx="1">
                  <c:v>Social</c:v>
                </c:pt>
                <c:pt idx="2">
                  <c:v>Governance</c:v>
                </c:pt>
              </c:strCache>
            </c:strRef>
          </c:cat>
          <c:val>
            <c:numRef>
              <c:f>'4. ESG_Score'!$L$2:$L$4</c:f>
              <c:numCache>
                <c:formatCode>General</c:formatCode>
                <c:ptCount val="3"/>
                <c:pt idx="0">
                  <c:v>55.17</c:v>
                </c:pt>
                <c:pt idx="1">
                  <c:v>60.99</c:v>
                </c:pt>
                <c:pt idx="2">
                  <c:v>20.99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8-D540-8697-3EC55AD3A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303872"/>
        <c:axId val="978877744"/>
      </c:barChart>
      <c:catAx>
        <c:axId val="118830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978877744"/>
        <c:crosses val="autoZero"/>
        <c:auto val="1"/>
        <c:lblAlgn val="ctr"/>
        <c:lblOffset val="100"/>
        <c:noMultiLvlLbl val="0"/>
      </c:catAx>
      <c:valAx>
        <c:axId val="97887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8830387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ESG Score Comparison (FY2024)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ESG_Score'!$L$6</c:f>
              <c:strCache>
                <c:ptCount val="1"/>
                <c:pt idx="0">
                  <c:v>ESG Score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'4. ESG_Score'!$K$7:$K$12</c:f>
              <c:strCache>
                <c:ptCount val="6"/>
                <c:pt idx="0">
                  <c:v>CRH</c:v>
                </c:pt>
                <c:pt idx="1">
                  <c:v>CX</c:v>
                </c:pt>
                <c:pt idx="2">
                  <c:v>VMC</c:v>
                </c:pt>
                <c:pt idx="3">
                  <c:v>MLM</c:v>
                </c:pt>
                <c:pt idx="4">
                  <c:v>KNF</c:v>
                </c:pt>
                <c:pt idx="5">
                  <c:v>EXP</c:v>
                </c:pt>
              </c:strCache>
            </c:strRef>
          </c:cat>
          <c:val>
            <c:numRef>
              <c:f>'4. ESG_Score'!$L$7:$L$12</c:f>
              <c:numCache>
                <c:formatCode>General</c:formatCode>
                <c:ptCount val="6"/>
                <c:pt idx="0">
                  <c:v>84.18</c:v>
                </c:pt>
                <c:pt idx="1">
                  <c:v>81.87</c:v>
                </c:pt>
                <c:pt idx="2">
                  <c:v>49</c:v>
                </c:pt>
                <c:pt idx="3">
                  <c:v>42.6</c:v>
                </c:pt>
                <c:pt idx="4">
                  <c:v>32.53</c:v>
                </c:pt>
                <c:pt idx="5">
                  <c:v>27.05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E-394C-A29F-F9520F1648EA}"/>
            </c:ext>
          </c:extLst>
        </c:ser>
        <c:ser>
          <c:idx val="1"/>
          <c:order val="1"/>
          <c:tx>
            <c:strRef>
              <c:f>'4. ESG_Score'!$M$6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'4. ESG_Score'!$K$7:$K$12</c:f>
              <c:strCache>
                <c:ptCount val="6"/>
                <c:pt idx="0">
                  <c:v>CRH</c:v>
                </c:pt>
                <c:pt idx="1">
                  <c:v>CX</c:v>
                </c:pt>
                <c:pt idx="2">
                  <c:v>VMC</c:v>
                </c:pt>
                <c:pt idx="3">
                  <c:v>MLM</c:v>
                </c:pt>
                <c:pt idx="4">
                  <c:v>KNF</c:v>
                </c:pt>
                <c:pt idx="5">
                  <c:v>EXP</c:v>
                </c:pt>
              </c:strCache>
            </c:strRef>
          </c:cat>
          <c:val>
            <c:numRef>
              <c:f>'4. ESG_Score'!$M$7:$M$12</c:f>
              <c:numCache>
                <c:formatCode>General</c:formatCode>
                <c:ptCount val="6"/>
                <c:pt idx="0">
                  <c:v>76.180000000000007</c:v>
                </c:pt>
                <c:pt idx="1">
                  <c:v>81.87</c:v>
                </c:pt>
                <c:pt idx="2">
                  <c:v>49</c:v>
                </c:pt>
                <c:pt idx="3">
                  <c:v>42.6</c:v>
                </c:pt>
                <c:pt idx="4">
                  <c:v>32.53</c:v>
                </c:pt>
                <c:pt idx="5">
                  <c:v>27.05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E-394C-A29F-F9520F16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284224"/>
        <c:axId val="1473698576"/>
      </c:barChart>
      <c:catAx>
        <c:axId val="213128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73698576"/>
        <c:crosses val="autoZero"/>
        <c:auto val="1"/>
        <c:lblAlgn val="ctr"/>
        <c:lblOffset val="100"/>
        <c:noMultiLvlLbl val="0"/>
      </c:catAx>
      <c:valAx>
        <c:axId val="147369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1312842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VMC ESG Score Trend (FY2020–FY2024)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ESG_Score'!$L$14</c:f>
              <c:strCache>
                <c:ptCount val="1"/>
                <c:pt idx="0">
                  <c:v>ESG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'4. ESG_Score'!$K$15:$K$19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'4. ESG_Score'!$L$15:$L$19</c:f>
              <c:numCache>
                <c:formatCode>General</c:formatCode>
                <c:ptCount val="5"/>
                <c:pt idx="0">
                  <c:v>47.42</c:v>
                </c:pt>
                <c:pt idx="1">
                  <c:v>50</c:v>
                </c:pt>
                <c:pt idx="2">
                  <c:v>47</c:v>
                </c:pt>
                <c:pt idx="3">
                  <c:v>56.15</c:v>
                </c:pt>
                <c:pt idx="4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09-6049-8916-4D2406D798C8}"/>
            </c:ext>
          </c:extLst>
        </c:ser>
        <c:ser>
          <c:idx val="1"/>
          <c:order val="1"/>
          <c:tx>
            <c:strRef>
              <c:f>'4. ESG_Score'!$M$14</c:f>
              <c:strCache>
                <c:ptCount val="1"/>
                <c:pt idx="0">
                  <c:v>Env.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'4. ESG_Score'!$K$15:$K$19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'4. ESG_Score'!$M$15:$M$19</c:f>
              <c:numCache>
                <c:formatCode>General</c:formatCode>
                <c:ptCount val="5"/>
                <c:pt idx="0">
                  <c:v>55</c:v>
                </c:pt>
                <c:pt idx="1">
                  <c:v>63</c:v>
                </c:pt>
                <c:pt idx="2">
                  <c:v>64</c:v>
                </c:pt>
                <c:pt idx="3">
                  <c:v>66</c:v>
                </c:pt>
                <c:pt idx="4">
                  <c:v>55.17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9-6049-8916-4D2406D798C8}"/>
            </c:ext>
          </c:extLst>
        </c:ser>
        <c:ser>
          <c:idx val="2"/>
          <c:order val="2"/>
          <c:tx>
            <c:strRef>
              <c:f>'4. ESG_Score'!$N$14</c:f>
              <c:strCache>
                <c:ptCount val="1"/>
                <c:pt idx="0">
                  <c:v>Social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'4. ESG_Score'!$K$15:$K$19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'4. ESG_Score'!$N$15:$N$19</c:f>
              <c:numCache>
                <c:formatCode>General</c:formatCode>
                <c:ptCount val="5"/>
                <c:pt idx="0">
                  <c:v>46.2</c:v>
                </c:pt>
                <c:pt idx="1">
                  <c:v>44</c:v>
                </c:pt>
                <c:pt idx="2">
                  <c:v>38</c:v>
                </c:pt>
                <c:pt idx="3">
                  <c:v>64</c:v>
                </c:pt>
                <c:pt idx="4">
                  <c:v>60.99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9-6049-8916-4D2406D798C8}"/>
            </c:ext>
          </c:extLst>
        </c:ser>
        <c:ser>
          <c:idx val="3"/>
          <c:order val="3"/>
          <c:tx>
            <c:strRef>
              <c:f>'4. ESG_Score'!$O$14</c:f>
              <c:strCache>
                <c:ptCount val="1"/>
                <c:pt idx="0">
                  <c:v>Gov.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'4. ESG_Score'!$K$15:$K$19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'4. ESG_Score'!$O$15:$O$19</c:f>
              <c:numCache>
                <c:formatCode>General</c:formatCode>
                <c:ptCount val="5"/>
                <c:pt idx="0">
                  <c:v>34</c:v>
                </c:pt>
                <c:pt idx="1">
                  <c:v>34</c:v>
                </c:pt>
                <c:pt idx="2">
                  <c:v>31</c:v>
                </c:pt>
                <c:pt idx="3">
                  <c:v>29</c:v>
                </c:pt>
                <c:pt idx="4">
                  <c:v>20.99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09-6049-8916-4D2406D79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820544"/>
        <c:axId val="1009543776"/>
      </c:lineChart>
      <c:catAx>
        <c:axId val="213082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09543776"/>
        <c:crosses val="autoZero"/>
        <c:auto val="1"/>
        <c:lblAlgn val="ctr"/>
        <c:lblOffset val="100"/>
        <c:noMultiLvlLbl val="0"/>
      </c:catAx>
      <c:valAx>
        <c:axId val="10095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1308205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Highway Spend vs. VMC Revenue (r = 0.92)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'5. Macro-Economics '!$M$53</c:f>
              <c:strCache>
                <c:ptCount val="1"/>
                <c:pt idx="0">
                  <c:v>VMC Revenue ($mm)</c:v>
                </c:pt>
              </c:strCache>
            </c:strRef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'5. Macro-Economics '!$L$54:$L$73</c:f>
              <c:numCache>
                <c:formatCode>General</c:formatCode>
                <c:ptCount val="20"/>
                <c:pt idx="0">
                  <c:v>73.5</c:v>
                </c:pt>
                <c:pt idx="1">
                  <c:v>79.400000000000006</c:v>
                </c:pt>
                <c:pt idx="2">
                  <c:v>83</c:v>
                </c:pt>
                <c:pt idx="3">
                  <c:v>87.2</c:v>
                </c:pt>
                <c:pt idx="4">
                  <c:v>86.5</c:v>
                </c:pt>
                <c:pt idx="5">
                  <c:v>86.8</c:v>
                </c:pt>
                <c:pt idx="6">
                  <c:v>79.599999999999994</c:v>
                </c:pt>
                <c:pt idx="7">
                  <c:v>78.7</c:v>
                </c:pt>
                <c:pt idx="8">
                  <c:v>81.8</c:v>
                </c:pt>
                <c:pt idx="9">
                  <c:v>87.5</c:v>
                </c:pt>
                <c:pt idx="10">
                  <c:v>91.3</c:v>
                </c:pt>
                <c:pt idx="11">
                  <c:v>95.5</c:v>
                </c:pt>
                <c:pt idx="12">
                  <c:v>97.7</c:v>
                </c:pt>
                <c:pt idx="13">
                  <c:v>101.2</c:v>
                </c:pt>
                <c:pt idx="14">
                  <c:v>105</c:v>
                </c:pt>
                <c:pt idx="15">
                  <c:v>108.2</c:v>
                </c:pt>
                <c:pt idx="16">
                  <c:v>108.4</c:v>
                </c:pt>
                <c:pt idx="17">
                  <c:v>113.1</c:v>
                </c:pt>
                <c:pt idx="18">
                  <c:v>127.5</c:v>
                </c:pt>
                <c:pt idx="19">
                  <c:v>140.69999999999999</c:v>
                </c:pt>
              </c:numCache>
            </c:numRef>
          </c:xVal>
          <c:yVal>
            <c:numRef>
              <c:f>'5. Macro-Economics '!$M$54:$M$73</c:f>
              <c:numCache>
                <c:formatCode>General</c:formatCode>
                <c:ptCount val="20"/>
                <c:pt idx="0">
                  <c:v>3127</c:v>
                </c:pt>
                <c:pt idx="1">
                  <c:v>3342</c:v>
                </c:pt>
                <c:pt idx="2">
                  <c:v>3328</c:v>
                </c:pt>
                <c:pt idx="3">
                  <c:v>3453</c:v>
                </c:pt>
                <c:pt idx="4">
                  <c:v>2545</c:v>
                </c:pt>
                <c:pt idx="5">
                  <c:v>2407</c:v>
                </c:pt>
                <c:pt idx="6">
                  <c:v>2422</c:v>
                </c:pt>
                <c:pt idx="7">
                  <c:v>2587</c:v>
                </c:pt>
                <c:pt idx="8">
                  <c:v>2694</c:v>
                </c:pt>
                <c:pt idx="9">
                  <c:v>2966</c:v>
                </c:pt>
                <c:pt idx="10">
                  <c:v>3273</c:v>
                </c:pt>
                <c:pt idx="11">
                  <c:v>3593</c:v>
                </c:pt>
                <c:pt idx="12">
                  <c:v>3722</c:v>
                </c:pt>
                <c:pt idx="13">
                  <c:v>4383</c:v>
                </c:pt>
                <c:pt idx="14">
                  <c:v>4929</c:v>
                </c:pt>
                <c:pt idx="15">
                  <c:v>4856</c:v>
                </c:pt>
                <c:pt idx="16">
                  <c:v>5552</c:v>
                </c:pt>
                <c:pt idx="17">
                  <c:v>7315</c:v>
                </c:pt>
                <c:pt idx="18">
                  <c:v>7782</c:v>
                </c:pt>
                <c:pt idx="19">
                  <c:v>7418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2443-8E81-A364CC23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123056"/>
        <c:axId val="1777165664"/>
      </c:scatterChart>
      <c:valAx>
        <c:axId val="209112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77165664"/>
        <c:crosses val="autoZero"/>
        <c:crossBetween val="midCat"/>
      </c:valAx>
      <c:valAx>
        <c:axId val="177716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911230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Private Nonres. Spend vs. VMC Revenue (r = 0.96)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'5. Macro-Economics '!$P$53</c:f>
              <c:strCache>
                <c:ptCount val="1"/>
                <c:pt idx="0">
                  <c:v>VMC Revenue ($mm)</c:v>
                </c:pt>
              </c:strCache>
            </c:strRef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'5. Macro-Economics '!$O$54:$O$73</c:f>
              <c:numCache>
                <c:formatCode>General</c:formatCode>
                <c:ptCount val="20"/>
                <c:pt idx="0">
                  <c:v>220.5</c:v>
                </c:pt>
                <c:pt idx="1">
                  <c:v>248.3</c:v>
                </c:pt>
                <c:pt idx="2">
                  <c:v>258.2</c:v>
                </c:pt>
                <c:pt idx="3">
                  <c:v>248.1</c:v>
                </c:pt>
                <c:pt idx="4">
                  <c:v>195.7</c:v>
                </c:pt>
                <c:pt idx="5">
                  <c:v>186.1</c:v>
                </c:pt>
                <c:pt idx="6">
                  <c:v>196.4</c:v>
                </c:pt>
                <c:pt idx="7">
                  <c:v>212.6</c:v>
                </c:pt>
                <c:pt idx="8">
                  <c:v>229.3</c:v>
                </c:pt>
                <c:pt idx="9">
                  <c:v>243.7</c:v>
                </c:pt>
                <c:pt idx="10">
                  <c:v>262</c:v>
                </c:pt>
                <c:pt idx="11">
                  <c:v>268.10000000000002</c:v>
                </c:pt>
                <c:pt idx="12">
                  <c:v>274.8</c:v>
                </c:pt>
                <c:pt idx="13">
                  <c:v>290.7</c:v>
                </c:pt>
                <c:pt idx="14">
                  <c:v>290.39999999999998</c:v>
                </c:pt>
                <c:pt idx="15">
                  <c:v>277.89999999999998</c:v>
                </c:pt>
                <c:pt idx="16">
                  <c:v>290.60000000000002</c:v>
                </c:pt>
                <c:pt idx="17">
                  <c:v>344.4</c:v>
                </c:pt>
                <c:pt idx="18">
                  <c:v>369.7</c:v>
                </c:pt>
                <c:pt idx="19">
                  <c:v>370.6</c:v>
                </c:pt>
              </c:numCache>
            </c:numRef>
          </c:xVal>
          <c:yVal>
            <c:numRef>
              <c:f>'5. Macro-Economics '!$P$54:$P$73</c:f>
              <c:numCache>
                <c:formatCode>General</c:formatCode>
                <c:ptCount val="20"/>
                <c:pt idx="0">
                  <c:v>3127</c:v>
                </c:pt>
                <c:pt idx="1">
                  <c:v>3342</c:v>
                </c:pt>
                <c:pt idx="2">
                  <c:v>3328</c:v>
                </c:pt>
                <c:pt idx="3">
                  <c:v>3453</c:v>
                </c:pt>
                <c:pt idx="4">
                  <c:v>2545</c:v>
                </c:pt>
                <c:pt idx="5">
                  <c:v>2407</c:v>
                </c:pt>
                <c:pt idx="6">
                  <c:v>2422</c:v>
                </c:pt>
                <c:pt idx="7">
                  <c:v>2587</c:v>
                </c:pt>
                <c:pt idx="8">
                  <c:v>2694</c:v>
                </c:pt>
                <c:pt idx="9">
                  <c:v>2966</c:v>
                </c:pt>
                <c:pt idx="10">
                  <c:v>3273</c:v>
                </c:pt>
                <c:pt idx="11">
                  <c:v>3593</c:v>
                </c:pt>
                <c:pt idx="12">
                  <c:v>3722</c:v>
                </c:pt>
                <c:pt idx="13">
                  <c:v>4383</c:v>
                </c:pt>
                <c:pt idx="14">
                  <c:v>4929</c:v>
                </c:pt>
                <c:pt idx="15">
                  <c:v>4856</c:v>
                </c:pt>
                <c:pt idx="16">
                  <c:v>5552</c:v>
                </c:pt>
                <c:pt idx="17">
                  <c:v>7315</c:v>
                </c:pt>
                <c:pt idx="18">
                  <c:v>7782</c:v>
                </c:pt>
                <c:pt idx="19">
                  <c:v>7418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38-2640-B1E7-B7E0BCFD0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116032"/>
        <c:axId val="999599504"/>
      </c:scatterChart>
      <c:valAx>
        <c:axId val="100011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999599504"/>
        <c:crosses val="autoZero"/>
        <c:crossBetween val="midCat"/>
      </c:valAx>
      <c:valAx>
        <c:axId val="99959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001160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VMC vs. Macro Indicators — Normalized Index (2005 = 100)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Macro-Economics '!$C$110</c:f>
              <c:strCache>
                <c:ptCount val="1"/>
                <c:pt idx="0">
                  <c:v>VMC Price</c:v>
                </c:pt>
              </c:strCache>
            </c:strRef>
          </c:tx>
          <c:spPr>
            <a:ln w="38100" cap="rnd">
              <a:solidFill>
                <a:srgbClr val="2F5496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rgbClr val="8FAADC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'5. Macro-Economics '!$B$111:$B$130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'5. Macro-Economics '!$C$111:$C$130</c:f>
              <c:numCache>
                <c:formatCode>0.0</c:formatCode>
                <c:ptCount val="20"/>
                <c:pt idx="0">
                  <c:v>100</c:v>
                </c:pt>
                <c:pt idx="1">
                  <c:v>119.65014577259477</c:v>
                </c:pt>
                <c:pt idx="2">
                  <c:v>107.01166180758017</c:v>
                </c:pt>
                <c:pt idx="3">
                  <c:v>73.994169096209916</c:v>
                </c:pt>
                <c:pt idx="4">
                  <c:v>62.755102040816325</c:v>
                </c:pt>
                <c:pt idx="5">
                  <c:v>57.813411078717202</c:v>
                </c:pt>
                <c:pt idx="6">
                  <c:v>51.690962099125372</c:v>
                </c:pt>
                <c:pt idx="7">
                  <c:v>78.192419825072889</c:v>
                </c:pt>
                <c:pt idx="8">
                  <c:v>91.45772594752188</c:v>
                </c:pt>
                <c:pt idx="9">
                  <c:v>94.344023323615161</c:v>
                </c:pt>
                <c:pt idx="10">
                  <c:v>137.72594752186592</c:v>
                </c:pt>
                <c:pt idx="11">
                  <c:v>174.83965014577259</c:v>
                </c:pt>
                <c:pt idx="12">
                  <c:v>183.87755102040816</c:v>
                </c:pt>
                <c:pt idx="13">
                  <c:v>143.92128279883383</c:v>
                </c:pt>
                <c:pt idx="14">
                  <c:v>204.72303206997086</c:v>
                </c:pt>
                <c:pt idx="15">
                  <c:v>213.20699708454808</c:v>
                </c:pt>
                <c:pt idx="16">
                  <c:v>298.52769679300292</c:v>
                </c:pt>
                <c:pt idx="17">
                  <c:v>252.98833819241989</c:v>
                </c:pt>
                <c:pt idx="18">
                  <c:v>326.51603498542278</c:v>
                </c:pt>
                <c:pt idx="19">
                  <c:v>354.47521865889217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D4-6A4A-8F47-955BA148DEBF}"/>
            </c:ext>
          </c:extLst>
        </c:ser>
        <c:ser>
          <c:idx val="1"/>
          <c:order val="1"/>
          <c:tx>
            <c:strRef>
              <c:f>'5. Macro-Economics '!$D$110</c:f>
              <c:strCache>
                <c:ptCount val="1"/>
                <c:pt idx="0">
                  <c:v>VMC Revenue</c:v>
                </c:pt>
              </c:strCache>
            </c:strRef>
          </c:tx>
          <c:spPr>
            <a:ln w="3810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50" cap="rnd">
                <a:solidFill>
                  <a:srgbClr val="E6A0A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'5. Macro-Economics '!$B$111:$B$130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'5. Macro-Economics '!$D$111:$D$130</c:f>
              <c:numCache>
                <c:formatCode>0.0</c:formatCode>
                <c:ptCount val="20"/>
                <c:pt idx="0">
                  <c:v>100</c:v>
                </c:pt>
                <c:pt idx="1">
                  <c:v>106.87559961624559</c:v>
                </c:pt>
                <c:pt idx="2">
                  <c:v>106.42788615286216</c:v>
                </c:pt>
                <c:pt idx="3">
                  <c:v>110.42532779021425</c:v>
                </c:pt>
                <c:pt idx="4">
                  <c:v>81.387911736488647</c:v>
                </c:pt>
                <c:pt idx="5">
                  <c:v>76.974736168851933</c:v>
                </c:pt>
                <c:pt idx="6">
                  <c:v>77.454429165334176</c:v>
                </c:pt>
                <c:pt idx="7">
                  <c:v>82.731052126638943</c:v>
                </c:pt>
                <c:pt idx="8">
                  <c:v>86.152862168212337</c:v>
                </c:pt>
                <c:pt idx="9">
                  <c:v>94.851295171090499</c:v>
                </c:pt>
                <c:pt idx="10">
                  <c:v>104.66901183242724</c:v>
                </c:pt>
                <c:pt idx="11">
                  <c:v>114.90246242404861</c:v>
                </c:pt>
                <c:pt idx="12">
                  <c:v>119.02782219379597</c:v>
                </c:pt>
                <c:pt idx="13">
                  <c:v>140.16629357211386</c:v>
                </c:pt>
                <c:pt idx="14">
                  <c:v>157.62711864406779</c:v>
                </c:pt>
                <c:pt idx="15">
                  <c:v>155.29261272785416</c:v>
                </c:pt>
                <c:pt idx="16">
                  <c:v>177.55036776463064</c:v>
                </c:pt>
                <c:pt idx="17">
                  <c:v>233.93028461784459</c:v>
                </c:pt>
                <c:pt idx="18">
                  <c:v>248.86472657499201</c:v>
                </c:pt>
                <c:pt idx="19">
                  <c:v>237.22417652702271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D4-6A4A-8F47-955BA148DEBF}"/>
            </c:ext>
          </c:extLst>
        </c:ser>
        <c:ser>
          <c:idx val="2"/>
          <c:order val="2"/>
          <c:tx>
            <c:strRef>
              <c:f>'5. Macro-Economics '!$E$110</c:f>
              <c:strCache>
                <c:ptCount val="1"/>
                <c:pt idx="0">
                  <c:v>Hwy &amp; Street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</c:spPr>
          <c:marker>
            <c:symbol val="none"/>
          </c:marker>
          <c:cat>
            <c:numRef>
              <c:f>'5. Macro-Economics '!$B$111:$B$130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'5. Macro-Economics '!$E$111:$E$130</c:f>
              <c:numCache>
                <c:formatCode>0.0</c:formatCode>
                <c:ptCount val="20"/>
                <c:pt idx="0">
                  <c:v>100</c:v>
                </c:pt>
                <c:pt idx="1">
                  <c:v>108.02721088435374</c:v>
                </c:pt>
                <c:pt idx="2">
                  <c:v>112.9251700680272</c:v>
                </c:pt>
                <c:pt idx="3">
                  <c:v>118.63945578231292</c:v>
                </c:pt>
                <c:pt idx="4">
                  <c:v>117.68707482993197</c:v>
                </c:pt>
                <c:pt idx="5">
                  <c:v>118.0952380952381</c:v>
                </c:pt>
                <c:pt idx="6">
                  <c:v>108.29931972789115</c:v>
                </c:pt>
                <c:pt idx="7">
                  <c:v>107.07482993197279</c:v>
                </c:pt>
                <c:pt idx="8">
                  <c:v>111.29251700680271</c:v>
                </c:pt>
                <c:pt idx="9">
                  <c:v>119.04761904761905</c:v>
                </c:pt>
                <c:pt idx="10">
                  <c:v>124.21768707482993</c:v>
                </c:pt>
                <c:pt idx="11">
                  <c:v>129.93197278911566</c:v>
                </c:pt>
                <c:pt idx="12">
                  <c:v>132.92517006802723</c:v>
                </c:pt>
                <c:pt idx="13">
                  <c:v>137.68707482993196</c:v>
                </c:pt>
                <c:pt idx="14">
                  <c:v>142.85714285714286</c:v>
                </c:pt>
                <c:pt idx="15">
                  <c:v>147.21088435374151</c:v>
                </c:pt>
                <c:pt idx="16">
                  <c:v>147.48299319727892</c:v>
                </c:pt>
                <c:pt idx="17">
                  <c:v>153.87755102040816</c:v>
                </c:pt>
                <c:pt idx="18">
                  <c:v>173.46938775510205</c:v>
                </c:pt>
                <c:pt idx="19">
                  <c:v>191.42857142857142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D4-6A4A-8F47-955BA148DEBF}"/>
            </c:ext>
          </c:extLst>
        </c:ser>
        <c:ser>
          <c:idx val="3"/>
          <c:order val="3"/>
          <c:tx>
            <c:strRef>
              <c:f>'5. Macro-Economics '!$F$110</c:f>
              <c:strCache>
                <c:ptCount val="1"/>
                <c:pt idx="0">
                  <c:v>Public Constr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</c:spPr>
          <c:marker>
            <c:symbol val="none"/>
          </c:marker>
          <c:cat>
            <c:numRef>
              <c:f>'5. Macro-Economics '!$B$111:$B$130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'5. Macro-Economics '!$F$111:$F$130</c:f>
              <c:numCache>
                <c:formatCode>0.0</c:formatCode>
                <c:ptCount val="20"/>
                <c:pt idx="0">
                  <c:v>100</c:v>
                </c:pt>
                <c:pt idx="1">
                  <c:v>109.78351373855119</c:v>
                </c:pt>
                <c:pt idx="2">
                  <c:v>116.23646960865945</c:v>
                </c:pt>
                <c:pt idx="3">
                  <c:v>121.14904246461282</c:v>
                </c:pt>
                <c:pt idx="4">
                  <c:v>123.8134887593672</c:v>
                </c:pt>
                <c:pt idx="5">
                  <c:v>116.94421315570358</c:v>
                </c:pt>
                <c:pt idx="6">
                  <c:v>107.91007493755205</c:v>
                </c:pt>
                <c:pt idx="7">
                  <c:v>108.49292256452958</c:v>
                </c:pt>
                <c:pt idx="8">
                  <c:v>109.20066611157371</c:v>
                </c:pt>
                <c:pt idx="9">
                  <c:v>114.11323896752708</c:v>
                </c:pt>
                <c:pt idx="10">
                  <c:v>118.40133222314736</c:v>
                </c:pt>
                <c:pt idx="11">
                  <c:v>122.98084929225645</c:v>
                </c:pt>
                <c:pt idx="12">
                  <c:v>124.1465445462115</c:v>
                </c:pt>
                <c:pt idx="13">
                  <c:v>130.47460449625311</c:v>
                </c:pt>
                <c:pt idx="14">
                  <c:v>135.42880932556204</c:v>
                </c:pt>
                <c:pt idx="15">
                  <c:v>139.55037468776018</c:v>
                </c:pt>
                <c:pt idx="16">
                  <c:v>142.71440466278102</c:v>
                </c:pt>
                <c:pt idx="17">
                  <c:v>150.62447960033307</c:v>
                </c:pt>
                <c:pt idx="18">
                  <c:v>170.14987510407994</c:v>
                </c:pt>
                <c:pt idx="19">
                  <c:v>207.61865112406329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D4-6A4A-8F47-955BA148DEBF}"/>
            </c:ext>
          </c:extLst>
        </c:ser>
        <c:ser>
          <c:idx val="4"/>
          <c:order val="4"/>
          <c:tx>
            <c:strRef>
              <c:f>'5. Macro-Economics '!$G$110</c:f>
              <c:strCache>
                <c:ptCount val="1"/>
                <c:pt idx="0">
                  <c:v>Pvt Nonres</c:v>
                </c:pt>
              </c:strCache>
            </c:strRef>
          </c:tx>
          <c:spPr>
            <a:ln w="28575" cap="rnd">
              <a:solidFill>
                <a:srgbClr val="BF8F00"/>
              </a:solidFill>
              <a:prstDash val="solid"/>
              <a:round/>
            </a:ln>
          </c:spPr>
          <c:marker>
            <c:symbol val="none"/>
          </c:marker>
          <c:cat>
            <c:numRef>
              <c:f>'5. Macro-Economics '!$B$111:$B$130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'5. Macro-Economics '!$G$111:$G$130</c:f>
              <c:numCache>
                <c:formatCode>0.0</c:formatCode>
                <c:ptCount val="20"/>
                <c:pt idx="0">
                  <c:v>100</c:v>
                </c:pt>
                <c:pt idx="1">
                  <c:v>112.60770975056691</c:v>
                </c:pt>
                <c:pt idx="2">
                  <c:v>117.09750566893425</c:v>
                </c:pt>
                <c:pt idx="3">
                  <c:v>112.51700680272107</c:v>
                </c:pt>
                <c:pt idx="4">
                  <c:v>88.752834467120181</c:v>
                </c:pt>
                <c:pt idx="5">
                  <c:v>84.399092970521536</c:v>
                </c:pt>
                <c:pt idx="6">
                  <c:v>89.070294784580511</c:v>
                </c:pt>
                <c:pt idx="7">
                  <c:v>96.417233560090693</c:v>
                </c:pt>
                <c:pt idx="8">
                  <c:v>103.99092970521542</c:v>
                </c:pt>
                <c:pt idx="9">
                  <c:v>110.52154195011337</c:v>
                </c:pt>
                <c:pt idx="10">
                  <c:v>118.82086167800455</c:v>
                </c:pt>
                <c:pt idx="11">
                  <c:v>121.5873015873016</c:v>
                </c:pt>
                <c:pt idx="12">
                  <c:v>124.62585034013607</c:v>
                </c:pt>
                <c:pt idx="13">
                  <c:v>131.83673469387756</c:v>
                </c:pt>
                <c:pt idx="14">
                  <c:v>131.70068027210883</c:v>
                </c:pt>
                <c:pt idx="15">
                  <c:v>126.03174603174602</c:v>
                </c:pt>
                <c:pt idx="16">
                  <c:v>131.79138321995464</c:v>
                </c:pt>
                <c:pt idx="17">
                  <c:v>156.1904761904762</c:v>
                </c:pt>
                <c:pt idx="18">
                  <c:v>167.66439909297051</c:v>
                </c:pt>
                <c:pt idx="19">
                  <c:v>168.07256235827666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D4-6A4A-8F47-955BA148DEBF}"/>
            </c:ext>
          </c:extLst>
        </c:ser>
        <c:ser>
          <c:idx val="5"/>
          <c:order val="5"/>
          <c:tx>
            <c:strRef>
              <c:f>'5. Macro-Economics '!$H$110</c:f>
              <c:strCache>
                <c:ptCount val="1"/>
                <c:pt idx="0">
                  <c:v>Hsg Starts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'5. Macro-Economics '!$B$111:$B$130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'5. Macro-Economics '!$H$111:$H$130</c:f>
              <c:numCache>
                <c:formatCode>0.0</c:formatCode>
                <c:ptCount val="20"/>
                <c:pt idx="0">
                  <c:v>100</c:v>
                </c:pt>
                <c:pt idx="1">
                  <c:v>87.088974854932303</c:v>
                </c:pt>
                <c:pt idx="2">
                  <c:v>65.522243713733076</c:v>
                </c:pt>
                <c:pt idx="3">
                  <c:v>43.810444874274665</c:v>
                </c:pt>
                <c:pt idx="4">
                  <c:v>26.789168278529978</c:v>
                </c:pt>
                <c:pt idx="5">
                  <c:v>28.384912959381044</c:v>
                </c:pt>
                <c:pt idx="6">
                  <c:v>29.448742746615086</c:v>
                </c:pt>
                <c:pt idx="7">
                  <c:v>37.765957446808514</c:v>
                </c:pt>
                <c:pt idx="8">
                  <c:v>44.729206963249517</c:v>
                </c:pt>
                <c:pt idx="9">
                  <c:v>48.500967117988395</c:v>
                </c:pt>
                <c:pt idx="10">
                  <c:v>53.771760154738878</c:v>
                </c:pt>
                <c:pt idx="11">
                  <c:v>56.769825918762088</c:v>
                </c:pt>
                <c:pt idx="12">
                  <c:v>58.172147001934235</c:v>
                </c:pt>
                <c:pt idx="13">
                  <c:v>60.444874274661508</c:v>
                </c:pt>
                <c:pt idx="14">
                  <c:v>62.379110251450676</c:v>
                </c:pt>
                <c:pt idx="15">
                  <c:v>66.7311411992263</c:v>
                </c:pt>
                <c:pt idx="16">
                  <c:v>77.417794970986463</c:v>
                </c:pt>
                <c:pt idx="17">
                  <c:v>75.145067698259183</c:v>
                </c:pt>
                <c:pt idx="18">
                  <c:v>68.665377176015468</c:v>
                </c:pt>
                <c:pt idx="19">
                  <c:v>65.812379110251456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D4-6A4A-8F47-955BA148DEBF}"/>
            </c:ext>
          </c:extLst>
        </c:ser>
        <c:ser>
          <c:idx val="6"/>
          <c:order val="6"/>
          <c:tx>
            <c:strRef>
              <c:f>'5. Macro-Economics '!$I$110</c:f>
              <c:strCache>
                <c:ptCount val="1"/>
                <c:pt idx="0">
                  <c:v>Mortgage Rate</c:v>
                </c:pt>
              </c:strCache>
            </c:strRef>
          </c:tx>
          <c:spPr>
            <a:ln w="28575" cap="rnd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cat>
            <c:numRef>
              <c:f>'5. Macro-Economics '!$B$111:$B$130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'5. Macro-Economics '!$I$111:$I$130</c:f>
              <c:numCache>
                <c:formatCode>0.0</c:formatCode>
                <c:ptCount val="20"/>
                <c:pt idx="0">
                  <c:v>100</c:v>
                </c:pt>
                <c:pt idx="1">
                  <c:v>109.1993185689949</c:v>
                </c:pt>
                <c:pt idx="2">
                  <c:v>108.0068143100511</c:v>
                </c:pt>
                <c:pt idx="3">
                  <c:v>102.72572402044293</c:v>
                </c:pt>
                <c:pt idx="4">
                  <c:v>85.860306643952299</c:v>
                </c:pt>
                <c:pt idx="5">
                  <c:v>79.897785349233402</c:v>
                </c:pt>
                <c:pt idx="6">
                  <c:v>75.809199318569</c:v>
                </c:pt>
                <c:pt idx="7">
                  <c:v>62.35093696763203</c:v>
                </c:pt>
                <c:pt idx="8">
                  <c:v>67.802385008517888</c:v>
                </c:pt>
                <c:pt idx="9">
                  <c:v>71.03918228279386</c:v>
                </c:pt>
                <c:pt idx="10">
                  <c:v>65.587734241908009</c:v>
                </c:pt>
                <c:pt idx="11">
                  <c:v>62.180579216354339</c:v>
                </c:pt>
                <c:pt idx="12">
                  <c:v>67.972742759795565</c:v>
                </c:pt>
                <c:pt idx="13">
                  <c:v>77.342419080068154</c:v>
                </c:pt>
                <c:pt idx="14">
                  <c:v>67.120954003407149</c:v>
                </c:pt>
                <c:pt idx="15">
                  <c:v>52.981260647359449</c:v>
                </c:pt>
                <c:pt idx="16">
                  <c:v>50.425894378194201</c:v>
                </c:pt>
                <c:pt idx="17">
                  <c:v>90.97103918228278</c:v>
                </c:pt>
                <c:pt idx="18">
                  <c:v>116.01362862010221</c:v>
                </c:pt>
                <c:pt idx="19">
                  <c:v>114.48040885860307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D4-6A4A-8F47-955BA148DEBF}"/>
            </c:ext>
          </c:extLst>
        </c:ser>
        <c:ser>
          <c:idx val="7"/>
          <c:order val="7"/>
          <c:tx>
            <c:strRef>
              <c:f>'5. Macro-Economics '!$J$110</c:f>
              <c:strCache>
                <c:ptCount val="1"/>
                <c:pt idx="0">
                  <c:v>Diesel Price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</c:spPr>
          <c:marker>
            <c:symbol val="none"/>
          </c:marker>
          <c:cat>
            <c:numRef>
              <c:f>'5. Macro-Economics '!$B$111:$B$130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'5. Macro-Economics '!$J$111:$J$130</c:f>
              <c:numCache>
                <c:formatCode>0.0</c:formatCode>
                <c:ptCount val="20"/>
                <c:pt idx="0">
                  <c:v>100</c:v>
                </c:pt>
                <c:pt idx="1">
                  <c:v>112.91666666666667</c:v>
                </c:pt>
                <c:pt idx="2">
                  <c:v>120</c:v>
                </c:pt>
                <c:pt idx="3">
                  <c:v>158.33333333333331</c:v>
                </c:pt>
                <c:pt idx="4">
                  <c:v>102.91666666666669</c:v>
                </c:pt>
                <c:pt idx="5">
                  <c:v>124.58333333333336</c:v>
                </c:pt>
                <c:pt idx="6">
                  <c:v>160</c:v>
                </c:pt>
                <c:pt idx="7">
                  <c:v>165.41666666666669</c:v>
                </c:pt>
                <c:pt idx="8">
                  <c:v>163.33333333333334</c:v>
                </c:pt>
                <c:pt idx="9">
                  <c:v>159.58333333333334</c:v>
                </c:pt>
                <c:pt idx="10">
                  <c:v>112.91666666666667</c:v>
                </c:pt>
                <c:pt idx="11">
                  <c:v>96.25</c:v>
                </c:pt>
                <c:pt idx="12">
                  <c:v>110.41666666666667</c:v>
                </c:pt>
                <c:pt idx="13">
                  <c:v>132.50000000000003</c:v>
                </c:pt>
                <c:pt idx="14">
                  <c:v>127.50000000000001</c:v>
                </c:pt>
                <c:pt idx="15">
                  <c:v>106.25</c:v>
                </c:pt>
                <c:pt idx="16">
                  <c:v>136.66666666666666</c:v>
                </c:pt>
                <c:pt idx="17">
                  <c:v>208.33333333333334</c:v>
                </c:pt>
                <c:pt idx="18">
                  <c:v>175.41666666666666</c:v>
                </c:pt>
                <c:pt idx="19">
                  <c:v>158.75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D4-6A4A-8F47-955BA148D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445375"/>
        <c:axId val="2023447087"/>
      </c:lineChart>
      <c:catAx>
        <c:axId val="2023445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23447087"/>
        <c:crosses val="autoZero"/>
        <c:auto val="1"/>
        <c:lblAlgn val="ctr"/>
        <c:lblOffset val="100"/>
        <c:tickLblSkip val="2"/>
        <c:noMultiLvlLbl val="0"/>
      </c:catAx>
      <c:valAx>
        <c:axId val="202344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(2005 = 100)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234453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21</xdr:row>
      <xdr:rowOff>115047</xdr:rowOff>
    </xdr:from>
    <xdr:to>
      <xdr:col>10</xdr:col>
      <xdr:colOff>381000</xdr:colOff>
      <xdr:row>40</xdr:row>
      <xdr:rowOff>58271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139700</xdr:rowOff>
    </xdr:from>
    <xdr:to>
      <xdr:col>5</xdr:col>
      <xdr:colOff>190500</xdr:colOff>
      <xdr:row>40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228600</xdr:colOff>
      <xdr:row>1</xdr:row>
      <xdr:rowOff>190500</xdr:rowOff>
    </xdr:from>
    <xdr:to>
      <xdr:col>10</xdr:col>
      <xdr:colOff>355600</xdr:colOff>
      <xdr:row>20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41</xdr:row>
      <xdr:rowOff>25400</xdr:rowOff>
    </xdr:from>
    <xdr:to>
      <xdr:col>5</xdr:col>
      <xdr:colOff>190500</xdr:colOff>
      <xdr:row>59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277906</xdr:colOff>
      <xdr:row>41</xdr:row>
      <xdr:rowOff>23159</xdr:rowOff>
    </xdr:from>
    <xdr:to>
      <xdr:col>10</xdr:col>
      <xdr:colOff>404906</xdr:colOff>
      <xdr:row>59</xdr:row>
      <xdr:rowOff>175559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33</xdr:row>
      <xdr:rowOff>12700</xdr:rowOff>
    </xdr:from>
    <xdr:to>
      <xdr:col>18</xdr:col>
      <xdr:colOff>622300</xdr:colOff>
      <xdr:row>56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177800</xdr:colOff>
      <xdr:row>84</xdr:row>
      <xdr:rowOff>76200</xdr:rowOff>
    </xdr:from>
    <xdr:to>
      <xdr:col>22</xdr:col>
      <xdr:colOff>0</xdr:colOff>
      <xdr:row>106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0</xdr:rowOff>
    </xdr:from>
    <xdr:to>
      <xdr:col>14</xdr:col>
      <xdr:colOff>800100</xdr:colOff>
      <xdr:row>13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14</xdr:row>
      <xdr:rowOff>127000</xdr:rowOff>
    </xdr:from>
    <xdr:to>
      <xdr:col>14</xdr:col>
      <xdr:colOff>800100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29</xdr:row>
      <xdr:rowOff>127000</xdr:rowOff>
    </xdr:from>
    <xdr:to>
      <xdr:col>14</xdr:col>
      <xdr:colOff>800100</xdr:colOff>
      <xdr:row>43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74</xdr:row>
      <xdr:rowOff>0</xdr:rowOff>
    </xdr:from>
    <xdr:to>
      <xdr:col>16</xdr:col>
      <xdr:colOff>436606</xdr:colOff>
      <xdr:row>87</xdr:row>
      <xdr:rowOff>63157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89</xdr:row>
      <xdr:rowOff>0</xdr:rowOff>
    </xdr:from>
    <xdr:to>
      <xdr:col>16</xdr:col>
      <xdr:colOff>436606</xdr:colOff>
      <xdr:row>102</xdr:row>
      <xdr:rowOff>63157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203201</xdr:colOff>
      <xdr:row>109</xdr:row>
      <xdr:rowOff>0</xdr:rowOff>
    </xdr:from>
    <xdr:to>
      <xdr:col>21</xdr:col>
      <xdr:colOff>626534</xdr:colOff>
      <xdr:row>130</xdr:row>
      <xdr:rowOff>169332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9_FinanciaData"/>
      <sheetName val="Sheet9_Financial Data"/>
      <sheetName val="Sheet5_Macro_Economics"/>
      <sheetName val="Sheet 4 ESG Analysis"/>
      <sheetName val="Sheet5"/>
      <sheetName val="Peer_Standardized"/>
      <sheetName val="Macro_Data_Reference"/>
    </sheetNames>
    <sheetDataSet>
      <sheetData sheetId="0"/>
      <sheetData sheetId="1">
        <row r="4">
          <cell r="B4">
            <v>44991</v>
          </cell>
          <cell r="C4">
            <v>179.79</v>
          </cell>
          <cell r="D4">
            <v>404.47</v>
          </cell>
          <cell r="E4">
            <v>41.615000000000002</v>
          </cell>
          <cell r="T4">
            <v>0</v>
          </cell>
        </row>
        <row r="5">
          <cell r="F5">
            <v>-1.4238834195450245E-2</v>
          </cell>
          <cell r="G5">
            <v>-1.5328701757856056E-2</v>
          </cell>
          <cell r="H5">
            <v>-1.9704433497536922E-2</v>
          </cell>
          <cell r="T5">
            <v>-1.4238834195450245E-2</v>
          </cell>
        </row>
        <row r="6">
          <cell r="F6">
            <v>9.5356316650678785E-3</v>
          </cell>
          <cell r="G6">
            <v>1.6320586536773263E-3</v>
          </cell>
          <cell r="H6">
            <v>4.9025615884299434E-3</v>
          </cell>
          <cell r="T6">
            <v>-4.8389788086101726E-3</v>
          </cell>
        </row>
        <row r="7">
          <cell r="F7">
            <v>-2.7107086966241867E-2</v>
          </cell>
          <cell r="G7">
            <v>-1.8449814499147732E-2</v>
          </cell>
          <cell r="H7">
            <v>-2.5734845712891863E-2</v>
          </cell>
          <cell r="T7">
            <v>-3.1814895155459211E-2</v>
          </cell>
        </row>
        <row r="8">
          <cell r="F8">
            <v>-2.7460217154018474E-2</v>
          </cell>
          <cell r="G8">
            <v>-1.4429461640616981E-2</v>
          </cell>
          <cell r="H8">
            <v>-2.1281922884326399E-2</v>
          </cell>
          <cell r="T8">
            <v>-5.8401468379776444E-2</v>
          </cell>
        </row>
        <row r="9">
          <cell r="F9">
            <v>-1.9552247622423025E-2</v>
          </cell>
          <cell r="G9">
            <v>-1.4252027674847012E-3</v>
          </cell>
          <cell r="H9">
            <v>-1.0232796111537601E-2</v>
          </cell>
          <cell r="T9">
            <v>-7.6811836030925007E-2</v>
          </cell>
        </row>
        <row r="10">
          <cell r="F10">
            <v>9.2179780696468594E-3</v>
          </cell>
          <cell r="G10">
            <v>1.6529997924019213E-2</v>
          </cell>
          <cell r="H10">
            <v>1.2794003618506133E-2</v>
          </cell>
          <cell r="T10">
            <v>-6.8301907781300519E-2</v>
          </cell>
        </row>
        <row r="11">
          <cell r="F11">
            <v>-2.8058026386484358E-2</v>
          </cell>
          <cell r="G11">
            <v>-6.2543078140556707E-3</v>
          </cell>
          <cell r="H11">
            <v>-3.2410361107566787E-2</v>
          </cell>
          <cell r="T11">
            <v>-9.4443517437009961E-2</v>
          </cell>
        </row>
        <row r="12">
          <cell r="F12">
            <v>2.0883238130336101E-2</v>
          </cell>
          <cell r="G12">
            <v>1.7545211672832073E-2</v>
          </cell>
          <cell r="H12">
            <v>1.1473031781616738E-2</v>
          </cell>
          <cell r="T12">
            <v>-7.5532565771177507E-2</v>
          </cell>
        </row>
        <row r="13">
          <cell r="F13">
            <v>-3.1225558028999401E-2</v>
          </cell>
          <cell r="G13">
            <v>-1.5450253717401718E-2</v>
          </cell>
          <cell r="H13">
            <v>-1.5514993481095196E-2</v>
          </cell>
          <cell r="T13">
            <v>-0.1043995772846098</v>
          </cell>
        </row>
        <row r="14">
          <cell r="F14">
            <v>1.3973419450999947E-2</v>
          </cell>
          <cell r="G14">
            <v>9.6156311700299479E-3</v>
          </cell>
          <cell r="H14">
            <v>1.6156800423784867E-2</v>
          </cell>
          <cell r="T14">
            <v>-9.1884976917514849E-2</v>
          </cell>
        </row>
        <row r="15">
          <cell r="F15">
            <v>1.7578244625466866E-2</v>
          </cell>
          <cell r="G15">
            <v>1.3130492202976685E-2</v>
          </cell>
          <cell r="H15">
            <v>1.2120422259872088E-2</v>
          </cell>
          <cell r="T15">
            <v>-7.5921908893709422E-2</v>
          </cell>
        </row>
        <row r="16">
          <cell r="F16">
            <v>-1.4626218851570782E-2</v>
          </cell>
          <cell r="G16">
            <v>-1.7046451580557065E-2</v>
          </cell>
          <cell r="H16">
            <v>-1.7769765645119673E-2</v>
          </cell>
          <cell r="T16">
            <v>-8.9437677290171824E-2</v>
          </cell>
        </row>
        <row r="17">
          <cell r="F17">
            <v>4.8256062549629775E-3</v>
          </cell>
          <cell r="G17">
            <v>2.7033230471040781E-3</v>
          </cell>
          <cell r="H17">
            <v>-1.1798636601992873E-3</v>
          </cell>
          <cell r="T17">
            <v>-8.5043662050169666E-2</v>
          </cell>
        </row>
        <row r="18">
          <cell r="F18">
            <v>1.0334346504559111E-2</v>
          </cell>
          <cell r="G18">
            <v>6.5620469517002622E-3</v>
          </cell>
          <cell r="H18">
            <v>8.1375508596930324E-3</v>
          </cell>
          <cell r="T18">
            <v>-7.5588186217253606E-2</v>
          </cell>
        </row>
        <row r="19">
          <cell r="F19">
            <v>-2.4067388688325808E-3</v>
          </cell>
          <cell r="G19">
            <v>1.8698673404926591E-3</v>
          </cell>
          <cell r="H19">
            <v>7.4209087358416692E-3</v>
          </cell>
          <cell r="T19">
            <v>-7.7813004060292568E-2</v>
          </cell>
        </row>
        <row r="20">
          <cell r="F20">
            <v>1.3510253317249532E-2</v>
          </cell>
          <cell r="G20">
            <v>-2.2446972180887315E-3</v>
          </cell>
          <cell r="H20">
            <v>4.7815973119669231E-3</v>
          </cell>
          <cell r="T20">
            <v>-6.5354024139273714E-2</v>
          </cell>
        </row>
        <row r="21">
          <cell r="F21">
            <v>1.1604379909545548E-2</v>
          </cell>
          <cell r="G21">
            <v>1.4534883720930258E-2</v>
          </cell>
          <cell r="H21">
            <v>1.3890675241157613E-2</v>
          </cell>
          <cell r="T21">
            <v>-5.4508037154457956E-2</v>
          </cell>
        </row>
        <row r="22">
          <cell r="F22">
            <v>8.8240484734392055E-4</v>
          </cell>
          <cell r="G22">
            <v>5.8552385698267262E-3</v>
          </cell>
          <cell r="H22">
            <v>6.8501839401244879E-3</v>
          </cell>
          <cell r="T22">
            <v>-5.3673730463318359E-2</v>
          </cell>
        </row>
        <row r="23">
          <cell r="F23">
            <v>8.3460679440461316E-3</v>
          </cell>
          <cell r="G23">
            <v>1.4094624721327609E-2</v>
          </cell>
          <cell r="H23">
            <v>1.62529923144763E-2</v>
          </cell>
          <cell r="T23">
            <v>-4.5775627120529516E-2</v>
          </cell>
        </row>
        <row r="24">
          <cell r="F24">
            <v>7.9855444159477873E-3</v>
          </cell>
          <cell r="G24">
            <v>3.8105473997900319E-3</v>
          </cell>
          <cell r="H24">
            <v>6.322836598066095E-3</v>
          </cell>
          <cell r="T24">
            <v>-3.8155626008120613E-2</v>
          </cell>
        </row>
        <row r="25">
          <cell r="F25">
            <v>-2.3535534609379516E-2</v>
          </cell>
          <cell r="G25">
            <v>-5.5481202092710902E-3</v>
          </cell>
          <cell r="H25">
            <v>-1.4414192435628914E-2</v>
          </cell>
          <cell r="T25">
            <v>-6.0793147561043481E-2</v>
          </cell>
        </row>
        <row r="26">
          <cell r="F26">
            <v>-2.8425914959137821E-2</v>
          </cell>
          <cell r="G26">
            <v>-2.618249443316123E-3</v>
          </cell>
          <cell r="H26">
            <v>-2.2500000000000853E-3</v>
          </cell>
          <cell r="T26">
            <v>-8.7490961677512802E-2</v>
          </cell>
        </row>
        <row r="27">
          <cell r="F27">
            <v>5.3029379495306284E-3</v>
          </cell>
          <cell r="G27">
            <v>3.9008832188418552E-3</v>
          </cell>
          <cell r="H27">
            <v>-2.3803558005511816E-3</v>
          </cell>
          <cell r="T27">
            <v>-8.265198286890274E-2</v>
          </cell>
        </row>
        <row r="28">
          <cell r="F28">
            <v>6.5482325835202193E-3</v>
          </cell>
          <cell r="G28">
            <v>1.0264180454067073E-3</v>
          </cell>
          <cell r="H28">
            <v>4.7720708275775792E-3</v>
          </cell>
          <cell r="T28">
            <v>-7.6644974692697265E-2</v>
          </cell>
        </row>
        <row r="29">
          <cell r="F29">
            <v>3.3732907656165434E-3</v>
          </cell>
          <cell r="G29">
            <v>2.6854813114907117E-4</v>
          </cell>
          <cell r="H29">
            <v>7.7490313710784076E-3</v>
          </cell>
          <cell r="T29">
            <v>-7.3530229712442496E-2</v>
          </cell>
        </row>
        <row r="30">
          <cell r="F30">
            <v>4.5026115146784562E-3</v>
          </cell>
          <cell r="G30">
            <v>-4.0759543102607543E-3</v>
          </cell>
          <cell r="H30">
            <v>7.4413989830079963E-4</v>
          </cell>
          <cell r="T30">
            <v>-6.935869625674429E-2</v>
          </cell>
        </row>
        <row r="31">
          <cell r="F31">
            <v>1.2789863734162132E-2</v>
          </cell>
          <cell r="G31">
            <v>1.328268594534987E-2</v>
          </cell>
          <cell r="H31">
            <v>1.0286280827859651E-2</v>
          </cell>
          <cell r="T31">
            <v>-5.7455920796485094E-2</v>
          </cell>
        </row>
        <row r="32">
          <cell r="F32">
            <v>-2.2424170895786188E-3</v>
          </cell>
          <cell r="G32">
            <v>-2.442740706701918E-3</v>
          </cell>
          <cell r="H32">
            <v>-7.2374877330715348E-3</v>
          </cell>
          <cell r="T32">
            <v>-5.9569497747372191E-2</v>
          </cell>
        </row>
        <row r="33">
          <cell r="F33">
            <v>1.6560208185474323E-2</v>
          </cell>
          <cell r="G33">
            <v>3.5882267371381005E-3</v>
          </cell>
          <cell r="H33">
            <v>5.8074879525515932E-3</v>
          </cell>
          <cell r="T33">
            <v>-4.3995772846098458E-2</v>
          </cell>
        </row>
        <row r="34">
          <cell r="F34">
            <v>2.7926460321154867E-3</v>
          </cell>
          <cell r="G34">
            <v>6.5226844470211987E-4</v>
          </cell>
          <cell r="H34">
            <v>4.1769041769039728E-3</v>
          </cell>
          <cell r="T34">
            <v>-4.1325991434451481E-2</v>
          </cell>
        </row>
        <row r="35">
          <cell r="F35">
            <v>6.8461359944300693E-3</v>
          </cell>
          <cell r="G35">
            <v>-1.6899640279088857E-4</v>
          </cell>
          <cell r="H35">
            <v>-2.8137998531929664E-3</v>
          </cell>
          <cell r="T35">
            <v>-3.4762778797486349E-2</v>
          </cell>
        </row>
        <row r="36">
          <cell r="F36">
            <v>-6.3385962890399883E-3</v>
          </cell>
          <cell r="G36">
            <v>-5.4570918047036621E-3</v>
          </cell>
          <cell r="H36">
            <v>-1.1041589988959322E-3</v>
          </cell>
          <cell r="T36">
            <v>-4.0881027865843911E-2</v>
          </cell>
        </row>
        <row r="37">
          <cell r="F37">
            <v>-7.5388540941777604E-3</v>
          </cell>
          <cell r="G37">
            <v>7.769253180538449E-4</v>
          </cell>
          <cell r="H37">
            <v>-8.8430361090641174E-3</v>
          </cell>
          <cell r="T37">
            <v>-4.8111685855721009E-2</v>
          </cell>
        </row>
        <row r="38">
          <cell r="F38">
            <v>1.5776557204627562E-3</v>
          </cell>
          <cell r="G38">
            <v>1.0431829209121002E-3</v>
          </cell>
          <cell r="H38">
            <v>6.8153655514249234E-3</v>
          </cell>
          <cell r="T38">
            <v>-4.6609933811669668E-2</v>
          </cell>
        </row>
        <row r="39">
          <cell r="F39">
            <v>-1.0151099702467858E-2</v>
          </cell>
          <cell r="G39">
            <v>-1.5873785231321103E-2</v>
          </cell>
          <cell r="H39">
            <v>-2.166153846153851E-2</v>
          </cell>
          <cell r="T39">
            <v>-5.6287891428889791E-2</v>
          </cell>
        </row>
        <row r="40">
          <cell r="F40">
            <v>-1.779925738197663E-2</v>
          </cell>
          <cell r="G40">
            <v>-4.2356185973206895E-3</v>
          </cell>
          <cell r="H40">
            <v>-1.1825386841112007E-2</v>
          </cell>
          <cell r="T40">
            <v>-7.3085266143834815E-2</v>
          </cell>
        </row>
        <row r="41">
          <cell r="F41">
            <v>3.7983798379837896E-2</v>
          </cell>
          <cell r="G41">
            <v>1.9908002769809086E-2</v>
          </cell>
          <cell r="H41">
            <v>1.3621896880967599E-2</v>
          </cell>
          <cell r="T41">
            <v>-3.7877523777741118E-2</v>
          </cell>
        </row>
        <row r="42">
          <cell r="F42">
            <v>1.2371372412995907E-2</v>
          </cell>
          <cell r="G42">
            <v>8.5351955578185645E-3</v>
          </cell>
          <cell r="H42">
            <v>1.1680482290881589E-2</v>
          </cell>
          <cell r="T42">
            <v>-2.59747483174817E-2</v>
          </cell>
        </row>
        <row r="43">
          <cell r="F43">
            <v>1.3647784376427552E-2</v>
          </cell>
          <cell r="G43">
            <v>-1.0097853004111812E-3</v>
          </cell>
          <cell r="H43">
            <v>-4.965859714461951E-4</v>
          </cell>
          <cell r="T43">
            <v>-1.2681461705323138E-2</v>
          </cell>
        </row>
        <row r="44">
          <cell r="F44">
            <v>9.9149343698947678E-3</v>
          </cell>
          <cell r="G44">
            <v>-1.1239200019253492E-2</v>
          </cell>
          <cell r="H44">
            <v>-9.6882374860265408E-3</v>
          </cell>
          <cell r="T44">
            <v>-2.8922631959509282E-3</v>
          </cell>
        </row>
        <row r="45">
          <cell r="F45">
            <v>-3.6258158085569203E-3</v>
          </cell>
          <cell r="G45">
            <v>-6.8639859799435321E-3</v>
          </cell>
          <cell r="H45">
            <v>-1.1037250721184111E-2</v>
          </cell>
          <cell r="T45">
            <v>-6.5075921908894774E-3</v>
          </cell>
        </row>
        <row r="46">
          <cell r="F46">
            <v>6.4998320456835623E-2</v>
          </cell>
          <cell r="G46">
            <v>-7.0829861281309636E-3</v>
          </cell>
          <cell r="H46">
            <v>-6.4679771718451073E-3</v>
          </cell>
          <cell r="T46">
            <v>0</v>
          </cell>
        </row>
        <row r="47">
          <cell r="F47">
            <v>1.7557693318614342E-2</v>
          </cell>
          <cell r="G47">
            <v>1.8512576210105491E-2</v>
          </cell>
          <cell r="H47">
            <v>1.6849629818738832E-2</v>
          </cell>
          <cell r="T47">
            <v>0</v>
          </cell>
        </row>
        <row r="48">
          <cell r="F48">
            <v>-3.8229064421139158E-3</v>
          </cell>
          <cell r="G48">
            <v>2.6658265273971082E-4</v>
          </cell>
          <cell r="H48">
            <v>-3.2638714536780133E-3</v>
          </cell>
          <cell r="T48">
            <v>-3.8229064421138048E-3</v>
          </cell>
        </row>
        <row r="49">
          <cell r="F49">
            <v>1.4520562153192973E-3</v>
          </cell>
          <cell r="G49">
            <v>-4.3853273247080882E-3</v>
          </cell>
          <cell r="H49">
            <v>-9.0680100755667903E-3</v>
          </cell>
          <cell r="T49">
            <v>-2.3764013018544583E-3</v>
          </cell>
        </row>
        <row r="50">
          <cell r="F50">
            <v>1.5431619284345555E-2</v>
          </cell>
          <cell r="G50">
            <v>4.6723286204464198E-3</v>
          </cell>
          <cell r="H50">
            <v>6.3548551093028927E-4</v>
          </cell>
          <cell r="T50">
            <v>0</v>
          </cell>
        </row>
        <row r="51">
          <cell r="F51">
            <v>-6.4256208883675114E-3</v>
          </cell>
          <cell r="G51">
            <v>-1.7439748092528129E-3</v>
          </cell>
          <cell r="H51">
            <v>-9.7802616537534526E-3</v>
          </cell>
          <cell r="T51">
            <v>-6.4256208883676225E-3</v>
          </cell>
        </row>
        <row r="52">
          <cell r="F52">
            <v>2.8229738746599065E-3</v>
          </cell>
          <cell r="G52">
            <v>-1.3102661781476677E-3</v>
          </cell>
          <cell r="H52">
            <v>1.7957927142124852E-3</v>
          </cell>
          <cell r="T52">
            <v>-3.6207863736040791E-3</v>
          </cell>
        </row>
        <row r="53">
          <cell r="F53">
            <v>4.0434026000613077E-3</v>
          </cell>
          <cell r="G53">
            <v>3.4500352292330394E-3</v>
          </cell>
          <cell r="H53">
            <v>8.4507042253523235E-3</v>
          </cell>
          <cell r="T53">
            <v>0</v>
          </cell>
        </row>
        <row r="54">
          <cell r="F54">
            <v>-5.9132385176122737E-3</v>
          </cell>
          <cell r="G54">
            <v>-6.6826469092757801E-3</v>
          </cell>
          <cell r="H54">
            <v>-1.6505840528187044E-2</v>
          </cell>
          <cell r="T54">
            <v>-5.9132385176123847E-3</v>
          </cell>
        </row>
        <row r="55">
          <cell r="F55">
            <v>7.6919132352186725E-3</v>
          </cell>
          <cell r="G55">
            <v>1.213893967093238E-2</v>
          </cell>
          <cell r="H55">
            <v>6.5840433772270668E-3</v>
          </cell>
          <cell r="T55">
            <v>0</v>
          </cell>
        </row>
        <row r="56">
          <cell r="F56">
            <v>-5.0887995521853302E-4</v>
          </cell>
          <cell r="G56">
            <v>9.6332153264455656E-3</v>
          </cell>
          <cell r="H56">
            <v>5.8997050147493457E-3</v>
          </cell>
          <cell r="T56">
            <v>-5.08879955218422E-4</v>
          </cell>
        </row>
        <row r="57">
          <cell r="F57">
            <v>4.12402627157471E-3</v>
          </cell>
          <cell r="G57">
            <v>-1.4550485413734604E-3</v>
          </cell>
          <cell r="H57">
            <v>2.5500446257809006E-3</v>
          </cell>
          <cell r="T57">
            <v>0</v>
          </cell>
        </row>
        <row r="58">
          <cell r="F58">
            <v>2.0281918669495802E-4</v>
          </cell>
          <cell r="G58">
            <v>4.0609622091647424E-4</v>
          </cell>
          <cell r="H58">
            <v>-5.2142947984229471E-3</v>
          </cell>
          <cell r="T58">
            <v>0</v>
          </cell>
        </row>
        <row r="59">
          <cell r="F59">
            <v>-1.0443070059819592E-2</v>
          </cell>
          <cell r="G59">
            <v>-1.1222808567539877E-2</v>
          </cell>
          <cell r="H59">
            <v>-1.5469189465609712E-2</v>
          </cell>
          <cell r="T59">
            <v>-1.0443070059819703E-2</v>
          </cell>
        </row>
        <row r="60">
          <cell r="F60">
            <v>-5.6352459016393297E-3</v>
          </cell>
          <cell r="G60">
            <v>-7.2448018546692472E-3</v>
          </cell>
          <cell r="H60">
            <v>-1.1427087391247981E-2</v>
          </cell>
          <cell r="T60">
            <v>-1.601946669370391E-2</v>
          </cell>
        </row>
        <row r="61">
          <cell r="F61">
            <v>5.1519835136526471E-3</v>
          </cell>
          <cell r="G61">
            <v>8.6599041572406055E-3</v>
          </cell>
          <cell r="H61">
            <v>-3.5465650860370124E-3</v>
          </cell>
          <cell r="T61">
            <v>-1.0950015208354702E-2</v>
          </cell>
        </row>
        <row r="62">
          <cell r="F62">
            <v>4.6130189646336195E-3</v>
          </cell>
          <cell r="G62">
            <v>1.2950681297479782E-2</v>
          </cell>
          <cell r="H62">
            <v>5.0092275243869278E-3</v>
          </cell>
          <cell r="T62">
            <v>-6.3875088715402706E-3</v>
          </cell>
        </row>
        <row r="63">
          <cell r="F63">
            <v>2.5510204081635734E-4</v>
          </cell>
          <cell r="G63">
            <v>3.8093424122664921E-4</v>
          </cell>
          <cell r="H63">
            <v>-5.3777544596012028E-3</v>
          </cell>
          <cell r="T63">
            <v>-6.1340362972728268E-3</v>
          </cell>
        </row>
        <row r="64">
          <cell r="F64">
            <v>-2.8054067839837771E-3</v>
          </cell>
          <cell r="G64">
            <v>-5.5452425151125695E-3</v>
          </cell>
          <cell r="H64">
            <v>-1.0681788210470833E-2</v>
          </cell>
          <cell r="T64">
            <v>-8.922234614215041E-3</v>
          </cell>
        </row>
        <row r="65">
          <cell r="F65">
            <v>1.6879795396419484E-2</v>
          </cell>
          <cell r="G65">
            <v>9.5010171114036091E-3</v>
          </cell>
          <cell r="H65">
            <v>1.3329778725673203E-2</v>
          </cell>
          <cell r="T65">
            <v>0</v>
          </cell>
        </row>
        <row r="66">
          <cell r="F66">
            <v>1.9768611670019975E-2</v>
          </cell>
          <cell r="G66">
            <v>1.4461144564032136E-2</v>
          </cell>
          <cell r="H66">
            <v>3.3543804262036181E-2</v>
          </cell>
          <cell r="T66">
            <v>0</v>
          </cell>
        </row>
        <row r="67">
          <cell r="F67">
            <v>-2.4170078429437414E-3</v>
          </cell>
          <cell r="G67">
            <v>-1.9162460272947879E-3</v>
          </cell>
          <cell r="H67">
            <v>-7.6365024818614291E-4</v>
          </cell>
          <cell r="T67">
            <v>-2.4170078429436304E-3</v>
          </cell>
        </row>
        <row r="68">
          <cell r="F68">
            <v>4.3512658227848888E-3</v>
          </cell>
          <cell r="G68">
            <v>2.1774760009365401E-3</v>
          </cell>
          <cell r="H68">
            <v>6.3686154629982727E-3</v>
          </cell>
          <cell r="T68">
            <v>0</v>
          </cell>
        </row>
        <row r="69">
          <cell r="F69">
            <v>9.2063804647499747E-3</v>
          </cell>
          <cell r="G69">
            <v>-3.4577015629744245E-3</v>
          </cell>
          <cell r="H69">
            <v>1.1897228198962218E-2</v>
          </cell>
          <cell r="T69">
            <v>0</v>
          </cell>
        </row>
        <row r="70">
          <cell r="F70">
            <v>5.8051612273768427E-3</v>
          </cell>
          <cell r="G70">
            <v>6.0485288946194871E-3</v>
          </cell>
          <cell r="H70">
            <v>-3.6272670419013053E-3</v>
          </cell>
          <cell r="T70">
            <v>0</v>
          </cell>
        </row>
        <row r="71">
          <cell r="F71">
            <v>2.2310602386264033E-3</v>
          </cell>
          <cell r="G71">
            <v>1.7943280590961841E-3</v>
          </cell>
          <cell r="H71">
            <v>-8.285212151644461E-3</v>
          </cell>
          <cell r="T71">
            <v>0</v>
          </cell>
        </row>
        <row r="72">
          <cell r="F72">
            <v>-3.6295005807200909E-3</v>
          </cell>
          <cell r="G72">
            <v>9.0718771807398735E-3</v>
          </cell>
          <cell r="H72">
            <v>4.5569620253165244E-3</v>
          </cell>
          <cell r="T72">
            <v>-3.6295005807199798E-3</v>
          </cell>
        </row>
        <row r="73">
          <cell r="F73">
            <v>8.7911020447812849E-3</v>
          </cell>
          <cell r="G73">
            <v>6.5928999538957811E-3</v>
          </cell>
          <cell r="H73">
            <v>2.3185483870967749E-2</v>
          </cell>
          <cell r="T73">
            <v>0</v>
          </cell>
        </row>
        <row r="74">
          <cell r="F74">
            <v>-1.4925373134327957E-3</v>
          </cell>
          <cell r="G74">
            <v>1.1908578756927302E-3</v>
          </cell>
          <cell r="H74">
            <v>-4.1871921182266014E-3</v>
          </cell>
          <cell r="T74">
            <v>-1.4925373134326847E-3</v>
          </cell>
        </row>
        <row r="75">
          <cell r="F75">
            <v>7.4738415545589909E-3</v>
          </cell>
          <cell r="G75">
            <v>1.2397639416258821E-2</v>
          </cell>
          <cell r="H75">
            <v>8.5332673757110289E-3</v>
          </cell>
          <cell r="T75">
            <v>0</v>
          </cell>
        </row>
        <row r="76">
          <cell r="F76">
            <v>-7.8012826648798939E-3</v>
          </cell>
          <cell r="G76">
            <v>-7.0944419340263076E-3</v>
          </cell>
          <cell r="H76">
            <v>2.4524831391785629E-3</v>
          </cell>
          <cell r="T76">
            <v>-7.8012826648797828E-3</v>
          </cell>
        </row>
        <row r="77">
          <cell r="F77">
            <v>6.6084607592493683E-3</v>
          </cell>
          <cell r="G77">
            <v>-5.1881855003867994E-3</v>
          </cell>
          <cell r="H77">
            <v>-1.834862385321101E-2</v>
          </cell>
          <cell r="T77">
            <v>-1.2443763759931725E-3</v>
          </cell>
        </row>
        <row r="78">
          <cell r="F78">
            <v>9.0569292696951464E-3</v>
          </cell>
          <cell r="G78">
            <v>-5.1237476554280015E-3</v>
          </cell>
          <cell r="H78">
            <v>3.2398753894080645E-3</v>
          </cell>
          <cell r="T78">
            <v>0</v>
          </cell>
        </row>
        <row r="79">
          <cell r="F79">
            <v>1.3677161988887354E-2</v>
          </cell>
          <cell r="G79">
            <v>3.6096932910285595E-3</v>
          </cell>
          <cell r="H79">
            <v>-2.3599552850579464E-3</v>
          </cell>
          <cell r="T79">
            <v>0</v>
          </cell>
        </row>
        <row r="80">
          <cell r="F80">
            <v>4.5912391660811736E-3</v>
          </cell>
          <cell r="G80">
            <v>-7.5599642619871288E-3</v>
          </cell>
          <cell r="H80">
            <v>-8.0926294820715672E-3</v>
          </cell>
          <cell r="T80">
            <v>0</v>
          </cell>
        </row>
        <row r="81">
          <cell r="F81">
            <v>1.5855990299864509E-3</v>
          </cell>
          <cell r="G81">
            <v>-4.0857782599662551E-3</v>
          </cell>
          <cell r="H81">
            <v>1.0417974143341224E-2</v>
          </cell>
          <cell r="T81">
            <v>0</v>
          </cell>
        </row>
        <row r="82">
          <cell r="F82">
            <v>2.6307212366717847E-2</v>
          </cell>
          <cell r="G82">
            <v>1.0963285740775097E-2</v>
          </cell>
          <cell r="H82">
            <v>1.4161490683229916E-2</v>
          </cell>
          <cell r="T82">
            <v>0</v>
          </cell>
        </row>
        <row r="83">
          <cell r="F83">
            <v>1.9961890935487059E-3</v>
          </cell>
          <cell r="G83">
            <v>5.0439048994643798E-4</v>
          </cell>
          <cell r="H83">
            <v>-6.8593826555610748E-3</v>
          </cell>
          <cell r="T83">
            <v>0</v>
          </cell>
        </row>
        <row r="84">
          <cell r="F84">
            <v>1.8020465453228329E-2</v>
          </cell>
          <cell r="G84">
            <v>3.9414285386925041E-3</v>
          </cell>
          <cell r="H84">
            <v>1.2580167735569692E-2</v>
          </cell>
          <cell r="T84">
            <v>0</v>
          </cell>
        </row>
        <row r="85">
          <cell r="F85">
            <v>2.6685643123998126E-3</v>
          </cell>
          <cell r="G85">
            <v>1.1800689324598768E-2</v>
          </cell>
          <cell r="H85">
            <v>9.3788063337394423E-3</v>
          </cell>
          <cell r="T85">
            <v>0</v>
          </cell>
        </row>
        <row r="86">
          <cell r="F86">
            <v>-9.3151171043293068E-3</v>
          </cell>
          <cell r="G86">
            <v>1.1505143475907254E-3</v>
          </cell>
          <cell r="H86">
            <v>3.7407988415592008E-3</v>
          </cell>
          <cell r="T86">
            <v>-9.3151171043293068E-3</v>
          </cell>
        </row>
        <row r="87">
          <cell r="F87">
            <v>-1.2133966150264186E-2</v>
          </cell>
          <cell r="G87">
            <v>-1.4871898871088307E-3</v>
          </cell>
          <cell r="H87">
            <v>-2.4645347439288479E-2</v>
          </cell>
          <cell r="T87">
            <v>-2.1336053938963762E-2</v>
          </cell>
        </row>
        <row r="88">
          <cell r="F88">
            <v>-1.196573448760363E-2</v>
          </cell>
          <cell r="G88">
            <v>-7.8306591745085363E-3</v>
          </cell>
          <cell r="H88">
            <v>-7.2722790583014119E-3</v>
          </cell>
          <cell r="T88">
            <v>-3.3046486870120462E-2</v>
          </cell>
        </row>
        <row r="89">
          <cell r="F89">
            <v>-2.7982934997018427E-3</v>
          </cell>
          <cell r="G89">
            <v>-2.5246781603966983E-3</v>
          </cell>
          <cell r="H89">
            <v>8.6913334988822921E-3</v>
          </cell>
          <cell r="T89">
            <v>-3.575230660042561E-2</v>
          </cell>
        </row>
        <row r="90">
          <cell r="F90">
            <v>9.2464808170025226E-3</v>
          </cell>
          <cell r="G90">
            <v>2.5310682932391249E-3</v>
          </cell>
          <cell r="H90">
            <v>-2.4618414574095748E-4</v>
          </cell>
          <cell r="T90">
            <v>-2.6836408800567479E-2</v>
          </cell>
        </row>
        <row r="91">
          <cell r="F91">
            <v>1.9235152012398116E-2</v>
          </cell>
          <cell r="G91">
            <v>6.3685575217211632E-3</v>
          </cell>
          <cell r="H91">
            <v>9.8497906919476907E-3</v>
          </cell>
          <cell r="T91">
            <v>-8.1174591909151106E-3</v>
          </cell>
        </row>
        <row r="92">
          <cell r="F92">
            <v>-1.4891999463351402E-2</v>
          </cell>
          <cell r="G92">
            <v>8.0459250553721606E-3</v>
          </cell>
          <cell r="H92">
            <v>1.3167520117044695E-2</v>
          </cell>
          <cell r="T92">
            <v>-2.2888573456351757E-2</v>
          </cell>
        </row>
        <row r="93">
          <cell r="F93">
            <v>1.3982204467041903E-2</v>
          </cell>
          <cell r="G93">
            <v>7.9368638177661488E-3</v>
          </cell>
          <cell r="H93">
            <v>7.821901323706415E-3</v>
          </cell>
          <cell r="T93">
            <v>-9.2264017033354406E-3</v>
          </cell>
        </row>
        <row r="94">
          <cell r="F94">
            <v>6.223137535816603E-3</v>
          </cell>
          <cell r="G94">
            <v>-6.2283121274142594E-4</v>
          </cell>
          <cell r="H94">
            <v>-5.8507462686566702E-3</v>
          </cell>
          <cell r="T94">
            <v>-3.0606813342795025E-3</v>
          </cell>
        </row>
        <row r="95">
          <cell r="F95">
            <v>-4.6273637374860677E-3</v>
          </cell>
          <cell r="G95">
            <v>3.4722222222223209E-3</v>
          </cell>
          <cell r="H95">
            <v>9.608455440788255E-4</v>
          </cell>
          <cell r="T95">
            <v>-7.6738821859473338E-3</v>
          </cell>
        </row>
        <row r="96">
          <cell r="F96">
            <v>8.4931384381570219E-4</v>
          </cell>
          <cell r="G96">
            <v>7.4305740395705921E-3</v>
          </cell>
          <cell r="H96">
            <v>7.7993760499159848E-3</v>
          </cell>
          <cell r="T96">
            <v>-6.8310858765080473E-3</v>
          </cell>
        </row>
        <row r="97">
          <cell r="F97">
            <v>-1.1433675748101835E-2</v>
          </cell>
          <cell r="G97">
            <v>2.2237389638697369E-3</v>
          </cell>
          <cell r="H97">
            <v>-5.3577806881770496E-3</v>
          </cell>
          <cell r="T97">
            <v>-1.8186657203690393E-2</v>
          </cell>
        </row>
        <row r="98">
          <cell r="F98">
            <v>1.3102014999548661E-3</v>
          </cell>
          <cell r="G98">
            <v>-6.6344463971880208E-3</v>
          </cell>
          <cell r="H98">
            <v>2.3940627244432022E-3</v>
          </cell>
          <cell r="T98">
            <v>-1.6900283889282997E-2</v>
          </cell>
        </row>
        <row r="99">
          <cell r="F99">
            <v>3.0230564454272191E-3</v>
          </cell>
          <cell r="G99">
            <v>0</v>
          </cell>
          <cell r="H99">
            <v>1.1941724385011732E-4</v>
          </cell>
          <cell r="T99">
            <v>-1.3928317955996805E-2</v>
          </cell>
        </row>
        <row r="100">
          <cell r="F100">
            <v>1.3495276653170407E-3</v>
          </cell>
          <cell r="G100">
            <v>4.4672475562828051E-3</v>
          </cell>
          <cell r="H100">
            <v>3.1044776119404371E-3</v>
          </cell>
          <cell r="T100">
            <v>-1.2597586941092698E-2</v>
          </cell>
        </row>
        <row r="101">
          <cell r="F101">
            <v>-1.5723270440251014E-3</v>
          </cell>
          <cell r="G101">
            <v>2.7300748568912514E-3</v>
          </cell>
          <cell r="H101">
            <v>1.7974050708248868E-2</v>
          </cell>
          <cell r="T101">
            <v>-1.4150106458480805E-2</v>
          </cell>
        </row>
        <row r="102">
          <cell r="F102">
            <v>5.4443194600675149E-3</v>
          </cell>
          <cell r="G102">
            <v>1.5369752327409891E-4</v>
          </cell>
          <cell r="H102">
            <v>-3.3910196445274821E-3</v>
          </cell>
          <cell r="T102">
            <v>-8.7828246983673308E-3</v>
          </cell>
        </row>
        <row r="103">
          <cell r="F103">
            <v>-2.3136131746173905E-2</v>
          </cell>
          <cell r="G103">
            <v>-6.6299312858114634E-3</v>
          </cell>
          <cell r="H103">
            <v>-6.4531268332745917E-3</v>
          </cell>
          <cell r="T103">
            <v>-3.1715755855216243E-2</v>
          </cell>
        </row>
        <row r="104">
          <cell r="F104">
            <v>8.7040175912775908E-3</v>
          </cell>
          <cell r="G104">
            <v>9.7902716082123309E-3</v>
          </cell>
          <cell r="H104">
            <v>6.9674067076048729E-3</v>
          </cell>
          <cell r="T104">
            <v>-2.3287792760823045E-2</v>
          </cell>
        </row>
        <row r="105">
          <cell r="F105">
            <v>1.4078750170307686E-3</v>
          </cell>
          <cell r="G105">
            <v>1.9040532259475551E-3</v>
          </cell>
          <cell r="H105">
            <v>5.2773542863844281E-3</v>
          </cell>
          <cell r="T105">
            <v>-2.1912704045422005E-2</v>
          </cell>
        </row>
        <row r="106">
          <cell r="F106">
            <v>1.5736961451247256E-2</v>
          </cell>
          <cell r="G106">
            <v>-2.8615740841870796E-3</v>
          </cell>
          <cell r="H106">
            <v>-4.433037797480166E-3</v>
          </cell>
          <cell r="T106">
            <v>-6.5205819730301817E-3</v>
          </cell>
        </row>
        <row r="107">
          <cell r="F107">
            <v>-3.9737464839040282E-3</v>
          </cell>
          <cell r="G107">
            <v>-1.3910795653697905E-2</v>
          </cell>
          <cell r="H107">
            <v>-1.2420904616826878E-2</v>
          </cell>
          <cell r="T107">
            <v>-1.0468417317245793E-2</v>
          </cell>
        </row>
        <row r="108">
          <cell r="F108">
            <v>1.3941187018110091E-2</v>
          </cell>
          <cell r="G108">
            <v>-2.8658387576923072E-3</v>
          </cell>
          <cell r="H108">
            <v>-6.1699098243948036E-3</v>
          </cell>
          <cell r="T108">
            <v>0</v>
          </cell>
        </row>
        <row r="109">
          <cell r="F109">
            <v>-8.400017684248029E-4</v>
          </cell>
          <cell r="G109">
            <v>-4.5227698066125921E-3</v>
          </cell>
          <cell r="H109">
            <v>-2.2683858643745003E-3</v>
          </cell>
          <cell r="T109">
            <v>-8.400017684248029E-4</v>
          </cell>
        </row>
        <row r="110">
          <cell r="F110">
            <v>1.2035398230088479E-2</v>
          </cell>
          <cell r="G110">
            <v>8.7285423334302337E-3</v>
          </cell>
          <cell r="H110">
            <v>6.5813090822066656E-3</v>
          </cell>
          <cell r="T110">
            <v>0</v>
          </cell>
        </row>
        <row r="111">
          <cell r="F111">
            <v>-8.2196572228051545E-3</v>
          </cell>
          <cell r="G111">
            <v>-4.3486942823545149E-3</v>
          </cell>
          <cell r="H111">
            <v>-1.0580123632905392E-2</v>
          </cell>
          <cell r="T111">
            <v>-8.2196572228051545E-3</v>
          </cell>
        </row>
        <row r="112">
          <cell r="F112">
            <v>-1.5253041791571165E-2</v>
          </cell>
          <cell r="G112">
            <v>-6.6852367688022829E-3</v>
          </cell>
          <cell r="H112">
            <v>-4.0850654811966924E-3</v>
          </cell>
          <cell r="T112">
            <v>-2.334732423924446E-2</v>
          </cell>
        </row>
        <row r="113">
          <cell r="F113">
            <v>4.163309159280093E-3</v>
          </cell>
          <cell r="G113">
            <v>3.5894559730786924E-4</v>
          </cell>
          <cell r="H113">
            <v>7.2385088671733655E-4</v>
          </cell>
          <cell r="T113">
            <v>-1.9281217208814372E-2</v>
          </cell>
        </row>
        <row r="114">
          <cell r="F114">
            <v>-1.7386652400696034E-3</v>
          </cell>
          <cell r="G114">
            <v>-5.8307730259476998E-4</v>
          </cell>
          <cell r="H114">
            <v>-2.7727546714888529E-3</v>
          </cell>
          <cell r="T114">
            <v>-2.0986358866736721E-2</v>
          </cell>
        </row>
        <row r="115">
          <cell r="F115">
            <v>5.4037156127189068E-3</v>
          </cell>
          <cell r="G115">
            <v>5.5200269269606306E-3</v>
          </cell>
          <cell r="H115">
            <v>2.1760154738879045E-3</v>
          </cell>
          <cell r="T115">
            <v>-1.5696047569080052E-2</v>
          </cell>
        </row>
        <row r="116">
          <cell r="F116">
            <v>-4.3974592457691752E-3</v>
          </cell>
          <cell r="G116">
            <v>-1.1648925487045658E-2</v>
          </cell>
          <cell r="H116">
            <v>-1.628468033775643E-2</v>
          </cell>
          <cell r="T116">
            <v>-2.0024484085344629E-2</v>
          </cell>
        </row>
        <row r="117">
          <cell r="F117">
            <v>-7.3168555367180144E-3</v>
          </cell>
          <cell r="G117">
            <v>-7.3381652329020941E-3</v>
          </cell>
          <cell r="H117">
            <v>-6.7443286327406593E-3</v>
          </cell>
          <cell r="T117">
            <v>-2.7194823364812937E-2</v>
          </cell>
        </row>
        <row r="118">
          <cell r="F118">
            <v>-4.121348314606732E-2</v>
          </cell>
          <cell r="G118">
            <v>-7.6198708033845541E-3</v>
          </cell>
          <cell r="H118">
            <v>-1.9753086419752597E-3</v>
          </cell>
          <cell r="T118">
            <v>-6.7287513116474296E-2</v>
          </cell>
        </row>
        <row r="119">
          <cell r="F119">
            <v>-7.1719870622978243E-3</v>
          </cell>
          <cell r="G119">
            <v>4.8133122464411038E-4</v>
          </cell>
          <cell r="H119">
            <v>-1.2370113805049154E-4</v>
          </cell>
          <cell r="T119">
            <v>-7.3976915005246613E-2</v>
          </cell>
        </row>
        <row r="120">
          <cell r="F120">
            <v>3.635505193578803E-3</v>
          </cell>
          <cell r="G120">
            <v>6.5063001145475585E-3</v>
          </cell>
          <cell r="H120">
            <v>1.2371644191522257E-4</v>
          </cell>
          <cell r="T120">
            <v>-7.0610353270374349E-2</v>
          </cell>
        </row>
        <row r="121">
          <cell r="F121">
            <v>9.4557087077198343E-3</v>
          </cell>
          <cell r="G121">
            <v>-2.708608367096077E-3</v>
          </cell>
          <cell r="H121">
            <v>-8.6590796635332978E-4</v>
          </cell>
          <cell r="T121">
            <v>-6.1822315494928337E-2</v>
          </cell>
        </row>
        <row r="122">
          <cell r="F122">
            <v>1.1557461086774135E-2</v>
          </cell>
          <cell r="G122">
            <v>1.1137738217505522E-2</v>
          </cell>
          <cell r="H122">
            <v>1.6095084808718241E-3</v>
          </cell>
          <cell r="T122">
            <v>-5.0979363413781176E-2</v>
          </cell>
        </row>
        <row r="123">
          <cell r="F123">
            <v>-9.5826038883258802E-3</v>
          </cell>
          <cell r="G123">
            <v>-1.3859106606776028E-2</v>
          </cell>
          <cell r="H123">
            <v>-4.2027194066749374E-3</v>
          </cell>
          <cell r="T123">
            <v>-6.0073452256033777E-2</v>
          </cell>
        </row>
        <row r="124">
          <cell r="F124">
            <v>-6.977393245882757E-4</v>
          </cell>
          <cell r="G124">
            <v>7.0498294765273251E-3</v>
          </cell>
          <cell r="H124">
            <v>2.9791459781529639E-3</v>
          </cell>
          <cell r="T124">
            <v>-6.0729275970619279E-2</v>
          </cell>
        </row>
        <row r="125">
          <cell r="F125">
            <v>1.3033561420658923E-3</v>
          </cell>
          <cell r="G125">
            <v>6.3413414550992364E-3</v>
          </cell>
          <cell r="H125">
            <v>7.301980198019864E-3</v>
          </cell>
          <cell r="T125">
            <v>-5.950507170339292E-2</v>
          </cell>
        </row>
        <row r="126">
          <cell r="F126">
            <v>1.6177769513272322E-2</v>
          </cell>
          <cell r="G126">
            <v>1.4454783629957557E-2</v>
          </cell>
          <cell r="H126">
            <v>1.6586804275709577E-2</v>
          </cell>
          <cell r="T126">
            <v>-4.4289961525008859E-2</v>
          </cell>
        </row>
        <row r="127">
          <cell r="F127">
            <v>-1.6011711423211672E-3</v>
          </cell>
          <cell r="G127">
            <v>4.1187995369131869E-3</v>
          </cell>
          <cell r="H127">
            <v>2.296350012086279E-3</v>
          </cell>
          <cell r="T127">
            <v>-4.5820216859041585E-2</v>
          </cell>
        </row>
        <row r="128">
          <cell r="F128">
            <v>4.5821114369459792E-5</v>
          </cell>
          <cell r="G128">
            <v>-1.4633821866476548E-3</v>
          </cell>
          <cell r="H128">
            <v>-4.8233449897516767E-4</v>
          </cell>
          <cell r="T128">
            <v>-4.5776495278069262E-2</v>
          </cell>
        </row>
        <row r="129">
          <cell r="F129">
            <v>2.1397479954180953E-2</v>
          </cell>
          <cell r="G129">
            <v>1.8652159431553628E-3</v>
          </cell>
          <cell r="H129">
            <v>1.1219688744118717E-2</v>
          </cell>
          <cell r="T129">
            <v>-2.5358516963973399E-2</v>
          </cell>
        </row>
        <row r="130">
          <cell r="F130">
            <v>-2.9965907051857088E-2</v>
          </cell>
          <cell r="G130">
            <v>-4.321904297524326E-3</v>
          </cell>
          <cell r="H130">
            <v>-1.8492006680983053E-2</v>
          </cell>
          <cell r="T130">
            <v>-5.4564533053515163E-2</v>
          </cell>
        </row>
        <row r="131">
          <cell r="F131">
            <v>-4.8094709581947281E-3</v>
          </cell>
          <cell r="G131">
            <v>-6.7224646068916316E-3</v>
          </cell>
          <cell r="H131">
            <v>-2.1879178315302727E-3</v>
          </cell>
          <cell r="T131">
            <v>-5.9111577474641575E-2</v>
          </cell>
        </row>
        <row r="132">
          <cell r="F132">
            <v>1.6728624535315983E-3</v>
          </cell>
          <cell r="G132">
            <v>-3.0702344135180581E-3</v>
          </cell>
          <cell r="H132">
            <v>-4.5072481422828714E-3</v>
          </cell>
          <cell r="T132">
            <v>-5.7537600559636304E-2</v>
          </cell>
        </row>
        <row r="133">
          <cell r="F133">
            <v>3.2009649285582586E-3</v>
          </cell>
          <cell r="G133">
            <v>1.5061256603348117E-3</v>
          </cell>
          <cell r="H133">
            <v>9.7895252080282269E-4</v>
          </cell>
          <cell r="T133">
            <v>-5.4520811472542952E-2</v>
          </cell>
        </row>
        <row r="134">
          <cell r="F134">
            <v>1.5722543352600926E-3</v>
          </cell>
          <cell r="G134">
            <v>6.5765846651104631E-3</v>
          </cell>
          <cell r="H134">
            <v>4.2787286063570296E-3</v>
          </cell>
          <cell r="T134">
            <v>-5.3034277719482437E-2</v>
          </cell>
        </row>
        <row r="135">
          <cell r="F135">
            <v>-8.4029733598042222E-3</v>
          </cell>
          <cell r="G135">
            <v>-5.4855613780799839E-3</v>
          </cell>
          <cell r="H135">
            <v>-2.3128423615339511E-3</v>
          </cell>
          <cell r="T135">
            <v>-6.0991605456453324E-2</v>
          </cell>
        </row>
        <row r="136">
          <cell r="F136">
            <v>-4.7958280951715393E-3</v>
          </cell>
          <cell r="G136">
            <v>1.1659454247852086E-3</v>
          </cell>
          <cell r="H136">
            <v>-5.8565153733527442E-3</v>
          </cell>
          <cell r="T136">
            <v>-6.5494928296607191E-2</v>
          </cell>
        </row>
        <row r="137">
          <cell r="F137">
            <v>5.7546551885467867E-3</v>
          </cell>
          <cell r="G137">
            <v>8.6224272692660975E-3</v>
          </cell>
          <cell r="H137">
            <v>1.4113892979872311E-2</v>
          </cell>
          <cell r="T137">
            <v>-6.0117173837005988E-2</v>
          </cell>
        </row>
        <row r="138">
          <cell r="F138">
            <v>-2.0374936037586666E-2</v>
          </cell>
          <cell r="G138">
            <v>-1.5520916600053281E-2</v>
          </cell>
          <cell r="H138">
            <v>-1.1133970712816188E-2</v>
          </cell>
          <cell r="T138">
            <v>-7.9267226302903282E-2</v>
          </cell>
        </row>
        <row r="139">
          <cell r="F139">
            <v>5.2234199154754801E-3</v>
          </cell>
          <cell r="G139">
            <v>5.8641766470435286E-4</v>
          </cell>
          <cell r="H139">
            <v>-8.9340350018356496E-3</v>
          </cell>
          <cell r="T139">
            <v>-7.4457852395942936E-2</v>
          </cell>
        </row>
        <row r="140">
          <cell r="F140">
            <v>-8.5502385563795968E-3</v>
          </cell>
          <cell r="G140">
            <v>-2.073800238937884E-3</v>
          </cell>
          <cell r="H140">
            <v>-8.6441096567058118E-4</v>
          </cell>
          <cell r="T140">
            <v>-8.2371458551941501E-2</v>
          </cell>
        </row>
        <row r="141">
          <cell r="F141">
            <v>-1.5723270440251014E-3</v>
          </cell>
          <cell r="G141">
            <v>-9.1933771543447618E-3</v>
          </cell>
          <cell r="H141">
            <v>-1.0505499938202822E-2</v>
          </cell>
          <cell r="T141">
            <v>-8.3814270724029472E-2</v>
          </cell>
        </row>
        <row r="142">
          <cell r="F142">
            <v>-3.4359341445955649E-2</v>
          </cell>
          <cell r="G142">
            <v>-1.6528360386649621E-2</v>
          </cell>
          <cell r="H142">
            <v>-2.0109917561828672E-2</v>
          </cell>
          <cell r="T142">
            <v>-0.11529380902413444</v>
          </cell>
        </row>
        <row r="143">
          <cell r="F143">
            <v>-8.5495428712626387E-3</v>
          </cell>
          <cell r="G143">
            <v>-2.2485453997541649E-3</v>
          </cell>
          <cell r="H143">
            <v>-1.019757807520727E-3</v>
          </cell>
          <cell r="T143">
            <v>-0.12285764253235409</v>
          </cell>
        </row>
        <row r="144">
          <cell r="F144">
            <v>7.078058020137501E-3</v>
          </cell>
          <cell r="G144">
            <v>4.2051949258863353E-3</v>
          </cell>
          <cell r="H144">
            <v>7.9111905065711863E-3</v>
          </cell>
          <cell r="T144">
            <v>-0.11664917803427788</v>
          </cell>
        </row>
        <row r="145">
          <cell r="F145">
            <v>-3.4151653137992621E-3</v>
          </cell>
          <cell r="G145">
            <v>-1.4691252342502903E-2</v>
          </cell>
          <cell r="H145">
            <v>-1.4432206608431475E-2</v>
          </cell>
          <cell r="T145">
            <v>-0.11966596712137134</v>
          </cell>
        </row>
        <row r="146">
          <cell r="F146">
            <v>1.1174571641420439E-2</v>
          </cell>
          <cell r="G146">
            <v>3.99173476096637E-4</v>
          </cell>
          <cell r="H146">
            <v>-1.284521515734216E-4</v>
          </cell>
          <cell r="T146">
            <v>-0.10982861140258837</v>
          </cell>
        </row>
        <row r="147">
          <cell r="F147">
            <v>7.0235756385068626E-3</v>
          </cell>
          <cell r="G147">
            <v>5.7974416148338648E-3</v>
          </cell>
          <cell r="H147">
            <v>1.0791366906474753E-2</v>
          </cell>
          <cell r="T147">
            <v>-0.10357642532353983</v>
          </cell>
        </row>
        <row r="148">
          <cell r="F148">
            <v>-1.4680778422669793E-2</v>
          </cell>
          <cell r="G148">
            <v>-2.4269579016147347E-3</v>
          </cell>
          <cell r="H148">
            <v>-1.6522623284190852E-3</v>
          </cell>
          <cell r="T148">
            <v>-0.11673662119622263</v>
          </cell>
        </row>
        <row r="149">
          <cell r="F149">
            <v>-5.3955053955053733E-3</v>
          </cell>
          <cell r="G149">
            <v>-3.9767942359880681E-4</v>
          </cell>
          <cell r="H149">
            <v>-1.3239974538510446E-2</v>
          </cell>
          <cell r="T149">
            <v>-0.12150227352221077</v>
          </cell>
        </row>
        <row r="150">
          <cell r="F150">
            <v>-4.6782461553774857E-3</v>
          </cell>
          <cell r="G150">
            <v>-1.3386066321874113E-2</v>
          </cell>
          <cell r="H150">
            <v>-2.7093278286673961E-3</v>
          </cell>
          <cell r="T150">
            <v>-0.1256121021336134</v>
          </cell>
        </row>
        <row r="151">
          <cell r="F151">
            <v>2.5201260063003161E-2</v>
          </cell>
          <cell r="G151">
            <v>7.2819564031405548E-3</v>
          </cell>
          <cell r="H151">
            <v>1.1772315653298726E-2</v>
          </cell>
          <cell r="T151">
            <v>-0.10357642532354006</v>
          </cell>
        </row>
        <row r="152">
          <cell r="F152">
            <v>9.3644832463541938E-3</v>
          </cell>
          <cell r="G152">
            <v>-3.7677200584007586E-4</v>
          </cell>
          <cell r="H152">
            <v>-1.2146784298682878E-2</v>
          </cell>
          <cell r="T152">
            <v>-9.518188177684539E-2</v>
          </cell>
        </row>
        <row r="153">
          <cell r="F153">
            <v>2.6334863493597593E-2</v>
          </cell>
          <cell r="G153">
            <v>1.1872791519434767E-2</v>
          </cell>
          <cell r="H153">
            <v>9.4486150660106905E-3</v>
          </cell>
          <cell r="T153">
            <v>-7.1353620146904717E-2</v>
          </cell>
        </row>
        <row r="154">
          <cell r="F154">
            <v>-1.0122410546139382E-2</v>
          </cell>
          <cell r="G154">
            <v>6.4021976998649421E-3</v>
          </cell>
          <cell r="H154">
            <v>1.2822156686755903E-3</v>
          </cell>
          <cell r="T154">
            <v>-8.0753760055963908E-2</v>
          </cell>
        </row>
        <row r="155">
          <cell r="F155">
            <v>3.5671819262781401E-3</v>
          </cell>
          <cell r="G155">
            <v>5.2048393439589891E-3</v>
          </cell>
          <cell r="H155">
            <v>1.0628761685234966E-2</v>
          </cell>
          <cell r="T155">
            <v>-7.7474641483036399E-2</v>
          </cell>
        </row>
        <row r="156">
          <cell r="F156">
            <v>1.7819905213270149E-2</v>
          </cell>
          <cell r="G156">
            <v>4.0962857274358111E-3</v>
          </cell>
          <cell r="H156">
            <v>2.4075012671058715E-3</v>
          </cell>
          <cell r="T156">
            <v>-6.103532703742609E-2</v>
          </cell>
        </row>
        <row r="157">
          <cell r="F157">
            <v>-1.9230769230769162E-2</v>
          </cell>
          <cell r="G157">
            <v>-6.0964429776310114E-3</v>
          </cell>
          <cell r="H157">
            <v>-1.4915939830615454E-2</v>
          </cell>
          <cell r="T157">
            <v>-7.9092339979013992E-2</v>
          </cell>
        </row>
        <row r="158">
          <cell r="F158">
            <v>-6.36186678061057E-3</v>
          </cell>
          <cell r="G158">
            <v>-4.9808605820228502E-3</v>
          </cell>
          <cell r="H158">
            <v>-3.7212883356859683E-3</v>
          </cell>
          <cell r="T158">
            <v>-8.4951031829311296E-2</v>
          </cell>
        </row>
        <row r="159">
          <cell r="F159">
            <v>1.7917721821396171E-2</v>
          </cell>
          <cell r="G159">
            <v>1.0521436848204058E-2</v>
          </cell>
          <cell r="H159">
            <v>9.7887686759403625E-3</v>
          </cell>
          <cell r="T159">
            <v>-6.8555438964673199E-2</v>
          </cell>
        </row>
        <row r="160">
          <cell r="F160">
            <v>8.2144198272624536E-3</v>
          </cell>
          <cell r="G160">
            <v>-4.586735161915545E-5</v>
          </cell>
          <cell r="H160">
            <v>9.8214285714284255E-3</v>
          </cell>
          <cell r="T160">
            <v>-6.090416229450879E-2</v>
          </cell>
        </row>
        <row r="161">
          <cell r="F161">
            <v>-5.1445598025978811E-2</v>
          </cell>
          <cell r="G161">
            <v>-1.332507683133799E-2</v>
          </cell>
          <cell r="H161">
            <v>-2.5893646583301733E-2</v>
          </cell>
          <cell r="T161">
            <v>-0.1092165092689753</v>
          </cell>
        </row>
        <row r="162">
          <cell r="F162">
            <v>-5.1536271718858329E-3</v>
          </cell>
          <cell r="G162">
            <v>-8.7864066386182937E-3</v>
          </cell>
          <cell r="H162">
            <v>-1.167012448132787E-2</v>
          </cell>
          <cell r="T162">
            <v>-0.11380727527107415</v>
          </cell>
        </row>
        <row r="163">
          <cell r="F163">
            <v>-5.6243524594207228E-3</v>
          </cell>
          <cell r="G163">
            <v>-1.2288066036629686E-2</v>
          </cell>
          <cell r="H163">
            <v>-1.207032274993447E-2</v>
          </cell>
          <cell r="T163">
            <v>-0.11879153550192401</v>
          </cell>
        </row>
        <row r="164">
          <cell r="F164">
            <v>4.7134706028280071E-3</v>
          </cell>
          <cell r="G164">
            <v>-1.7331845485411002E-3</v>
          </cell>
          <cell r="H164">
            <v>-1.1155378486055856E-2</v>
          </cell>
          <cell r="T164">
            <v>-0.11463798530954905</v>
          </cell>
        </row>
        <row r="165">
          <cell r="F165">
            <v>1.3086419753086442E-2</v>
          </cell>
          <cell r="G165">
            <v>7.5393616515244677E-3</v>
          </cell>
          <cell r="H165">
            <v>1.1818426000537396E-2</v>
          </cell>
          <cell r="T165">
            <v>-0.10305176635187152</v>
          </cell>
        </row>
        <row r="166">
          <cell r="F166">
            <v>-8.6765781135754727E-3</v>
          </cell>
          <cell r="G166">
            <v>-1.435214692066189E-2</v>
          </cell>
          <cell r="H166">
            <v>-1.1680382267056144E-2</v>
          </cell>
          <cell r="T166">
            <v>-0.11083420776495312</v>
          </cell>
        </row>
        <row r="167">
          <cell r="F167">
            <v>-4.6221173231056678E-2</v>
          </cell>
          <cell r="G167">
            <v>-1.1974613818704349E-2</v>
          </cell>
          <cell r="H167">
            <v>6.9836153639539766E-3</v>
          </cell>
          <cell r="T167">
            <v>-0.151932493878979</v>
          </cell>
        </row>
        <row r="168">
          <cell r="F168">
            <v>-1.443522194153779E-3</v>
          </cell>
          <cell r="G168">
            <v>-4.5327839049812413E-3</v>
          </cell>
          <cell r="H168">
            <v>-4.0010669511869601E-4</v>
          </cell>
          <cell r="T168">
            <v>-0.15315669814620536</v>
          </cell>
        </row>
        <row r="169">
          <cell r="F169">
            <v>1.1874645051370702E-2</v>
          </cell>
          <cell r="G169">
            <v>1.195578065647207E-2</v>
          </cell>
          <cell r="H169">
            <v>1.0273515677118095E-2</v>
          </cell>
          <cell r="T169">
            <v>-0.14310073452256078</v>
          </cell>
        </row>
        <row r="170">
          <cell r="F170">
            <v>2.551150568906646E-3</v>
          </cell>
          <cell r="G170">
            <v>6.2802281094347379E-3</v>
          </cell>
          <cell r="H170">
            <v>4.4902271526676696E-3</v>
          </cell>
          <cell r="T170">
            <v>-0.14091465547394222</v>
          </cell>
        </row>
        <row r="171">
          <cell r="F171">
            <v>3.7202911089622814E-2</v>
          </cell>
          <cell r="G171">
            <v>1.0664753706360663E-2</v>
          </cell>
          <cell r="H171">
            <v>5.2590060478552303E-4</v>
          </cell>
          <cell r="T171">
            <v>-0.10895417978314148</v>
          </cell>
        </row>
        <row r="172">
          <cell r="F172">
            <v>1.4818449460255012E-2</v>
          </cell>
          <cell r="G172">
            <v>1.9164340131547775E-2</v>
          </cell>
          <cell r="H172">
            <v>1.9316688567674101E-2</v>
          </cell>
          <cell r="T172">
            <v>-9.5750262329486469E-2</v>
          </cell>
        </row>
        <row r="173">
          <cell r="F173">
            <v>4.6417174354511648E-3</v>
          </cell>
          <cell r="G173">
            <v>9.1234097873527098E-3</v>
          </cell>
          <cell r="H173">
            <v>1.5727729792445633E-2</v>
          </cell>
          <cell r="T173">
            <v>-9.155299055613908E-2</v>
          </cell>
        </row>
        <row r="174">
          <cell r="F174">
            <v>-3.0801809606315622E-3</v>
          </cell>
          <cell r="G174">
            <v>2.3004900043708254E-3</v>
          </cell>
          <cell r="H174">
            <v>-4.9498667343571556E-3</v>
          </cell>
          <cell r="T174">
            <v>-9.435117173837082E-2</v>
          </cell>
        </row>
        <row r="175">
          <cell r="F175">
            <v>3.3793569566498149E-4</v>
          </cell>
          <cell r="G175">
            <v>2.8460602722120143E-3</v>
          </cell>
          <cell r="H175">
            <v>-1.9387755102040938E-2</v>
          </cell>
          <cell r="T175">
            <v>-9.4045120671564009E-2</v>
          </cell>
        </row>
        <row r="176">
          <cell r="F176">
            <v>5.8877467303701803E-3</v>
          </cell>
          <cell r="G176">
            <v>7.3238276154063975E-4</v>
          </cell>
          <cell r="H176">
            <v>3.1217481789802548E-3</v>
          </cell>
          <cell r="T176">
            <v>-8.8711087792935128E-2</v>
          </cell>
        </row>
        <row r="177">
          <cell r="F177">
            <v>3.8382190663530658E-3</v>
          </cell>
          <cell r="G177">
            <v>-7.7987421383648448E-3</v>
          </cell>
          <cell r="H177">
            <v>-8.5580912863072456E-3</v>
          </cell>
          <cell r="T177">
            <v>-8.5213361315145897E-2</v>
          </cell>
        </row>
        <row r="178">
          <cell r="F178">
            <v>1.1614013286813663E-2</v>
          </cell>
          <cell r="G178">
            <v>1.5604831274202535E-2</v>
          </cell>
          <cell r="H178">
            <v>1.1770860580695874E-2</v>
          </cell>
          <cell r="T178">
            <v>-7.4589017138860458E-2</v>
          </cell>
        </row>
        <row r="179">
          <cell r="F179">
            <v>-5.5277331569497656E-3</v>
          </cell>
          <cell r="G179">
            <v>-9.5322393953845008E-4</v>
          </cell>
          <cell r="H179">
            <v>-1.4219234746638554E-3</v>
          </cell>
          <cell r="T179">
            <v>-7.9704442112627394E-2</v>
          </cell>
        </row>
        <row r="180">
          <cell r="F180">
            <v>2.8742458074017652E-2</v>
          </cell>
          <cell r="G180">
            <v>1.9400713328335595E-2</v>
          </cell>
          <cell r="H180">
            <v>2.9514563106796121E-2</v>
          </cell>
          <cell r="T180">
            <v>-5.3252885624344826E-2</v>
          </cell>
        </row>
        <row r="181">
          <cell r="F181">
            <v>-2.6184538653366562E-2</v>
          </cell>
          <cell r="G181">
            <v>2.1170859982617696E-3</v>
          </cell>
          <cell r="H181">
            <v>4.4008550232614851E-3</v>
          </cell>
          <cell r="T181">
            <v>-7.8043022035677478E-2</v>
          </cell>
        </row>
        <row r="182">
          <cell r="F182">
            <v>6.6391615687391159E-3</v>
          </cell>
          <cell r="G182">
            <v>1.2230919765165993E-3</v>
          </cell>
          <cell r="H182">
            <v>3.0045067601403019E-3</v>
          </cell>
          <cell r="T182">
            <v>-7.1922000699545796E-2</v>
          </cell>
        </row>
        <row r="183">
          <cell r="F183">
            <v>3.7687850379231058E-4</v>
          </cell>
          <cell r="G183">
            <v>1.243808719987527E-3</v>
          </cell>
          <cell r="H183">
            <v>1.8721917124311371E-3</v>
          </cell>
          <cell r="T183">
            <v>-7.1572228051766995E-2</v>
          </cell>
        </row>
        <row r="184">
          <cell r="F184">
            <v>-9.2771368024487932E-3</v>
          </cell>
          <cell r="G184">
            <v>7.6975975509661065E-3</v>
          </cell>
          <cell r="H184">
            <v>1.7441136165441407E-3</v>
          </cell>
          <cell r="T184">
            <v>-8.0185379503323495E-2</v>
          </cell>
        </row>
        <row r="185">
          <cell r="F185">
            <v>-2.5667839148207916E-3</v>
          </cell>
          <cell r="G185">
            <v>-2.179368643508095E-3</v>
          </cell>
          <cell r="H185">
            <v>3.8552418853377013E-3</v>
          </cell>
          <cell r="T185">
            <v>-8.2546344875831346E-2</v>
          </cell>
        </row>
        <row r="186">
          <cell r="F186">
            <v>9.8170034311857446E-3</v>
          </cell>
          <cell r="G186">
            <v>3.8608334987977333E-3</v>
          </cell>
          <cell r="H186">
            <v>6.1942517343904768E-4</v>
          </cell>
          <cell r="T186">
            <v>-7.3539699195523389E-2</v>
          </cell>
        </row>
        <row r="187">
          <cell r="F187">
            <v>-1.0382255781028471E-3</v>
          </cell>
          <cell r="G187">
            <v>6.153575667005029E-4</v>
          </cell>
          <cell r="H187">
            <v>4.333292063885219E-3</v>
          </cell>
          <cell r="T187">
            <v>-7.4501573976915481E-2</v>
          </cell>
        </row>
        <row r="188">
          <cell r="F188">
            <v>5.527210884353595E-3</v>
          </cell>
          <cell r="G188">
            <v>-1.8010103228640606E-3</v>
          </cell>
          <cell r="H188">
            <v>-1.2327416173570915E-3</v>
          </cell>
          <cell r="T188">
            <v>-6.9386149003148545E-2</v>
          </cell>
        </row>
        <row r="189">
          <cell r="F189">
            <v>-7.9398637538172778E-3</v>
          </cell>
          <cell r="G189">
            <v>9.9014258053164994E-4</v>
          </cell>
          <cell r="H189">
            <v>1.9748210318442094E-3</v>
          </cell>
          <cell r="T189">
            <v>-7.6775096187478686E-2</v>
          </cell>
        </row>
        <row r="190">
          <cell r="F190">
            <v>7.1983330176170757E-3</v>
          </cell>
          <cell r="G190">
            <v>-7.034049194380998E-4</v>
          </cell>
          <cell r="H190">
            <v>5.1736881005171043E-3</v>
          </cell>
          <cell r="T190">
            <v>-7.0129415879678803E-2</v>
          </cell>
        </row>
        <row r="191">
          <cell r="F191">
            <v>4.1376716193342045E-3</v>
          </cell>
          <cell r="G191">
            <v>3.9374408833945385E-3</v>
          </cell>
          <cell r="H191">
            <v>9.9264705882353699E-3</v>
          </cell>
          <cell r="T191">
            <v>-6.6281916754110326E-2</v>
          </cell>
        </row>
        <row r="192">
          <cell r="F192">
            <v>9.692826371979768E-3</v>
          </cell>
          <cell r="G192">
            <v>5.9158632778266718E-3</v>
          </cell>
          <cell r="H192">
            <v>1.1406382720543506E-2</v>
          </cell>
          <cell r="T192">
            <v>-5.7231549492830269E-2</v>
          </cell>
        </row>
        <row r="193">
          <cell r="F193">
            <v>-3.8491861058294052E-3</v>
          </cell>
          <cell r="G193">
            <v>-5.2494010019603632E-3</v>
          </cell>
          <cell r="H193">
            <v>-1.1637672465506843E-2</v>
          </cell>
          <cell r="T193">
            <v>-6.0860440713536801E-2</v>
          </cell>
        </row>
        <row r="194">
          <cell r="F194">
            <v>-1.2942271880819423E-2</v>
          </cell>
          <cell r="G194">
            <v>-1.9707022268933283E-4</v>
          </cell>
          <cell r="H194">
            <v>-1.3716921582908381E-2</v>
          </cell>
          <cell r="T194">
            <v>-7.3015040223855077E-2</v>
          </cell>
        </row>
        <row r="195">
          <cell r="F195">
            <v>-4.2448825582497296E-4</v>
          </cell>
          <cell r="G195">
            <v>-4.0297853701271036E-3</v>
          </cell>
          <cell r="H195">
            <v>-2.0923076923077266E-3</v>
          </cell>
          <cell r="T195">
            <v>-7.3408534452606422E-2</v>
          </cell>
        </row>
        <row r="196">
          <cell r="F196">
            <v>1.0569527674231916E-2</v>
          </cell>
          <cell r="G196">
            <v>7.6303984519308088E-3</v>
          </cell>
          <cell r="H196">
            <v>6.783423778983666E-3</v>
          </cell>
          <cell r="T196">
            <v>-6.3614900314796108E-2</v>
          </cell>
        </row>
        <row r="197">
          <cell r="F197">
            <v>8.6846897324555083E-3</v>
          </cell>
          <cell r="G197">
            <v>4.2991510813346068E-3</v>
          </cell>
          <cell r="H197">
            <v>3.675119441381991E-3</v>
          </cell>
          <cell r="T197">
            <v>-5.5482686253935709E-2</v>
          </cell>
        </row>
        <row r="198">
          <cell r="F198">
            <v>1.3100032402907136E-2</v>
          </cell>
          <cell r="G198">
            <v>3.8896132116470472E-3</v>
          </cell>
          <cell r="H198">
            <v>7.0792139631392637E-3</v>
          </cell>
          <cell r="T198">
            <v>-4.3109478838755488E-2</v>
          </cell>
        </row>
        <row r="199">
          <cell r="F199">
            <v>9.321027140637872E-3</v>
          </cell>
          <cell r="G199">
            <v>4.5671984242083852E-3</v>
          </cell>
          <cell r="H199">
            <v>5.8174766694945035E-3</v>
          </cell>
          <cell r="T199">
            <v>-3.4190276320392399E-2</v>
          </cell>
        </row>
        <row r="200">
          <cell r="F200">
            <v>1.2539610683567126E-2</v>
          </cell>
          <cell r="G200">
            <v>1.3790131437190212E-2</v>
          </cell>
          <cell r="H200">
            <v>1.2170140980841238E-2</v>
          </cell>
          <cell r="T200">
            <v>-2.2079398391046667E-2</v>
          </cell>
        </row>
        <row r="201">
          <cell r="F201">
            <v>4.873250771225468E-3</v>
          </cell>
          <cell r="G201">
            <v>3.2093517534537153E-3</v>
          </cell>
          <cell r="H201">
            <v>1.6547619047619033E-2</v>
          </cell>
          <cell r="T201">
            <v>-1.7313746065058533E-2</v>
          </cell>
        </row>
        <row r="202">
          <cell r="F202">
            <v>-1.8241680014237094E-3</v>
          </cell>
          <cell r="G202">
            <v>-5.6778458083515115E-3</v>
          </cell>
          <cell r="H202">
            <v>-2.576414100011748E-3</v>
          </cell>
          <cell r="T202">
            <v>-1.9106330884925526E-2</v>
          </cell>
        </row>
        <row r="203">
          <cell r="F203">
            <v>-7.3545798974816723E-3</v>
          </cell>
          <cell r="G203">
            <v>5.625039950567956E-3</v>
          </cell>
          <cell r="H203">
            <v>-5.4009627803217608E-3</v>
          </cell>
          <cell r="T203">
            <v>-2.6320391745366378E-2</v>
          </cell>
        </row>
        <row r="204">
          <cell r="F204">
            <v>8.9357880556804048E-3</v>
          </cell>
          <cell r="G204">
            <v>6.0808949721380401E-3</v>
          </cell>
          <cell r="H204">
            <v>9.2078857277770876E-3</v>
          </cell>
          <cell r="T204">
            <v>-1.7619797131865123E-2</v>
          </cell>
        </row>
        <row r="205">
          <cell r="F205">
            <v>-1.5621522987226855E-2</v>
          </cell>
          <cell r="G205">
            <v>-1.3857299300817139E-2</v>
          </cell>
          <cell r="H205">
            <v>-1.5323429640893504E-2</v>
          </cell>
          <cell r="T205">
            <v>-3.2966072053166373E-2</v>
          </cell>
        </row>
        <row r="206">
          <cell r="F206">
            <v>9.4945293426167421E-3</v>
          </cell>
          <cell r="G206">
            <v>9.4819117584248325E-3</v>
          </cell>
          <cell r="H206">
            <v>1.0572582561178212E-2</v>
          </cell>
          <cell r="T206">
            <v>-2.3784540048969349E-2</v>
          </cell>
        </row>
        <row r="207">
          <cell r="F207">
            <v>7.3898244356862541E-3</v>
          </cell>
          <cell r="G207">
            <v>2.0097313306537412E-3</v>
          </cell>
          <cell r="H207">
            <v>6.2301633948513846E-3</v>
          </cell>
          <cell r="T207">
            <v>-1.6570479188528497E-2</v>
          </cell>
        </row>
        <row r="208">
          <cell r="F208">
            <v>3.2009958653802517E-3</v>
          </cell>
          <cell r="G208">
            <v>4.2225271825186983E-3</v>
          </cell>
          <cell r="H208">
            <v>4.6728971962617383E-3</v>
          </cell>
          <cell r="T208">
            <v>-1.3422525358518067E-2</v>
          </cell>
        </row>
        <row r="209">
          <cell r="F209">
            <v>7.5337912696649134E-4</v>
          </cell>
          <cell r="G209">
            <v>1.8080521391778959E-3</v>
          </cell>
          <cell r="H209">
            <v>2.4418604651161857E-3</v>
          </cell>
          <cell r="T209">
            <v>-1.267925848198781E-2</v>
          </cell>
        </row>
        <row r="210">
          <cell r="F210">
            <v>-1.6827561774864774E-3</v>
          </cell>
          <cell r="G210">
            <v>3.7774653207689468E-4</v>
          </cell>
          <cell r="H210">
            <v>-3.8278621969608517E-3</v>
          </cell>
          <cell r="T210">
            <v>-1.4340678558937836E-2</v>
          </cell>
        </row>
        <row r="211">
          <cell r="F211">
            <v>6.9641589779985136E-3</v>
          </cell>
          <cell r="G211">
            <v>-2.8949631836203693E-3</v>
          </cell>
          <cell r="H211">
            <v>-3.959012575686871E-3</v>
          </cell>
          <cell r="T211">
            <v>-7.4763903462761183E-3</v>
          </cell>
        </row>
        <row r="212">
          <cell r="F212">
            <v>-1.5021364697590411E-2</v>
          </cell>
          <cell r="G212">
            <v>-5.5963476467989492E-3</v>
          </cell>
          <cell r="H212">
            <v>-1.753565583352934E-3</v>
          </cell>
          <cell r="T212">
            <v>-2.238544945785359E-2</v>
          </cell>
        </row>
        <row r="213">
          <cell r="F213">
            <v>-1.909660107334521E-2</v>
          </cell>
          <cell r="G213">
            <v>-8.1667195599279818E-3</v>
          </cell>
          <cell r="H213">
            <v>-1.0774095327321764E-2</v>
          </cell>
          <cell r="T213">
            <v>-4.1054564533054783E-2</v>
          </cell>
        </row>
        <row r="214">
          <cell r="F214">
            <v>6.1551087402544891E-3</v>
          </cell>
          <cell r="G214">
            <v>-3.2210584696773514E-3</v>
          </cell>
          <cell r="H214">
            <v>-3.1964010891439854E-3</v>
          </cell>
          <cell r="T214">
            <v>-3.5152151101785045E-2</v>
          </cell>
        </row>
        <row r="215">
          <cell r="F215">
            <v>4.2595613558094048E-3</v>
          </cell>
          <cell r="G215">
            <v>1.3696284882727117E-3</v>
          </cell>
          <cell r="H215">
            <v>1.6627078384798821E-3</v>
          </cell>
          <cell r="T215">
            <v>-3.1042322490382301E-2</v>
          </cell>
        </row>
        <row r="216">
          <cell r="F216">
            <v>1.073910296904601E-2</v>
          </cell>
          <cell r="G216">
            <v>1.4275944605915525E-2</v>
          </cell>
          <cell r="H216">
            <v>4.268437277685555E-3</v>
          </cell>
          <cell r="T216">
            <v>-2.0636586218958919E-2</v>
          </cell>
        </row>
        <row r="217">
          <cell r="F217">
            <v>-2.5892857142857384E-3</v>
          </cell>
          <cell r="G217">
            <v>-1.517067003792727E-3</v>
          </cell>
          <cell r="H217">
            <v>-1.1452184179456926E-2</v>
          </cell>
          <cell r="T217">
            <v>-2.317243791535617E-2</v>
          </cell>
        </row>
        <row r="218">
          <cell r="F218">
            <v>1.2040103840300853E-2</v>
          </cell>
          <cell r="G218">
            <v>5.655440195830197E-3</v>
          </cell>
          <cell r="H218">
            <v>-1.3137465663441983E-3</v>
          </cell>
          <cell r="T218">
            <v>-1.1411332633789129E-2</v>
          </cell>
        </row>
        <row r="219">
          <cell r="F219">
            <v>-7.7395957719693653E-3</v>
          </cell>
          <cell r="G219">
            <v>-4.4065804935367048E-4</v>
          </cell>
          <cell r="H219">
            <v>-2.9897153790958697E-3</v>
          </cell>
          <cell r="T219">
            <v>-1.9062609303953537E-2</v>
          </cell>
        </row>
        <row r="220">
          <cell r="F220">
            <v>-1.7828489926903224E-3</v>
          </cell>
          <cell r="G220">
            <v>6.9276792274575172E-4</v>
          </cell>
          <cell r="H220">
            <v>9.5957778577426822E-4</v>
          </cell>
          <cell r="T220">
            <v>-2.0811472542848208E-2</v>
          </cell>
        </row>
        <row r="221">
          <cell r="F221">
            <v>-7.0548312198607244E-3</v>
          </cell>
          <cell r="G221">
            <v>-3.671225979692827E-3</v>
          </cell>
          <cell r="H221">
            <v>-1.1503894547633453E-2</v>
          </cell>
          <cell r="T221">
            <v>-2.7719482336482471E-2</v>
          </cell>
        </row>
        <row r="222">
          <cell r="F222">
            <v>-5.0364241388614062E-3</v>
          </cell>
          <cell r="G222">
            <v>-5.5587139157349252E-3</v>
          </cell>
          <cell r="H222">
            <v>-7.2736089222935618E-3</v>
          </cell>
          <cell r="T222">
            <v>-3.2616299405387683E-2</v>
          </cell>
        </row>
        <row r="223">
          <cell r="F223">
            <v>1.7445539184669734E-2</v>
          </cell>
          <cell r="G223">
            <v>8.8928412627833353E-3</v>
          </cell>
          <cell r="H223">
            <v>3.1749908413727379E-3</v>
          </cell>
          <cell r="T223">
            <v>-1.5739769150053706E-2</v>
          </cell>
        </row>
        <row r="224">
          <cell r="F224">
            <v>4.2643923240939241E-3</v>
          </cell>
          <cell r="G224">
            <v>1.2466158786123449E-2</v>
          </cell>
          <cell r="H224">
            <v>9.738283627509503E-4</v>
          </cell>
          <cell r="T224">
            <v>-1.1542497376706207E-2</v>
          </cell>
        </row>
        <row r="225">
          <cell r="F225">
            <v>5.3078556263268517E-3</v>
          </cell>
          <cell r="G225">
            <v>2.1142963746034749E-3</v>
          </cell>
          <cell r="H225">
            <v>2.9186428310834511E-3</v>
          </cell>
          <cell r="T225">
            <v>-6.295907660022193E-3</v>
          </cell>
        </row>
        <row r="226">
          <cell r="F226">
            <v>-1.9711369236184439E-2</v>
          </cell>
          <cell r="G226">
            <v>2.9165373875272849E-3</v>
          </cell>
          <cell r="H226">
            <v>3.2739177882865622E-3</v>
          </cell>
          <cell r="T226">
            <v>-2.5883175935643044E-2</v>
          </cell>
        </row>
        <row r="227">
          <cell r="F227">
            <v>-1.3464991023339312E-2</v>
          </cell>
          <cell r="G227">
            <v>1.0930990388977602E-3</v>
          </cell>
          <cell r="H227">
            <v>-1.3536379018612377E-2</v>
          </cell>
          <cell r="T227">
            <v>-3.8999650227353411E-2</v>
          </cell>
        </row>
        <row r="228">
          <cell r="F228">
            <v>1.6424021838034486E-2</v>
          </cell>
          <cell r="G228">
            <v>5.4389254001936393E-3</v>
          </cell>
          <cell r="H228">
            <v>1.0536633178142685E-2</v>
          </cell>
          <cell r="T228">
            <v>-2.3216159496328714E-2</v>
          </cell>
        </row>
        <row r="229">
          <cell r="F229">
            <v>-4.6998791459647027E-3</v>
          </cell>
          <cell r="G229">
            <v>-1.2704137040754349E-3</v>
          </cell>
          <cell r="H229">
            <v>3.6372453928223969E-4</v>
          </cell>
          <cell r="T229">
            <v>-2.7806925498427226E-2</v>
          </cell>
        </row>
        <row r="230">
          <cell r="F230">
            <v>3.1525454218384485E-2</v>
          </cell>
          <cell r="G230">
            <v>7.9194107630125021E-3</v>
          </cell>
          <cell r="H230">
            <v>4.9690946551932402E-3</v>
          </cell>
          <cell r="T230">
            <v>0</v>
          </cell>
        </row>
        <row r="231">
          <cell r="F231">
            <v>7.3244103413698802E-3</v>
          </cell>
          <cell r="G231">
            <v>-7.7350540436016413E-4</v>
          </cell>
          <cell r="H231">
            <v>4.5827303424987864E-3</v>
          </cell>
          <cell r="T231">
            <v>0</v>
          </cell>
        </row>
        <row r="232">
          <cell r="F232">
            <v>-2.1813460289980657E-2</v>
          </cell>
          <cell r="G232">
            <v>-1.6317301228381043E-2</v>
          </cell>
          <cell r="H232">
            <v>-1.3085234093637488E-2</v>
          </cell>
          <cell r="T232">
            <v>-2.1813460289980657E-2</v>
          </cell>
        </row>
        <row r="233">
          <cell r="F233">
            <v>1.9246935976284352E-2</v>
          </cell>
          <cell r="G233">
            <v>1.3088137839628811E-2</v>
          </cell>
          <cell r="H233">
            <v>1.6664639338280107E-2</v>
          </cell>
          <cell r="T233">
            <v>-2.9863665873187673E-3</v>
          </cell>
        </row>
        <row r="234">
          <cell r="F234">
            <v>1.7711408230595582E-2</v>
          </cell>
          <cell r="G234">
            <v>1.0527391659852947E-2</v>
          </cell>
          <cell r="H234">
            <v>-5.862646566164087E-3</v>
          </cell>
          <cell r="T234">
            <v>0</v>
          </cell>
        </row>
        <row r="235">
          <cell r="F235">
            <v>-2.0431666951032268E-2</v>
          </cell>
          <cell r="G235">
            <v>-3.6411449377971028E-3</v>
          </cell>
          <cell r="H235">
            <v>-2.5394150920688419E-2</v>
          </cell>
          <cell r="T235">
            <v>-2.0431666951032379E-2</v>
          </cell>
        </row>
        <row r="236">
          <cell r="F236">
            <v>8.4040931852820133E-3</v>
          </cell>
          <cell r="G236">
            <v>2.9032585524313426E-3</v>
          </cell>
          <cell r="H236">
            <v>1.7658681155840794E-2</v>
          </cell>
          <cell r="T236">
            <v>-1.2199283398737548E-2</v>
          </cell>
        </row>
        <row r="237">
          <cell r="F237">
            <v>2.133172121944904E-2</v>
          </cell>
          <cell r="G237">
            <v>8.3404186404307801E-3</v>
          </cell>
          <cell r="H237">
            <v>8.0087368037859985E-3</v>
          </cell>
          <cell r="T237">
            <v>0</v>
          </cell>
        </row>
        <row r="238">
          <cell r="F238">
            <v>8.1177067478437337E-3</v>
          </cell>
          <cell r="G238">
            <v>4.4167837783581909E-4</v>
          </cell>
          <cell r="H238">
            <v>-1.3241844227759314E-3</v>
          </cell>
          <cell r="T238">
            <v>0</v>
          </cell>
        </row>
        <row r="239">
          <cell r="F239">
            <v>6.542526421741357E-3</v>
          </cell>
          <cell r="G239">
            <v>5.7794188473270225E-3</v>
          </cell>
          <cell r="H239">
            <v>2.1697203471553461E-3</v>
          </cell>
          <cell r="T239">
            <v>0</v>
          </cell>
        </row>
        <row r="240">
          <cell r="F240">
            <v>5.4166666666666252E-4</v>
          </cell>
          <cell r="G240">
            <v>-4.3894652833198489E-4</v>
          </cell>
          <cell r="H240">
            <v>7.9384171277363524E-3</v>
          </cell>
          <cell r="T240">
            <v>0</v>
          </cell>
        </row>
        <row r="241">
          <cell r="F241">
            <v>-1.2534876941656559E-2</v>
          </cell>
          <cell r="G241">
            <v>-1.3773004910375697E-2</v>
          </cell>
          <cell r="H241">
            <v>-1.4081145584725396E-2</v>
          </cell>
          <cell r="T241">
            <v>-1.253487694165667E-2</v>
          </cell>
        </row>
        <row r="242">
          <cell r="F242">
            <v>1.6784750337381915E-2</v>
          </cell>
          <cell r="G242">
            <v>9.0875971502590858E-3</v>
          </cell>
          <cell r="H242">
            <v>6.4149116436698073E-3</v>
          </cell>
          <cell r="T242">
            <v>0</v>
          </cell>
        </row>
        <row r="243">
          <cell r="F243">
            <v>5.6408129406886331E-3</v>
          </cell>
          <cell r="G243">
            <v>6.8997332370579478E-3</v>
          </cell>
          <cell r="H243">
            <v>1.8881539386650603E-2</v>
          </cell>
          <cell r="T243">
            <v>0</v>
          </cell>
        </row>
        <row r="244">
          <cell r="F244">
            <v>5.2338530066815103E-2</v>
          </cell>
          <cell r="G244">
            <v>-4.9799804784764756E-3</v>
          </cell>
          <cell r="H244">
            <v>5.3116147308782669E-3</v>
          </cell>
          <cell r="T244">
            <v>0</v>
          </cell>
        </row>
        <row r="245">
          <cell r="F245">
            <v>-1.4775622183029635E-2</v>
          </cell>
          <cell r="G245">
            <v>-5.505395287381587E-3</v>
          </cell>
          <cell r="H245">
            <v>-2.1134202183867856E-3</v>
          </cell>
          <cell r="T245">
            <v>-1.4775622183029524E-2</v>
          </cell>
        </row>
        <row r="246">
          <cell r="F246">
            <v>8.1549844856392273E-3</v>
          </cell>
          <cell r="G246">
            <v>9.0587003784525777E-4</v>
          </cell>
          <cell r="H246">
            <v>5.5300623602776433E-3</v>
          </cell>
          <cell r="T246">
            <v>-6.7411326670585581E-3</v>
          </cell>
        </row>
        <row r="247">
          <cell r="F247">
            <v>1.3849978297754806E-2</v>
          </cell>
          <cell r="G247">
            <v>2.069548078276795E-2</v>
          </cell>
          <cell r="H247">
            <v>1.0063187456119893E-2</v>
          </cell>
          <cell r="T247">
            <v>0</v>
          </cell>
        </row>
        <row r="248">
          <cell r="F248">
            <v>1.1286681715576563E-3</v>
          </cell>
          <cell r="G248">
            <v>6.8965517241381669E-4</v>
          </cell>
          <cell r="H248">
            <v>5.9082483781278672E-3</v>
          </cell>
          <cell r="T248">
            <v>0</v>
          </cell>
        </row>
        <row r="249">
          <cell r="F249">
            <v>1.4967150021381492E-2</v>
          </cell>
          <cell r="G249">
            <v>-3.662498769321676E-3</v>
          </cell>
          <cell r="H249">
            <v>-5.9887135782563661E-3</v>
          </cell>
          <cell r="T249">
            <v>0</v>
          </cell>
        </row>
        <row r="250">
          <cell r="F250">
            <v>9.4990041366631583E-3</v>
          </cell>
          <cell r="G250">
            <v>1.8577442241940467E-3</v>
          </cell>
          <cell r="H250">
            <v>3.7075657513612192E-3</v>
          </cell>
          <cell r="T250">
            <v>0</v>
          </cell>
        </row>
        <row r="251">
          <cell r="F251">
            <v>-4.780695097890364E-3</v>
          </cell>
          <cell r="G251">
            <v>-1.3216814944864153E-3</v>
          </cell>
          <cell r="H251">
            <v>3.1167032205934309E-3</v>
          </cell>
          <cell r="T251">
            <v>-4.780695097890364E-3</v>
          </cell>
        </row>
        <row r="252">
          <cell r="F252">
            <v>1.3534121235226904E-2</v>
          </cell>
          <cell r="G252">
            <v>3.5949907162327044E-3</v>
          </cell>
          <cell r="H252">
            <v>7.5949367088608E-3</v>
          </cell>
          <cell r="T252">
            <v>0</v>
          </cell>
        </row>
        <row r="253">
          <cell r="F253">
            <v>5.9432010532254331E-3</v>
          </cell>
          <cell r="G253">
            <v>9.3882853094002794E-3</v>
          </cell>
          <cell r="H253">
            <v>4.5682960255823968E-3</v>
          </cell>
          <cell r="T253">
            <v>0</v>
          </cell>
        </row>
        <row r="254">
          <cell r="F254">
            <v>1.5705044310660998E-3</v>
          </cell>
          <cell r="G254">
            <v>-1.0724383347958666E-3</v>
          </cell>
          <cell r="H254">
            <v>7.276034561164213E-3</v>
          </cell>
          <cell r="T254">
            <v>0</v>
          </cell>
        </row>
        <row r="255">
          <cell r="F255">
            <v>-1.0714952398730659E-2</v>
          </cell>
          <cell r="G255">
            <v>-9.9941440562170136E-3</v>
          </cell>
          <cell r="H255">
            <v>-5.3047404063205628E-3</v>
          </cell>
          <cell r="T255">
            <v>-1.0714952398730659E-2</v>
          </cell>
        </row>
        <row r="256">
          <cell r="F256">
            <v>8.9063325534000093E-3</v>
          </cell>
          <cell r="G256">
            <v>5.0672345124018747E-3</v>
          </cell>
          <cell r="H256">
            <v>7.3754680585498278E-3</v>
          </cell>
          <cell r="T256">
            <v>-1.9040507746876933E-3</v>
          </cell>
        </row>
        <row r="257">
          <cell r="F257">
            <v>1.4326326026782521E-2</v>
          </cell>
          <cell r="G257">
            <v>9.9264345267287002E-3</v>
          </cell>
          <cell r="H257">
            <v>1.2277539986483399E-2</v>
          </cell>
          <cell r="T257">
            <v>0</v>
          </cell>
        </row>
        <row r="258">
          <cell r="F258">
            <v>-1.6484124350038876E-2</v>
          </cell>
          <cell r="G258">
            <v>-6.0022144091993468E-3</v>
          </cell>
          <cell r="H258">
            <v>-5.7861355290976801E-3</v>
          </cell>
          <cell r="T258">
            <v>-1.6484124350038876E-2</v>
          </cell>
        </row>
        <row r="259">
          <cell r="F259">
            <v>-6.5616797900261981E-3</v>
          </cell>
          <cell r="G259">
            <v>-8.5984522785909068E-4</v>
          </cell>
          <cell r="H259">
            <v>1.1303861219921663E-2</v>
          </cell>
          <cell r="T259">
            <v>-2.2937640594461128E-2</v>
          </cell>
        </row>
        <row r="260">
          <cell r="F260">
            <v>1.7474995282128702E-2</v>
          </cell>
          <cell r="G260">
            <v>1.0757314974182419E-2</v>
          </cell>
          <cell r="H260">
            <v>-1.1066843736173837E-4</v>
          </cell>
          <cell r="T260">
            <v>-5.8634804735038237E-3</v>
          </cell>
        </row>
        <row r="261">
          <cell r="F261">
            <v>-9.644632391127006E-4</v>
          </cell>
          <cell r="G261">
            <v>-1.5673981191220987E-3</v>
          </cell>
          <cell r="H261">
            <v>9.8505810736027044E-3</v>
          </cell>
          <cell r="T261">
            <v>-6.8222886012465622E-3</v>
          </cell>
        </row>
        <row r="262">
          <cell r="F262">
            <v>5.2354076934502114E-3</v>
          </cell>
          <cell r="G262">
            <v>-1.9768591197162344E-3</v>
          </cell>
          <cell r="H262">
            <v>-5.2608505041646936E-3</v>
          </cell>
          <cell r="T262">
            <v>-1.622598370026207E-3</v>
          </cell>
        </row>
        <row r="263">
          <cell r="F263">
            <v>-1.429468474125517E-2</v>
          </cell>
          <cell r="G263">
            <v>-9.9427128847462409E-3</v>
          </cell>
          <cell r="H263">
            <v>4.4072278536799736E-4</v>
          </cell>
          <cell r="T263">
            <v>-1.5894088579120114E-2</v>
          </cell>
        </row>
        <row r="264">
          <cell r="F264">
            <v>9.5930450423442615E-3</v>
          </cell>
          <cell r="G264">
            <v>5.9431575230959321E-3</v>
          </cell>
          <cell r="H264">
            <v>-1.7621145374449032E-3</v>
          </cell>
          <cell r="T264">
            <v>-6.4535162444223637E-3</v>
          </cell>
        </row>
        <row r="265">
          <cell r="F265">
            <v>-1.5217875436123185E-3</v>
          </cell>
          <cell r="G265">
            <v>5.5570721054478689E-3</v>
          </cell>
          <cell r="H265">
            <v>1.1032656663734208E-4</v>
          </cell>
          <cell r="T265">
            <v>-7.9654829074014E-3</v>
          </cell>
        </row>
        <row r="266">
          <cell r="F266">
            <v>1.0148321623731471E-2</v>
          </cell>
          <cell r="G266">
            <v>9.249384343914091E-3</v>
          </cell>
          <cell r="H266">
            <v>1.0038610038610063E-2</v>
          </cell>
          <cell r="T266">
            <v>0</v>
          </cell>
        </row>
        <row r="267">
          <cell r="F267">
            <v>1.4167954662545057E-2</v>
          </cell>
          <cell r="G267">
            <v>3.3046418690441115E-3</v>
          </cell>
          <cell r="H267">
            <v>4.1502839667977298E-3</v>
          </cell>
          <cell r="T267">
            <v>0</v>
          </cell>
        </row>
        <row r="268">
          <cell r="F268">
            <v>-4.4631517834462509E-3</v>
          </cell>
          <cell r="G268">
            <v>-1.8958253542704639E-3</v>
          </cell>
          <cell r="H268">
            <v>-6.1996954535565862E-3</v>
          </cell>
          <cell r="T268">
            <v>-4.4631517834462509E-3</v>
          </cell>
        </row>
        <row r="269">
          <cell r="F269">
            <v>-6.3420323662342071E-3</v>
          </cell>
          <cell r="G269">
            <v>-2.7628019416359173E-3</v>
          </cell>
          <cell r="H269">
            <v>3.2833533982712382E-4</v>
          </cell>
          <cell r="T269">
            <v>-1.0776878696614367E-2</v>
          </cell>
        </row>
        <row r="270">
          <cell r="F270">
            <v>4.5851368204827825E-3</v>
          </cell>
          <cell r="G270">
            <v>-1.846970775535417E-3</v>
          </cell>
          <cell r="H270">
            <v>-7.6586433260406039E-4</v>
          </cell>
          <cell r="T270">
            <v>-6.2411553394534636E-3</v>
          </cell>
        </row>
        <row r="271">
          <cell r="F271">
            <v>-3.9434768320735225E-3</v>
          </cell>
          <cell r="G271">
            <v>8.4038472658585217E-3</v>
          </cell>
          <cell r="H271">
            <v>1.4343589182086891E-2</v>
          </cell>
          <cell r="T271">
            <v>-1.0160020320040375E-2</v>
          </cell>
        </row>
        <row r="272">
          <cell r="F272">
            <v>4.765570585432144E-4</v>
          </cell>
          <cell r="G272">
            <v>-1.9114245847418054E-4</v>
          </cell>
          <cell r="H272">
            <v>2.6986183074266812E-3</v>
          </cell>
          <cell r="T272">
            <v>-9.688305090895688E-3</v>
          </cell>
        </row>
        <row r="273">
          <cell r="F273">
            <v>-1.1834969954565455E-2</v>
          </cell>
          <cell r="G273">
            <v>-1.739728908176863E-3</v>
          </cell>
          <cell r="H273">
            <v>-2.3683927225750523E-3</v>
          </cell>
          <cell r="T273">
            <v>-2.1408614245799762E-2</v>
          </cell>
        </row>
        <row r="274">
          <cell r="F274">
            <v>-1.2755385813341236E-2</v>
          </cell>
          <cell r="G274">
            <v>-6.3582043817985712E-3</v>
          </cell>
          <cell r="H274">
            <v>-3.6689327722024823E-3</v>
          </cell>
          <cell r="T274">
            <v>-3.3890924924706911E-2</v>
          </cell>
        </row>
        <row r="275">
          <cell r="F275">
            <v>9.4647887323942026E-3</v>
          </cell>
          <cell r="G275">
            <v>1.0986045794463273E-3</v>
          </cell>
          <cell r="H275">
            <v>5.9568937506768727E-3</v>
          </cell>
          <cell r="T275">
            <v>-2.4746906636670452E-2</v>
          </cell>
        </row>
        <row r="276">
          <cell r="F276">
            <v>-1.0715481638575719E-2</v>
          </cell>
          <cell r="G276">
            <v>-1.2206156985810623E-2</v>
          </cell>
          <cell r="H276">
            <v>-1.0120585701981044E-2</v>
          </cell>
          <cell r="T276">
            <v>-3.5197213251569326E-2</v>
          </cell>
        </row>
        <row r="277">
          <cell r="F277">
            <v>1.602166309376063E-2</v>
          </cell>
          <cell r="G277">
            <v>1.0446917574599812E-2</v>
          </cell>
          <cell r="H277">
            <v>9.0276267130737775E-3</v>
          </cell>
          <cell r="T277">
            <v>-1.9739468050364639E-2</v>
          </cell>
        </row>
        <row r="278">
          <cell r="F278">
            <v>-1.5917083101978369E-3</v>
          </cell>
          <cell r="G278">
            <v>5.5938120864928997E-4</v>
          </cell>
          <cell r="H278">
            <v>7.5455427401105446E-4</v>
          </cell>
          <cell r="T278">
            <v>-2.1299756885227894E-2</v>
          </cell>
        </row>
        <row r="279">
          <cell r="F279">
            <v>-1.520094913243375E-2</v>
          </cell>
          <cell r="G279">
            <v>1.1566933991364881E-3</v>
          </cell>
          <cell r="H279">
            <v>2.3696682464455776E-3</v>
          </cell>
          <cell r="T279">
            <v>-3.6176929496716026E-2</v>
          </cell>
        </row>
        <row r="280">
          <cell r="F280">
            <v>-3.9906633536631597E-3</v>
          </cell>
          <cell r="G280">
            <v>-1.0013094046060322E-2</v>
          </cell>
          <cell r="H280">
            <v>-1.5581345368579469E-2</v>
          </cell>
          <cell r="T280">
            <v>-4.0023222903588507E-2</v>
          </cell>
        </row>
        <row r="281">
          <cell r="F281">
            <v>3.5530692470517877E-3</v>
          </cell>
          <cell r="G281">
            <v>7.5468762156694069E-3</v>
          </cell>
          <cell r="H281">
            <v>-7.6410872175514122E-4</v>
          </cell>
          <cell r="T281">
            <v>-3.6612358939003387E-2</v>
          </cell>
        </row>
        <row r="282">
          <cell r="F282">
            <v>-1.0244821092278866E-2</v>
          </cell>
          <cell r="G282">
            <v>-1.3803088803088781E-2</v>
          </cell>
          <cell r="H282">
            <v>-1.7697181559973796E-2</v>
          </cell>
          <cell r="T282">
            <v>-4.6482092964185817E-2</v>
          </cell>
        </row>
        <row r="283">
          <cell r="F283">
            <v>-8.790623335109049E-3</v>
          </cell>
          <cell r="G283">
            <v>-1.252813937555064E-2</v>
          </cell>
          <cell r="H283">
            <v>-4.7820284697509541E-3</v>
          </cell>
          <cell r="T283">
            <v>-5.4864109728219201E-2</v>
          </cell>
        </row>
        <row r="284">
          <cell r="F284">
            <v>-7.4096824970246722E-3</v>
          </cell>
          <cell r="G284">
            <v>-1.8237684606997595E-3</v>
          </cell>
          <cell r="H284">
            <v>-7.7103586992960382E-3</v>
          </cell>
          <cell r="T284">
            <v>-6.1867266591675851E-2</v>
          </cell>
        </row>
        <row r="285">
          <cell r="F285">
            <v>-1.0830045640908281E-3</v>
          </cell>
          <cell r="G285">
            <v>-5.918217385259994E-3</v>
          </cell>
          <cell r="H285">
            <v>2.2522522522523403E-3</v>
          </cell>
          <cell r="T285">
            <v>-6.28832686236801E-2</v>
          </cell>
        </row>
        <row r="286">
          <cell r="F286">
            <v>-1.2351893440718631E-2</v>
          </cell>
          <cell r="G286">
            <v>-2.0577364898611838E-3</v>
          </cell>
          <cell r="H286">
            <v>3.3707865168541851E-4</v>
          </cell>
          <cell r="T286">
            <v>-7.4458434631154979E-2</v>
          </cell>
        </row>
        <row r="287">
          <cell r="F287">
            <v>-1.1800682165679977E-2</v>
          </cell>
          <cell r="G287">
            <v>-8.7283792440742136E-3</v>
          </cell>
          <cell r="H287">
            <v>-7.8625182522751302E-4</v>
          </cell>
          <cell r="T287">
            <v>-8.5380456475198652E-2</v>
          </cell>
        </row>
        <row r="288">
          <cell r="F288">
            <v>9.6008886772989133E-3</v>
          </cell>
          <cell r="G288">
            <v>9.2091445189432797E-3</v>
          </cell>
          <cell r="H288">
            <v>1.0116906474819665E-3</v>
          </cell>
          <cell r="T288">
            <v>-7.6599296055735122E-2</v>
          </cell>
        </row>
        <row r="289">
          <cell r="F289">
            <v>1.9097767997485082E-2</v>
          </cell>
          <cell r="G289">
            <v>1.1866645321379821E-2</v>
          </cell>
          <cell r="H289">
            <v>-8.6468276249297427E-3</v>
          </cell>
          <cell r="T289">
            <v>-5.8964403643093077E-2</v>
          </cell>
        </row>
        <row r="290">
          <cell r="F290">
            <v>-1.1336469499498736E-2</v>
          </cell>
          <cell r="G290">
            <v>-4.7463660634816662E-4</v>
          </cell>
          <cell r="H290">
            <v>6.7965564114191857E-4</v>
          </cell>
          <cell r="T290">
            <v>-6.9632424979135799E-2</v>
          </cell>
        </row>
        <row r="291">
          <cell r="F291">
            <v>8.3463338533542597E-3</v>
          </cell>
          <cell r="G291">
            <v>-3.7988959458657989E-3</v>
          </cell>
          <cell r="H291">
            <v>7.1315372424722856E-3</v>
          </cell>
          <cell r="T291">
            <v>-6.1867266591675962E-2</v>
          </cell>
        </row>
        <row r="292">
          <cell r="F292">
            <v>1.0443258296588542E-2</v>
          </cell>
          <cell r="G292">
            <v>9.4738723708513994E-3</v>
          </cell>
          <cell r="H292">
            <v>6.1818590536135698E-3</v>
          </cell>
          <cell r="T292">
            <v>-5.2070104140208295E-2</v>
          </cell>
        </row>
        <row r="293">
          <cell r="F293">
            <v>8.03858520900258E-4</v>
          </cell>
          <cell r="G293">
            <v>3.5414945106835294E-3</v>
          </cell>
          <cell r="H293">
            <v>8.3780160857909181E-3</v>
          </cell>
          <cell r="T293">
            <v>-5.130810261620522E-2</v>
          </cell>
        </row>
        <row r="294">
          <cell r="F294">
            <v>-1.4610824249378429E-2</v>
          </cell>
          <cell r="G294">
            <v>-1.5841273575657788E-2</v>
          </cell>
          <cell r="H294">
            <v>-1.8167719065027121E-2</v>
          </cell>
          <cell r="T294">
            <v>-6.5169273195689215E-2</v>
          </cell>
        </row>
        <row r="295">
          <cell r="F295">
            <v>8.151224624461495E-3</v>
          </cell>
          <cell r="G295">
            <v>-3.247141320371294E-3</v>
          </cell>
          <cell r="H295">
            <v>5.1901162134717627E-3</v>
          </cell>
          <cell r="T295">
            <v>-5.7549257955658795E-2</v>
          </cell>
        </row>
        <row r="296">
          <cell r="F296">
            <v>1.8018711739113735E-2</v>
          </cell>
          <cell r="G296">
            <v>9.353452583191757E-3</v>
          </cell>
          <cell r="H296">
            <v>-5.1633179930408168E-3</v>
          </cell>
          <cell r="T296">
            <v>-4.0567509706447957E-2</v>
          </cell>
        </row>
        <row r="297">
          <cell r="F297">
            <v>1.1346015657487385E-4</v>
          </cell>
          <cell r="G297">
            <v>1.239530324931204E-2</v>
          </cell>
          <cell r="H297">
            <v>1.0154575200270743E-2</v>
          </cell>
          <cell r="T297">
            <v>-4.04586523458762E-2</v>
          </cell>
        </row>
        <row r="298">
          <cell r="F298">
            <v>8.2060202692482154E-3</v>
          </cell>
          <cell r="G298">
            <v>1.0326820395470282E-2</v>
          </cell>
          <cell r="H298">
            <v>6.0314978219591087E-3</v>
          </cell>
          <cell r="T298">
            <v>-3.2584636597844718E-2</v>
          </cell>
        </row>
        <row r="299">
          <cell r="F299">
            <v>6.5263868572071893E-3</v>
          </cell>
          <cell r="G299">
            <v>1.1034322550669273E-3</v>
          </cell>
          <cell r="H299">
            <v>1.1879649161763206E-2</v>
          </cell>
          <cell r="T299">
            <v>-2.6270909684676491E-2</v>
          </cell>
        </row>
        <row r="300">
          <cell r="F300">
            <v>-1.5651201788708935E-3</v>
          </cell>
          <cell r="G300">
            <v>9.6685617047675976E-5</v>
          </cell>
          <cell r="H300">
            <v>-4.6082949308755561E-3</v>
          </cell>
          <cell r="T300">
            <v>-2.7794912732682642E-2</v>
          </cell>
        </row>
        <row r="301">
          <cell r="F301">
            <v>1.0301198074123885E-2</v>
          </cell>
          <cell r="G301">
            <v>5.7619056826310189E-3</v>
          </cell>
          <cell r="H301">
            <v>1.113315696649031E-2</v>
          </cell>
          <cell r="T301">
            <v>-1.7780035560071128E-2</v>
          </cell>
        </row>
        <row r="302">
          <cell r="F302">
            <v>5.0980826776017008E-3</v>
          </cell>
          <cell r="G302">
            <v>1.2880404483150976E-3</v>
          </cell>
          <cell r="H302">
            <v>1.1991714815218213E-3</v>
          </cell>
          <cell r="T302">
            <v>-1.2772596973765316E-2</v>
          </cell>
        </row>
        <row r="303">
          <cell r="F303">
            <v>-7.2775388686735498E-3</v>
          </cell>
          <cell r="G303">
            <v>1.3439827970196383E-4</v>
          </cell>
          <cell r="H303">
            <v>-6.5331010452962524E-4</v>
          </cell>
          <cell r="T303">
            <v>-1.9957182771508375E-2</v>
          </cell>
        </row>
        <row r="304">
          <cell r="F304">
            <v>-8.6637787404197919E-3</v>
          </cell>
          <cell r="G304">
            <v>4.5881246280548016E-3</v>
          </cell>
          <cell r="H304">
            <v>9.8060579646985779E-4</v>
          </cell>
          <cell r="T304">
            <v>-2.8448056896113627E-2</v>
          </cell>
        </row>
        <row r="305">
          <cell r="F305">
            <v>1.0270774976657293E-2</v>
          </cell>
          <cell r="G305">
            <v>1.2382954328301166E-2</v>
          </cell>
          <cell r="H305">
            <v>1.7415913791225535E-3</v>
          </cell>
          <cell r="T305">
            <v>-1.846946551035944E-2</v>
          </cell>
        </row>
        <row r="306">
          <cell r="F306">
            <v>-3.8817005545286554E-2</v>
          </cell>
          <cell r="G306">
            <v>-2.057457812676855E-3</v>
          </cell>
          <cell r="H306">
            <v>-7.1715744865804565E-3</v>
          </cell>
          <cell r="T306">
            <v>-5.6569541710511984E-2</v>
          </cell>
        </row>
        <row r="307">
          <cell r="F307">
            <v>-3.4615384615384048E-3</v>
          </cell>
          <cell r="G307">
            <v>1.4375153681740471E-3</v>
          </cell>
          <cell r="H307">
            <v>8.536718835504109E-3</v>
          </cell>
          <cell r="T307">
            <v>-5.9835262527667799E-2</v>
          </cell>
        </row>
        <row r="308">
          <cell r="F308">
            <v>4.2840602084135426E-3</v>
          </cell>
          <cell r="G308">
            <v>1.1521390121822517E-3</v>
          </cell>
          <cell r="H308">
            <v>1.4107433532284386E-3</v>
          </cell>
          <cell r="T308">
            <v>-5.5807540186509019E-2</v>
          </cell>
        </row>
        <row r="309">
          <cell r="F309">
            <v>7.5708081933822946E-3</v>
          </cell>
          <cell r="G309">
            <v>2.4525525412217863E-3</v>
          </cell>
          <cell r="H309">
            <v>0</v>
          </cell>
          <cell r="T309">
            <v>-4.8659240175623286E-2</v>
          </cell>
        </row>
        <row r="310">
          <cell r="F310">
            <v>-4.9965672438783137E-3</v>
          </cell>
          <cell r="G310">
            <v>-2.8794037940378381E-3</v>
          </cell>
          <cell r="H310">
            <v>-9.7529258777634409E-3</v>
          </cell>
          <cell r="T310">
            <v>-5.3412678253928036E-2</v>
          </cell>
        </row>
        <row r="311">
          <cell r="F311">
            <v>-1.4029976616705686E-2</v>
          </cell>
          <cell r="G311">
            <v>-7.3042296585696942E-3</v>
          </cell>
          <cell r="H311">
            <v>-8.864084044648779E-3</v>
          </cell>
          <cell r="T311">
            <v>-6.6693276243695476E-2</v>
          </cell>
        </row>
        <row r="312">
          <cell r="F312">
            <v>7.9312623925975601E-3</v>
          </cell>
          <cell r="G312">
            <v>6.616472735569312E-3</v>
          </cell>
          <cell r="H312">
            <v>8.7225350557580406E-3</v>
          </cell>
          <cell r="T312">
            <v>-5.9290975724808681E-2</v>
          </cell>
        </row>
        <row r="313">
          <cell r="F313">
            <v>-2.0327868852459074E-2</v>
          </cell>
          <cell r="G313">
            <v>6.988516168024983E-4</v>
          </cell>
          <cell r="H313">
            <v>-3.8309982486864902E-3</v>
          </cell>
          <cell r="T313">
            <v>-7.8413585398599439E-2</v>
          </cell>
        </row>
        <row r="314">
          <cell r="F314">
            <v>-8.1502480510275976E-3</v>
          </cell>
          <cell r="G314">
            <v>-7.0025103338930972E-3</v>
          </cell>
          <cell r="H314">
            <v>-1.4284144599494675E-2</v>
          </cell>
          <cell r="T314">
            <v>-8.5924743278057991E-2</v>
          </cell>
        </row>
        <row r="315">
          <cell r="F315">
            <v>8.6141876066849754E-3</v>
          </cell>
          <cell r="G315">
            <v>-6.6337198251282814E-3</v>
          </cell>
          <cell r="H315">
            <v>8.1373314011816689E-3</v>
          </cell>
          <cell r="T315">
            <v>-7.8050727530026398E-2</v>
          </cell>
        </row>
        <row r="316">
          <cell r="F316">
            <v>6.651448362720469E-3</v>
          </cell>
          <cell r="G316">
            <v>9.1081303457645202E-3</v>
          </cell>
          <cell r="H316">
            <v>1.2052189296771321E-2</v>
          </cell>
          <cell r="T316">
            <v>-7.1918429551144802E-2</v>
          </cell>
        </row>
        <row r="317">
          <cell r="F317">
            <v>-1.3996950385111617E-2</v>
          </cell>
          <cell r="G317">
            <v>8.1536682025884488E-4</v>
          </cell>
          <cell r="H317">
            <v>-5.8997050147493457E-3</v>
          </cell>
          <cell r="T317">
            <v>-8.4908741246053854E-2</v>
          </cell>
        </row>
        <row r="318">
          <cell r="F318">
            <v>-6.8599072128157079E-3</v>
          </cell>
          <cell r="G318">
            <v>1.1178476695719031E-3</v>
          </cell>
          <cell r="H318">
            <v>-1.110012089240564E-2</v>
          </cell>
          <cell r="T318">
            <v>-9.1186182372364755E-2</v>
          </cell>
        </row>
        <row r="319">
          <cell r="F319">
            <v>2.8747105326198952E-3</v>
          </cell>
          <cell r="G319">
            <v>1.1885160582145726E-2</v>
          </cell>
          <cell r="H319">
            <v>6.8904200933539439E-3</v>
          </cell>
          <cell r="T319">
            <v>-8.8573605718640036E-2</v>
          </cell>
        </row>
        <row r="320">
          <cell r="F320">
            <v>-1.0351142606895403E-2</v>
          </cell>
          <cell r="G320">
            <v>-1.8703125292174327E-5</v>
          </cell>
          <cell r="H320">
            <v>1.1037527593820151E-3</v>
          </cell>
          <cell r="T320">
            <v>-9.8007910301534884E-2</v>
          </cell>
        </row>
        <row r="321">
          <cell r="F321">
            <v>-3.9826212889211288E-3</v>
          </cell>
          <cell r="G321">
            <v>-1.215725881868801E-3</v>
          </cell>
          <cell r="H321">
            <v>-1.0033076074972391E-2</v>
          </cell>
          <cell r="T321">
            <v>-0.10160020320040641</v>
          </cell>
        </row>
        <row r="322">
          <cell r="F322">
            <v>8.8856577406204451E-4</v>
          </cell>
          <cell r="G322">
            <v>3.0898297784685003E-3</v>
          </cell>
          <cell r="H322">
            <v>-1.0023387905112591E-3</v>
          </cell>
          <cell r="T322">
            <v>-0.10080191588954601</v>
          </cell>
        </row>
        <row r="323">
          <cell r="F323">
            <v>-1.2792058431863151E-2</v>
          </cell>
          <cell r="G323">
            <v>2.4082440353956347E-3</v>
          </cell>
          <cell r="H323">
            <v>-3.3444816053518345E-4</v>
          </cell>
          <cell r="T323">
            <v>-0.11230451032330624</v>
          </cell>
        </row>
        <row r="324">
          <cell r="F324">
            <v>1.8312622629169439E-2</v>
          </cell>
          <cell r="G324">
            <v>8.213055219294052E-3</v>
          </cell>
          <cell r="H324">
            <v>1.8958403033344506E-3</v>
          </cell>
          <cell r="T324">
            <v>-9.6048477811241262E-2</v>
          </cell>
        </row>
        <row r="325">
          <cell r="F325">
            <v>1.938824662813099E-2</v>
          </cell>
          <cell r="G325">
            <v>2.0134476134181511E-3</v>
          </cell>
          <cell r="H325">
            <v>-3.3392698130008114E-4</v>
          </cell>
          <cell r="T325">
            <v>-7.8522442759171085E-2</v>
          </cell>
        </row>
        <row r="326">
          <cell r="F326">
            <v>-5.1584957668832088E-3</v>
          </cell>
          <cell r="G326">
            <v>6.0835100009204446E-4</v>
          </cell>
          <cell r="H326">
            <v>-9.2417325464869693E-3</v>
          </cell>
          <cell r="T326">
            <v>-8.3275880837475835E-2</v>
          </cell>
        </row>
        <row r="327">
          <cell r="F327">
            <v>1.468492716909453E-2</v>
          </cell>
          <cell r="G327">
            <v>7.9590257562918154E-3</v>
          </cell>
          <cell r="H327">
            <v>7.417397167902795E-3</v>
          </cell>
          <cell r="T327">
            <v>-6.9813853913421764E-2</v>
          </cell>
        </row>
        <row r="328">
          <cell r="F328">
            <v>-2.8866783694168063E-3</v>
          </cell>
          <cell r="G328">
            <v>2.5406689819045258E-3</v>
          </cell>
          <cell r="H328">
            <v>-1.1155734047300081E-3</v>
          </cell>
          <cell r="T328">
            <v>-7.2499002140861024E-2</v>
          </cell>
        </row>
        <row r="329">
          <cell r="F329">
            <v>-3.5796721568013834E-2</v>
          </cell>
          <cell r="G329">
            <v>-2.716549071086094E-3</v>
          </cell>
          <cell r="H329">
            <v>1.005137368773612E-3</v>
          </cell>
          <cell r="T329">
            <v>-0.10570049711527962</v>
          </cell>
        </row>
        <row r="330">
          <cell r="F330">
            <v>5.4775622819118741E-3</v>
          </cell>
          <cell r="G330">
            <v>-4.5521023765996427E-3</v>
          </cell>
          <cell r="H330">
            <v>1.1156978690185504E-4</v>
          </cell>
          <cell r="T330">
            <v>-0.10080191588954568</v>
          </cell>
        </row>
        <row r="331">
          <cell r="F331">
            <v>-9.2813042250106115E-4</v>
          </cell>
          <cell r="G331">
            <v>-3.2506290058951226E-3</v>
          </cell>
          <cell r="H331">
            <v>1.6733601070950677E-3</v>
          </cell>
          <cell r="T331">
            <v>-0.1016364889872633</v>
          </cell>
        </row>
        <row r="332">
          <cell r="F332">
            <v>-5.7759108167056983E-3</v>
          </cell>
          <cell r="G332">
            <v>3.8508309687881326E-3</v>
          </cell>
          <cell r="H332">
            <v>-1.2696291346475097E-2</v>
          </cell>
          <cell r="T332">
            <v>-0.10682535650785552</v>
          </cell>
        </row>
        <row r="333">
          <cell r="F333">
            <v>-1.096892138939709E-3</v>
          </cell>
          <cell r="G333">
            <v>1.2480957362845935E-3</v>
          </cell>
          <cell r="H333">
            <v>-6.7681895093063549E-4</v>
          </cell>
          <cell r="T333">
            <v>-0.10780507275300233</v>
          </cell>
        </row>
        <row r="334">
          <cell r="F334">
            <v>7.646006181877274E-3</v>
          </cell>
          <cell r="G334">
            <v>1.5765063885171404E-3</v>
          </cell>
          <cell r="H334">
            <v>-2.821988937803388E-3</v>
          </cell>
          <cell r="T334">
            <v>-0.1009833448238322</v>
          </cell>
        </row>
        <row r="335">
          <cell r="F335">
            <v>3.7132709073297576E-3</v>
          </cell>
          <cell r="G335">
            <v>-3.9350623204055246E-3</v>
          </cell>
          <cell r="H335">
            <v>-3.3959701154628874E-4</v>
          </cell>
          <cell r="T335">
            <v>-9.7645052432961621E-2</v>
          </cell>
        </row>
        <row r="336">
          <cell r="F336">
            <v>-1.994531124336496E-2</v>
          </cell>
          <cell r="G336">
            <v>2.057991253537228E-3</v>
          </cell>
          <cell r="H336">
            <v>-1.5400294417393212E-2</v>
          </cell>
          <cell r="T336">
            <v>-0.11564280271417648</v>
          </cell>
        </row>
        <row r="337">
          <cell r="F337">
            <v>5.5391432791727091E-3</v>
          </cell>
          <cell r="G337">
            <v>6.729746580115048E-3</v>
          </cell>
          <cell r="H337">
            <v>1.840138010350767E-3</v>
          </cell>
          <cell r="T337">
            <v>-0.11074422148844276</v>
          </cell>
        </row>
        <row r="338">
          <cell r="F338">
            <v>-4.6925368262129563E-3</v>
          </cell>
          <cell r="G338">
            <v>4.4625780951168537E-3</v>
          </cell>
          <cell r="H338">
            <v>7.4618298702791019E-3</v>
          </cell>
          <cell r="T338">
            <v>-0.11491708697703096</v>
          </cell>
        </row>
        <row r="339">
          <cell r="F339">
            <v>1.1889143981633765E-3</v>
          </cell>
          <cell r="G339">
            <v>5.766510717005735E-3</v>
          </cell>
          <cell r="H339">
            <v>1.5952597994530748E-3</v>
          </cell>
          <cell r="T339">
            <v>-0.11386479915816949</v>
          </cell>
        </row>
        <row r="340">
          <cell r="F340">
            <v>-9.1724335612792807E-3</v>
          </cell>
          <cell r="G340">
            <v>1.1539016298860449E-3</v>
          </cell>
          <cell r="H340">
            <v>2.9579067121727753E-3</v>
          </cell>
          <cell r="T340">
            <v>-0.12199281541420215</v>
          </cell>
        </row>
        <row r="341">
          <cell r="F341">
            <v>1.157168243997253E-3</v>
          </cell>
          <cell r="G341">
            <v>9.7248235124625104E-4</v>
          </cell>
          <cell r="H341">
            <v>-1.0208711433756679E-2</v>
          </cell>
          <cell r="T341">
            <v>-0.12097681338219801</v>
          </cell>
        </row>
        <row r="342">
          <cell r="F342">
            <v>2.2579979360165092E-2</v>
          </cell>
          <cell r="G342">
            <v>9.8952898420352486E-3</v>
          </cell>
          <cell r="H342">
            <v>1.3408205363282244E-2</v>
          </cell>
          <cell r="T342">
            <v>-0.1011284879712615</v>
          </cell>
        </row>
        <row r="343">
          <cell r="F343">
            <v>2.8136605845309193E-2</v>
          </cell>
          <cell r="G343">
            <v>-8.6225326017245196E-3</v>
          </cell>
          <cell r="H343">
            <v>1.3683139206151607E-2</v>
          </cell>
          <cell r="T343">
            <v>-7.5837294531731714E-2</v>
          </cell>
        </row>
        <row r="344">
          <cell r="F344">
            <v>-8.5594251835564572E-3</v>
          </cell>
          <cell r="G344">
            <v>6.3075043128233421E-3</v>
          </cell>
          <cell r="H344">
            <v>9.5939312806783139E-3</v>
          </cell>
          <cell r="T344">
            <v>-8.3747596066620522E-2</v>
          </cell>
        </row>
        <row r="345">
          <cell r="F345">
            <v>5.5047324858421565E-3</v>
          </cell>
          <cell r="G345">
            <v>2.7500491080196809E-3</v>
          </cell>
          <cell r="H345">
            <v>-2.5414364640884424E-3</v>
          </cell>
          <cell r="T345">
            <v>-7.8703871693457494E-2</v>
          </cell>
        </row>
        <row r="346">
          <cell r="F346">
            <v>3.5092556124458385E-2</v>
          </cell>
          <cell r="G346">
            <v>5.930226345876477E-3</v>
          </cell>
          <cell r="H346">
            <v>1.9386285587681407E-2</v>
          </cell>
          <cell r="T346">
            <v>-4.6373235603613838E-2</v>
          </cell>
        </row>
        <row r="347">
          <cell r="F347">
            <v>-2.6673262052433255E-2</v>
          </cell>
          <cell r="G347">
            <v>-1.4021173388096053E-2</v>
          </cell>
          <cell r="H347">
            <v>-2.0647685285807293E-3</v>
          </cell>
          <cell r="T347">
            <v>-7.1809572190572601E-2</v>
          </cell>
        </row>
        <row r="348">
          <cell r="F348">
            <v>1.1336982017200459E-3</v>
          </cell>
          <cell r="G348">
            <v>-7.6848493554064756E-3</v>
          </cell>
          <cell r="H348">
            <v>-9.9096155940323616E-3</v>
          </cell>
          <cell r="T348">
            <v>-7.075728437171136E-2</v>
          </cell>
        </row>
        <row r="349">
          <cell r="F349">
            <v>1.9524385958069601E-4</v>
          </cell>
          <cell r="G349">
            <v>-6.6406108638221717E-3</v>
          </cell>
          <cell r="H349">
            <v>-8.9089309282885942E-3</v>
          </cell>
          <cell r="T349">
            <v>-7.0575855437424839E-2</v>
          </cell>
        </row>
        <row r="350">
          <cell r="F350">
            <v>1.7451393769032597E-2</v>
          </cell>
          <cell r="G350">
            <v>1.0309841709320589E-2</v>
          </cell>
          <cell r="H350">
            <v>3.3292642326046007E-3</v>
          </cell>
          <cell r="T350">
            <v>-5.4356108712217077E-2</v>
          </cell>
        </row>
        <row r="351">
          <cell r="F351">
            <v>-1.765089597483005E-3</v>
          </cell>
          <cell r="G351">
            <v>-1.5685567474984508E-3</v>
          </cell>
          <cell r="H351">
            <v>3.9818604136709901E-3</v>
          </cell>
          <cell r="T351">
            <v>-5.6025254907652533E-2</v>
          </cell>
        </row>
        <row r="352">
          <cell r="F352">
            <v>-3.7055544877954927E-2</v>
          </cell>
          <cell r="G352">
            <v>-2.26624291234786E-2</v>
          </cell>
          <cell r="H352">
            <v>-1.2779552715654896E-2</v>
          </cell>
          <cell r="T352">
            <v>-9.1004753438078123E-2</v>
          </cell>
        </row>
        <row r="353">
          <cell r="F353">
            <v>1.3013452556784211E-2</v>
          </cell>
          <cell r="G353">
            <v>-5.210354193226685E-3</v>
          </cell>
          <cell r="H353">
            <v>2.7898672023212168E-3</v>
          </cell>
          <cell r="T353">
            <v>-7.9175586922602181E-2</v>
          </cell>
        </row>
        <row r="354">
          <cell r="F354">
            <v>3.1288174331087104E-2</v>
          </cell>
          <cell r="G354">
            <v>1.119964339443924E-2</v>
          </cell>
          <cell r="H354">
            <v>1.6358780324949862E-2</v>
          </cell>
          <cell r="T354">
            <v>-5.0364672157915513E-2</v>
          </cell>
        </row>
        <row r="355">
          <cell r="F355">
            <v>1.0775285621489328E-2</v>
          </cell>
          <cell r="G355">
            <v>5.8775990008075318E-4</v>
          </cell>
          <cell r="H355">
            <v>1.7518887550640461E-3</v>
          </cell>
          <cell r="T355">
            <v>-4.0132080264160375E-2</v>
          </cell>
        </row>
        <row r="356">
          <cell r="F356">
            <v>2.0678183948890538E-2</v>
          </cell>
          <cell r="G356">
            <v>-5.0664512812981233E-3</v>
          </cell>
          <cell r="H356">
            <v>-3.2790468903705072E-3</v>
          </cell>
          <cell r="T356">
            <v>-2.0283754853223757E-2</v>
          </cell>
        </row>
        <row r="357">
          <cell r="F357">
            <v>1.6703703703703665E-2</v>
          </cell>
          <cell r="G357">
            <v>1.6254612546125369E-2</v>
          </cell>
          <cell r="H357">
            <v>1.0417808970281772E-2</v>
          </cell>
          <cell r="T357">
            <v>-3.9188649805870224E-3</v>
          </cell>
        </row>
        <row r="358">
          <cell r="F358">
            <v>-1.2312848347965422E-2</v>
          </cell>
          <cell r="G358">
            <v>-1.4160962945480193E-2</v>
          </cell>
          <cell r="H358">
            <v>-4.0156283915780966E-3</v>
          </cell>
          <cell r="T358">
            <v>-1.6183460938350325E-2</v>
          </cell>
        </row>
        <row r="359">
          <cell r="F359">
            <v>-1.7666801903146179E-2</v>
          </cell>
          <cell r="G359">
            <v>-1.8618441649325135E-2</v>
          </cell>
          <cell r="H359">
            <v>-1.8851476517380283E-2</v>
          </cell>
          <cell r="T359">
            <v>-3.3564352842991307E-2</v>
          </cell>
        </row>
        <row r="360">
          <cell r="F360">
            <v>-3.3453480513629064E-2</v>
          </cell>
          <cell r="G360">
            <v>-2.9123662976168085E-2</v>
          </cell>
          <cell r="H360">
            <v>-2.2323411816970284E-2</v>
          </cell>
          <cell r="T360">
            <v>-6.5894988932834853E-2</v>
          </cell>
        </row>
        <row r="361">
          <cell r="F361">
            <v>-4.3856582371907038E-2</v>
          </cell>
          <cell r="G361">
            <v>9.2195291661834045E-3</v>
          </cell>
          <cell r="H361">
            <v>5.111893672611556E-3</v>
          </cell>
          <cell r="T361">
            <v>-0.10686164229471307</v>
          </cell>
        </row>
        <row r="362">
          <cell r="F362">
            <v>-1.9988624360120166E-2</v>
          </cell>
          <cell r="G362">
            <v>-6.6839030929809473E-3</v>
          </cell>
          <cell r="H362">
            <v>-1.3562386980108476E-2</v>
          </cell>
          <cell r="T362">
            <v>-0.12471424942849862</v>
          </cell>
        </row>
        <row r="363">
          <cell r="F363">
            <v>2.118398142774236E-2</v>
          </cell>
          <cell r="G363">
            <v>2.3117263718042569E-2</v>
          </cell>
          <cell r="H363">
            <v>1.5467461044912811E-2</v>
          </cell>
          <cell r="T363">
            <v>-0.10617221234442442</v>
          </cell>
        </row>
        <row r="364">
          <cell r="F364">
            <v>-8.078593756343122E-3</v>
          </cell>
          <cell r="G364">
            <v>4.409686233864285E-3</v>
          </cell>
          <cell r="H364">
            <v>-7.8980029335429247E-4</v>
          </cell>
          <cell r="T364">
            <v>-0.11339308392902481</v>
          </cell>
        </row>
        <row r="365">
          <cell r="F365">
            <v>-9.9860849635753368E-3</v>
          </cell>
          <cell r="G365">
            <v>5.2533818645739139E-4</v>
          </cell>
          <cell r="H365">
            <v>-4.403794037940334E-3</v>
          </cell>
          <cell r="T365">
            <v>-0.12224681592220299</v>
          </cell>
        </row>
        <row r="366">
          <cell r="F366">
            <v>8.019842910293562E-3</v>
          </cell>
          <cell r="G366">
            <v>1.6445702927222472E-2</v>
          </cell>
          <cell r="H366">
            <v>9.9807190654417344E-3</v>
          </cell>
          <cell r="T366">
            <v>-0.11520737327188912</v>
          </cell>
        </row>
        <row r="367">
          <cell r="F367">
            <v>-5.4954068241469534E-3</v>
          </cell>
          <cell r="G367">
            <v>3.1547487270313646E-3</v>
          </cell>
          <cell r="H367">
            <v>0</v>
          </cell>
          <cell r="T367">
            <v>-0.12006966871076574</v>
          </cell>
        </row>
        <row r="368">
          <cell r="F368">
            <v>1.6783505154639222E-2</v>
          </cell>
          <cell r="G368">
            <v>1.714022988505759E-2</v>
          </cell>
          <cell r="H368">
            <v>1.5833801235261014E-2</v>
          </cell>
          <cell r="T368">
            <v>-0.10530135345984948</v>
          </cell>
        </row>
        <row r="369">
          <cell r="F369">
            <v>-8.6790769355558073E-3</v>
          </cell>
          <cell r="G369">
            <v>2.2420308460049387E-3</v>
          </cell>
          <cell r="H369">
            <v>1.2160070749502871E-3</v>
          </cell>
          <cell r="T369">
            <v>-0.1130665118473092</v>
          </cell>
        </row>
        <row r="370">
          <cell r="F370">
            <v>-5.727611177024361E-4</v>
          </cell>
          <cell r="G370">
            <v>9.5614367411738233E-3</v>
          </cell>
          <cell r="H370">
            <v>4.7477089543999096E-3</v>
          </cell>
          <cell r="T370">
            <v>-0.11357451286331133</v>
          </cell>
        </row>
        <row r="371">
          <cell r="F371">
            <v>5.3624790208359752E-3</v>
          </cell>
          <cell r="G371">
            <v>-1.6261324851235548E-3</v>
          </cell>
          <cell r="H371">
            <v>-3.6263736263736357E-3</v>
          </cell>
          <cell r="T371">
            <v>-0.10882107478500658</v>
          </cell>
        </row>
        <row r="372">
          <cell r="F372">
            <v>9.1205211726383961E-3</v>
          </cell>
          <cell r="G372">
            <v>3.4365491319132691E-3</v>
          </cell>
          <cell r="H372">
            <v>1.1470166537994819E-2</v>
          </cell>
          <cell r="T372">
            <v>-0.10069305852897403</v>
          </cell>
        </row>
        <row r="373">
          <cell r="F373">
            <v>5.6488056810843901E-4</v>
          </cell>
          <cell r="G373">
            <v>-7.8484534979129661E-3</v>
          </cell>
          <cell r="H373">
            <v>-2.0717479009921824E-3</v>
          </cell>
          <cell r="T373">
            <v>-0.10018505751297213</v>
          </cell>
        </row>
        <row r="374">
          <cell r="F374">
            <v>2.7865150415355977E-2</v>
          </cell>
          <cell r="G374">
            <v>1.0625292150587828E-2</v>
          </cell>
          <cell r="H374">
            <v>1.3221153846153966E-2</v>
          </cell>
          <cell r="T374">
            <v>-7.5111578794586187E-2</v>
          </cell>
        </row>
        <row r="375">
          <cell r="F375">
            <v>-1.6516928871277758E-2</v>
          </cell>
          <cell r="G375">
            <v>-2.3837902264601807E-3</v>
          </cell>
          <cell r="H375">
            <v>4.4214385851395477E-3</v>
          </cell>
          <cell r="T375">
            <v>-9.0387895061504353E-2</v>
          </cell>
        </row>
        <row r="376">
          <cell r="F376">
            <v>-4.096856550183503E-2</v>
          </cell>
          <cell r="G376">
            <v>1.3730630004100686E-3</v>
          </cell>
          <cell r="H376">
            <v>1.0736525660304252E-4</v>
          </cell>
          <cell r="T376">
            <v>-0.12765339816393928</v>
          </cell>
        </row>
        <row r="377">
          <cell r="F377">
            <v>-1.9300361881785189E-2</v>
          </cell>
          <cell r="G377">
            <v>-5.8052567846712533E-3</v>
          </cell>
          <cell r="H377">
            <v>-4.2941492216854726E-3</v>
          </cell>
          <cell r="T377">
            <v>-0.1444900032657207</v>
          </cell>
        </row>
        <row r="378">
          <cell r="F378">
            <v>2.3370233702336929E-2</v>
          </cell>
          <cell r="G378">
            <v>8.9557585527533234E-5</v>
          </cell>
          <cell r="H378">
            <v>5.4986522911051328E-3</v>
          </cell>
          <cell r="T378">
            <v>-0.12449653470735511</v>
          </cell>
        </row>
        <row r="379">
          <cell r="F379">
            <v>1.628812997347473E-2</v>
          </cell>
          <cell r="G379">
            <v>9.5459837019788996E-3</v>
          </cell>
          <cell r="H379">
            <v>1.0937164915290509E-2</v>
          </cell>
          <cell r="T379">
            <v>-0.11023622047244108</v>
          </cell>
        </row>
        <row r="380">
          <cell r="F380">
            <v>-2.5243668692141452E-2</v>
          </cell>
          <cell r="G380">
            <v>-2.057905194436549E-2</v>
          </cell>
          <cell r="H380">
            <v>-2.2698345354263849E-2</v>
          </cell>
          <cell r="T380">
            <v>-0.13269712253710231</v>
          </cell>
        </row>
        <row r="381">
          <cell r="F381">
            <v>-1.7529913814743558E-2</v>
          </cell>
          <cell r="G381">
            <v>-2.0468048108969183E-3</v>
          </cell>
          <cell r="H381">
            <v>-4.1241588886476999E-3</v>
          </cell>
          <cell r="T381">
            <v>-0.14790086723030604</v>
          </cell>
        </row>
        <row r="382">
          <cell r="F382">
            <v>-1.1369927181365314E-2</v>
          </cell>
          <cell r="G382">
            <v>-2.432162628187684E-3</v>
          </cell>
          <cell r="H382">
            <v>-7.8465562336530459E-3</v>
          </cell>
          <cell r="T382">
            <v>-0.15758917232120195</v>
          </cell>
        </row>
        <row r="383">
          <cell r="F383">
            <v>-8.1840110268782684E-4</v>
          </cell>
          <cell r="G383">
            <v>-1.6830115900365761E-2</v>
          </cell>
          <cell r="H383">
            <v>-1.2631810193321713E-2</v>
          </cell>
          <cell r="T383">
            <v>-0.15827860227149049</v>
          </cell>
        </row>
        <row r="384">
          <cell r="F384">
            <v>-6.0352631805826729E-4</v>
          </cell>
          <cell r="G384">
            <v>1.1196239544007724E-2</v>
          </cell>
          <cell r="H384">
            <v>9.6784959394815573E-3</v>
          </cell>
          <cell r="T384">
            <v>-0.15878660328749239</v>
          </cell>
        </row>
        <row r="385">
          <cell r="F385">
            <v>4.8311262563083268E-3</v>
          </cell>
          <cell r="G385">
            <v>4.3557035925403387E-3</v>
          </cell>
          <cell r="H385">
            <v>4.4072278536799736E-4</v>
          </cell>
          <cell r="T385">
            <v>-0.15472259515947628</v>
          </cell>
        </row>
        <row r="386">
          <cell r="F386">
            <v>0</v>
          </cell>
          <cell r="G386">
            <v>1.0258933289600813E-2</v>
          </cell>
          <cell r="H386">
            <v>2.4229074889867697E-3</v>
          </cell>
          <cell r="T386">
            <v>-0.15472259515947628</v>
          </cell>
        </row>
        <row r="387">
          <cell r="F387">
            <v>1.425198540459327E-2</v>
          </cell>
          <cell r="G387">
            <v>8.4232170556619579E-3</v>
          </cell>
          <cell r="H387">
            <v>9.2287409360580774E-3</v>
          </cell>
          <cell r="T387">
            <v>-0.14267571392285672</v>
          </cell>
        </row>
        <row r="388">
          <cell r="F388">
            <v>5.0789351166038443E-3</v>
          </cell>
          <cell r="G388">
            <v>5.2227727199556373E-3</v>
          </cell>
          <cell r="H388">
            <v>9.0354887872849954E-3</v>
          </cell>
          <cell r="T388">
            <v>-0.13832141949998222</v>
          </cell>
        </row>
        <row r="389">
          <cell r="F389">
            <v>2.2739714490251473E-2</v>
          </cell>
          <cell r="G389">
            <v>1.4768420490738343E-3</v>
          </cell>
          <cell r="H389">
            <v>9.2782392922645673E-3</v>
          </cell>
          <cell r="T389">
            <v>-0.11872709459704656</v>
          </cell>
        </row>
        <row r="390">
          <cell r="F390">
            <v>9.2642154238893326E-3</v>
          </cell>
          <cell r="G390">
            <v>4.0864188757017139E-4</v>
          </cell>
          <cell r="H390">
            <v>1.924104756814593E-3</v>
          </cell>
          <cell r="T390">
            <v>-0.1105627925541568</v>
          </cell>
        </row>
        <row r="391">
          <cell r="F391">
            <v>-2.937336814621383E-3</v>
          </cell>
          <cell r="G391">
            <v>-2.965883460315899E-3</v>
          </cell>
          <cell r="H391">
            <v>-4.267577083111096E-3</v>
          </cell>
          <cell r="T391">
            <v>-0.11317536920788152</v>
          </cell>
        </row>
        <row r="392">
          <cell r="F392">
            <v>3.79296235679214E-2</v>
          </cell>
          <cell r="G392">
            <v>1.7064481653010333E-2</v>
          </cell>
          <cell r="H392">
            <v>1.5107682417229151E-2</v>
          </cell>
          <cell r="T392">
            <v>-7.9538444791175555E-2</v>
          </cell>
        </row>
        <row r="393">
          <cell r="F393">
            <v>-6.3862498521700672E-3</v>
          </cell>
          <cell r="G393">
            <v>-4.7812532838278354E-3</v>
          </cell>
          <cell r="H393">
            <v>-7.0719864893392659E-3</v>
          </cell>
          <cell r="T393">
            <v>-8.5416742262056089E-2</v>
          </cell>
        </row>
        <row r="394">
          <cell r="F394">
            <v>1.1108906962904452E-3</v>
          </cell>
          <cell r="G394">
            <v>2.4989001319841719E-3</v>
          </cell>
          <cell r="H394">
            <v>4.2521526522802944E-3</v>
          </cell>
          <cell r="T394">
            <v>-8.4400740230052063E-2</v>
          </cell>
        </row>
        <row r="395">
          <cell r="F395">
            <v>-9.7491380335275046E-3</v>
          </cell>
          <cell r="G395">
            <v>2.8613056681938698E-3</v>
          </cell>
          <cell r="H395">
            <v>1.3655128612257927E-2</v>
          </cell>
          <cell r="T395">
            <v>-9.3327043796944786E-2</v>
          </cell>
        </row>
        <row r="396">
          <cell r="F396">
            <v>-9.6049945971909967E-4</v>
          </cell>
          <cell r="G396">
            <v>-2.205496236653226E-3</v>
          </cell>
          <cell r="H396">
            <v>-6.6833751044277356E-3</v>
          </cell>
          <cell r="T396">
            <v>-9.419790268151973E-2</v>
          </cell>
        </row>
        <row r="397">
          <cell r="F397">
            <v>3.8056323358570676E-3</v>
          </cell>
          <cell r="G397">
            <v>3.9646340607677466E-3</v>
          </cell>
          <cell r="H397">
            <v>2.0710681244743512E-2</v>
          </cell>
          <cell r="T397">
            <v>-9.0750752930077283E-2</v>
          </cell>
        </row>
        <row r="398">
          <cell r="F398">
            <v>-1.3568521031207537E-3</v>
          </cell>
          <cell r="G398">
            <v>-1.450288310326675E-3</v>
          </cell>
          <cell r="H398">
            <v>-1.7509527242764999E-3</v>
          </cell>
          <cell r="T398">
            <v>-9.1984469683225045E-2</v>
          </cell>
        </row>
        <row r="399">
          <cell r="F399">
            <v>7.5927109974416318E-4</v>
          </cell>
          <cell r="G399">
            <v>4.007209477312923E-3</v>
          </cell>
          <cell r="H399">
            <v>-5.5716054477920052E-3</v>
          </cell>
          <cell r="T399">
            <v>-9.1295039732936623E-2</v>
          </cell>
        </row>
        <row r="400">
          <cell r="F400">
            <v>-1.1739807531046642E-2</v>
          </cell>
          <cell r="G400">
            <v>-8.9584495259341645E-3</v>
          </cell>
          <cell r="H400">
            <v>-2.490143183232929E-3</v>
          </cell>
          <cell r="T400">
            <v>-0.10196306106897923</v>
          </cell>
        </row>
        <row r="401">
          <cell r="F401">
            <v>-2.840518808840764E-2</v>
          </cell>
          <cell r="G401">
            <v>4.2207449614850567E-4</v>
          </cell>
          <cell r="H401">
            <v>-3.8485541918036326E-3</v>
          </cell>
          <cell r="T401">
            <v>-0.12747196922965276</v>
          </cell>
        </row>
        <row r="402">
          <cell r="F402">
            <v>2.6615653331114597E-3</v>
          </cell>
          <cell r="G402">
            <v>-1.828217839187074E-3</v>
          </cell>
          <cell r="H402">
            <v>-1.106818419129163E-2</v>
          </cell>
          <cell r="T402">
            <v>-0.12514967887078632</v>
          </cell>
        </row>
        <row r="403">
          <cell r="F403">
            <v>1.3687266694317746E-3</v>
          </cell>
          <cell r="G403">
            <v>9.087386847944634E-3</v>
          </cell>
          <cell r="H403">
            <v>4.856931686200161E-3</v>
          </cell>
          <cell r="T403">
            <v>-0.12395224790449588</v>
          </cell>
        </row>
        <row r="404">
          <cell r="F404">
            <v>-1.408275690676386E-2</v>
          </cell>
          <cell r="G404">
            <v>-9.0404551642292441E-3</v>
          </cell>
          <cell r="H404">
            <v>-2.9421036040768733E-3</v>
          </cell>
          <cell r="T404">
            <v>-0.13628941543597384</v>
          </cell>
        </row>
        <row r="405">
          <cell r="F405">
            <v>6.7218417846492962E-4</v>
          </cell>
          <cell r="G405">
            <v>9.4575554772806658E-3</v>
          </cell>
          <cell r="H405">
            <v>-4.6369480451048384E-3</v>
          </cell>
          <cell r="T405">
            <v>-0.13570884284625728</v>
          </cell>
        </row>
        <row r="406">
          <cell r="F406">
            <v>1.4484235274360824E-2</v>
          </cell>
          <cell r="G406">
            <v>6.9263918209256925E-3</v>
          </cell>
          <cell r="H406">
            <v>6.3525674960296374E-3</v>
          </cell>
          <cell r="T406">
            <v>-0.12319024638049281</v>
          </cell>
        </row>
        <row r="407">
          <cell r="F407">
            <v>9.3527561661976844E-3</v>
          </cell>
          <cell r="G407">
            <v>-1.7500086634092415E-3</v>
          </cell>
          <cell r="H407">
            <v>2.3145712782746131E-3</v>
          </cell>
          <cell r="T407">
            <v>-0.11498965855074561</v>
          </cell>
        </row>
        <row r="408">
          <cell r="F408">
            <v>1.4801148011480025E-2</v>
          </cell>
          <cell r="G408">
            <v>5.9882318226789355E-3</v>
          </cell>
          <cell r="H408">
            <v>6.5078198803401044E-3</v>
          </cell>
          <cell r="T408">
            <v>-0.1018904894952648</v>
          </cell>
        </row>
        <row r="409">
          <cell r="F409">
            <v>4.8078865500382761E-3</v>
          </cell>
          <cell r="G409">
            <v>8.178336036440248E-3</v>
          </cell>
          <cell r="H409">
            <v>5.7357388674521559E-3</v>
          </cell>
          <cell r="T409">
            <v>-9.7572480859247634E-2</v>
          </cell>
        </row>
        <row r="410">
          <cell r="F410">
            <v>1.6445516686771189E-2</v>
          </cell>
          <cell r="G410">
            <v>-7.7697152245346235E-3</v>
          </cell>
          <cell r="H410">
            <v>-1.0369141435088158E-3</v>
          </cell>
          <cell r="T410">
            <v>-8.2731594034616718E-2</v>
          </cell>
        </row>
        <row r="411">
          <cell r="F411">
            <v>1.4597096404129983E-2</v>
          </cell>
          <cell r="G411">
            <v>4.3464762496119302E-3</v>
          </cell>
          <cell r="H411">
            <v>7.7849283786588508E-3</v>
          </cell>
          <cell r="T411">
            <v>-6.934213868427741E-2</v>
          </cell>
        </row>
        <row r="412">
          <cell r="F412">
            <v>8.4217092950715777E-3</v>
          </cell>
          <cell r="G412">
            <v>8.586639189434031E-5</v>
          </cell>
          <cell r="H412">
            <v>1.544958286126219E-3</v>
          </cell>
          <cell r="T412">
            <v>-6.1504408723103365E-2</v>
          </cell>
        </row>
        <row r="413">
          <cell r="F413">
            <v>1.1908444169502097E-2</v>
          </cell>
          <cell r="G413">
            <v>3.8464840731518013E-3</v>
          </cell>
          <cell r="H413">
            <v>4.0106951871656804E-3</v>
          </cell>
          <cell r="T413">
            <v>-5.032838637105852E-2</v>
          </cell>
        </row>
        <row r="414">
          <cell r="F414">
            <v>-6.8011615466911923E-3</v>
          </cell>
          <cell r="G414">
            <v>-1.6421765681932099E-3</v>
          </cell>
          <cell r="H414">
            <v>-7.682064939055655E-3</v>
          </cell>
          <cell r="T414">
            <v>-5.678725643165583E-2</v>
          </cell>
        </row>
        <row r="415">
          <cell r="F415">
            <v>-2.3928598907440146E-2</v>
          </cell>
          <cell r="G415">
            <v>-5.3115843942219687E-4</v>
          </cell>
          <cell r="H415">
            <v>-9.186622625928953E-3</v>
          </cell>
          <cell r="T415">
            <v>-7.9357015856888924E-2</v>
          </cell>
        </row>
        <row r="416">
          <cell r="F416">
            <v>-5.9120290083558569E-4</v>
          </cell>
          <cell r="G416">
            <v>-9.1373517108963576E-3</v>
          </cell>
          <cell r="H416">
            <v>-2.708615480779164E-3</v>
          </cell>
          <cell r="T416">
            <v>-7.9901302659748152E-2</v>
          </cell>
        </row>
        <row r="417">
          <cell r="F417">
            <v>1.0135268367709171E-2</v>
          </cell>
          <cell r="G417">
            <v>2.1626671741725723E-3</v>
          </cell>
          <cell r="H417">
            <v>-1.2221874020683199E-2</v>
          </cell>
          <cell r="T417">
            <v>-7.0575855437425172E-2</v>
          </cell>
        </row>
        <row r="418">
          <cell r="F418">
            <v>1.5616459748575284E-3</v>
          </cell>
          <cell r="G418">
            <v>-3.4528002209799347E-4</v>
          </cell>
          <cell r="H418">
            <v>-6.3451776649746661E-3</v>
          </cell>
          <cell r="T418">
            <v>-6.9124423963133674E-2</v>
          </cell>
        </row>
        <row r="419">
          <cell r="F419">
            <v>7.6401340921492533E-3</v>
          </cell>
          <cell r="G419">
            <v>3.0913235700471553E-3</v>
          </cell>
          <cell r="H419">
            <v>8.3014048531289131E-3</v>
          </cell>
          <cell r="T419">
            <v>-6.2012409739105268E-2</v>
          </cell>
        </row>
        <row r="420">
          <cell r="F420">
            <v>4.0618955512572441E-3</v>
          </cell>
          <cell r="G420">
            <v>1.6183737065922355E-3</v>
          </cell>
          <cell r="H420">
            <v>-6.4386742664133134E-3</v>
          </cell>
          <cell r="T420">
            <v>-5.8202402119090113E-2</v>
          </cell>
        </row>
        <row r="421">
          <cell r="F421">
            <v>6.4265074166827141E-2</v>
          </cell>
          <cell r="G421">
            <v>-3.0252505285593978E-3</v>
          </cell>
          <cell r="H421">
            <v>5.4180388823967807E-3</v>
          </cell>
          <cell r="T421">
            <v>0</v>
          </cell>
        </row>
        <row r="422">
          <cell r="F422">
            <v>-8.3263946711074066E-3</v>
          </cell>
          <cell r="G422">
            <v>-1.9603110291201875E-2</v>
          </cell>
          <cell r="H422">
            <v>-1.3207945900253537E-2</v>
          </cell>
          <cell r="T422">
            <v>-8.3263946711074066E-3</v>
          </cell>
        </row>
        <row r="423">
          <cell r="F423">
            <v>-1.2923009527981644E-2</v>
          </cell>
          <cell r="G423">
            <v>4.2205965109736177E-3</v>
          </cell>
          <cell r="H423">
            <v>-2.7840239854374227E-3</v>
          </cell>
          <cell r="T423">
            <v>-2.1141802121420694E-2</v>
          </cell>
        </row>
        <row r="424">
          <cell r="F424">
            <v>-5.6584932874735872E-3</v>
          </cell>
          <cell r="G424">
            <v>-2.1539646959932712E-3</v>
          </cell>
          <cell r="H424">
            <v>4.4024481907012358E-3</v>
          </cell>
          <cell r="T424">
            <v>-2.6680664663505049E-2</v>
          </cell>
        </row>
        <row r="425">
          <cell r="F425">
            <v>1.4170943985717388E-2</v>
          </cell>
          <cell r="G425">
            <v>1.2091749881539604E-2</v>
          </cell>
          <cell r="H425">
            <v>1.4966859097711449E-3</v>
          </cell>
          <cell r="T425">
            <v>-1.2887810882235895E-2</v>
          </cell>
        </row>
        <row r="426">
          <cell r="F426">
            <v>6.5207026808963064E-2</v>
          </cell>
          <cell r="G426">
            <v>2.4865614704352224E-2</v>
          </cell>
          <cell r="H426">
            <v>1.3770281810418394E-2</v>
          </cell>
          <cell r="T426">
            <v>0</v>
          </cell>
        </row>
        <row r="427">
          <cell r="F427">
            <v>4.8201067309339152E-4</v>
          </cell>
          <cell r="G427">
            <v>7.7321331889550482E-3</v>
          </cell>
          <cell r="H427">
            <v>3.895967147520274E-3</v>
          </cell>
          <cell r="T427">
            <v>0</v>
          </cell>
        </row>
        <row r="428">
          <cell r="F428">
            <v>5.9189923947831069E-3</v>
          </cell>
          <cell r="G428">
            <v>4.3316935578652238E-3</v>
          </cell>
          <cell r="H428">
            <v>-9.1252359974827169E-3</v>
          </cell>
          <cell r="T428">
            <v>0</v>
          </cell>
        </row>
        <row r="429">
          <cell r="F429">
            <v>-9.2367691834005505E-4</v>
          </cell>
          <cell r="G429">
            <v>9.5287450475600721E-4</v>
          </cell>
          <cell r="H429">
            <v>-4.3400021170741931E-3</v>
          </cell>
          <cell r="T429">
            <v>-9.2367691834005505E-4</v>
          </cell>
        </row>
        <row r="430">
          <cell r="F430">
            <v>-1.2532529790439728E-2</v>
          </cell>
          <cell r="G430">
            <v>-3.1064199345314236E-3</v>
          </cell>
          <cell r="H430">
            <v>-1.701041888156507E-2</v>
          </cell>
          <cell r="T430">
            <v>-1.3444630700283899E-2</v>
          </cell>
        </row>
        <row r="431">
          <cell r="F431">
            <v>-2.3233233927457686E-3</v>
          </cell>
          <cell r="G431">
            <v>4.8584352487868188E-4</v>
          </cell>
          <cell r="H431">
            <v>2.3794073112699543E-3</v>
          </cell>
          <cell r="T431">
            <v>-1.5736717868016781E-2</v>
          </cell>
        </row>
        <row r="432">
          <cell r="F432">
            <v>-1.7482882068749706E-2</v>
          </cell>
          <cell r="G432">
            <v>-6.4301143689613482E-3</v>
          </cell>
          <cell r="H432">
            <v>-8.2002589555459915E-3</v>
          </cell>
          <cell r="T432">
            <v>-3.2944476754130814E-2</v>
          </cell>
        </row>
        <row r="433">
          <cell r="F433">
            <v>-1.202773454082362E-2</v>
          </cell>
          <cell r="G433">
            <v>-1.2808628971096359E-2</v>
          </cell>
          <cell r="H433">
            <v>-6.9625761531766361E-3</v>
          </cell>
          <cell r="T433">
            <v>-4.4575963873969338E-2</v>
          </cell>
        </row>
        <row r="434">
          <cell r="F434">
            <v>-1.9335433973072247E-3</v>
          </cell>
          <cell r="G434">
            <v>4.0973111395645745E-3</v>
          </cell>
          <cell r="H434">
            <v>7.778264680105007E-3</v>
          </cell>
          <cell r="T434">
            <v>-4.6423317710649448E-2</v>
          </cell>
        </row>
        <row r="435">
          <cell r="F435">
            <v>-2.6189280332927778E-3</v>
          </cell>
          <cell r="G435">
            <v>3.6555300518574807E-3</v>
          </cell>
          <cell r="H435">
            <v>-3.2612240460919706E-3</v>
          </cell>
          <cell r="T435">
            <v>-4.8920666415791292E-2</v>
          </cell>
        </row>
        <row r="436">
          <cell r="F436">
            <v>-7.1939858278480262E-4</v>
          </cell>
          <cell r="G436">
            <v>3.3881077418262961E-4</v>
          </cell>
          <cell r="H436">
            <v>8.1797360671829189E-3</v>
          </cell>
          <cell r="T436">
            <v>-4.9604871540487649E-2</v>
          </cell>
        </row>
        <row r="437">
          <cell r="F437">
            <v>1.2130592851229194E-2</v>
          </cell>
          <cell r="G437">
            <v>5.3683319220998449E-3</v>
          </cell>
          <cell r="H437">
            <v>1.2224145391605212E-2</v>
          </cell>
          <cell r="T437">
            <v>-3.8076015189353551E-2</v>
          </cell>
        </row>
        <row r="438">
          <cell r="F438">
            <v>1.219859164947712E-2</v>
          </cell>
          <cell r="G438">
            <v>3.0993649670691958E-3</v>
          </cell>
          <cell r="H438">
            <v>5.5573367532328888E-3</v>
          </cell>
          <cell r="T438">
            <v>-2.6341897300810713E-2</v>
          </cell>
        </row>
        <row r="439">
          <cell r="F439">
            <v>2.0238220723094669E-2</v>
          </cell>
          <cell r="G439">
            <v>3.3920505113262944E-3</v>
          </cell>
          <cell r="H439">
            <v>1.0309278350515427E-2</v>
          </cell>
          <cell r="T439">
            <v>-6.6367897095549466E-3</v>
          </cell>
        </row>
        <row r="440">
          <cell r="F440">
            <v>-6.784447429142193E-3</v>
          </cell>
          <cell r="G440">
            <v>5.2214951550548783E-3</v>
          </cell>
          <cell r="H440">
            <v>-7.4689669682306281E-3</v>
          </cell>
          <cell r="T440">
            <v>-1.337621018781443E-2</v>
          </cell>
        </row>
        <row r="441">
          <cell r="F441">
            <v>-6.9694868238556751E-3</v>
          </cell>
          <cell r="G441">
            <v>-3.0300507783234121E-3</v>
          </cell>
          <cell r="H441">
            <v>-5.2994170641229577E-4</v>
          </cell>
          <cell r="T441">
            <v>-2.0252471691012963E-2</v>
          </cell>
        </row>
        <row r="442">
          <cell r="F442">
            <v>6.0756311323719725E-3</v>
          </cell>
          <cell r="G442">
            <v>6.2121136215618211E-3</v>
          </cell>
          <cell r="H442">
            <v>5.0901378579004675E-3</v>
          </cell>
          <cell r="T442">
            <v>-1.4299887106154374E-2</v>
          </cell>
        </row>
        <row r="443">
          <cell r="F443">
            <v>-3.7483080553916137E-3</v>
          </cell>
          <cell r="G443">
            <v>1.7923823749066425E-3</v>
          </cell>
          <cell r="H443">
            <v>-6.3304494619120799E-4</v>
          </cell>
          <cell r="T443">
            <v>-1.7994594779514927E-2</v>
          </cell>
        </row>
        <row r="444">
          <cell r="F444">
            <v>-1.916042501306392E-3</v>
          </cell>
          <cell r="G444">
            <v>4.6386031178036191E-4</v>
          </cell>
          <cell r="H444">
            <v>-3.1672297297297147E-3</v>
          </cell>
          <cell r="T444">
            <v>-1.9876158872429883E-2</v>
          </cell>
        </row>
        <row r="445">
          <cell r="F445">
            <v>-2.966841186736513E-3</v>
          </cell>
          <cell r="G445">
            <v>6.2095345332913165E-3</v>
          </cell>
          <cell r="H445">
            <v>-9.743698368989584E-3</v>
          </cell>
          <cell r="T445">
            <v>-2.2784030652389542E-2</v>
          </cell>
        </row>
        <row r="446">
          <cell r="F446">
            <v>6.9315596009102975E-3</v>
          </cell>
          <cell r="G446">
            <v>-1.6456571108843798E-3</v>
          </cell>
          <cell r="H446">
            <v>-1.3155080213903769E-2</v>
          </cell>
          <cell r="T446">
            <v>-1.6010399917895324E-2</v>
          </cell>
        </row>
        <row r="447">
          <cell r="F447">
            <v>-2.6770503772206578E-3</v>
          </cell>
          <cell r="G447">
            <v>1.8956252266508766E-3</v>
          </cell>
          <cell r="H447">
            <v>-3.9015931505365087E-3</v>
          </cell>
          <cell r="T447">
            <v>-1.8644589647976328E-2</v>
          </cell>
        </row>
        <row r="448">
          <cell r="F448">
            <v>-1.9626298542843146E-2</v>
          </cell>
          <cell r="G448">
            <v>-5.1496355769072855E-3</v>
          </cell>
          <cell r="H448">
            <v>-2.1760417800020804E-4</v>
          </cell>
          <cell r="T448">
            <v>-3.7904963908179434E-2</v>
          </cell>
        </row>
        <row r="449">
          <cell r="F449">
            <v>-1.7494577392170196E-2</v>
          </cell>
          <cell r="G449">
            <v>-3.1090824899120406E-3</v>
          </cell>
          <cell r="H449">
            <v>-1.0229622374578251E-2</v>
          </cell>
          <cell r="T449">
            <v>-5.4736409975710609E-2</v>
          </cell>
        </row>
        <row r="450">
          <cell r="F450">
            <v>1.1762151206977656E-2</v>
          </cell>
          <cell r="G450">
            <v>7.7305905773059624E-3</v>
          </cell>
          <cell r="H450">
            <v>-3.518416712479433E-3</v>
          </cell>
          <cell r="T450">
            <v>-4.3618076699394215E-2</v>
          </cell>
        </row>
        <row r="451">
          <cell r="F451">
            <v>-5.1867219917012264E-3</v>
          </cell>
          <cell r="G451">
            <v>-5.1526026405031011E-3</v>
          </cell>
          <cell r="H451">
            <v>-6.9513406156901381E-3</v>
          </cell>
          <cell r="T451">
            <v>-4.8578563853443057E-2</v>
          </cell>
        </row>
        <row r="452">
          <cell r="F452">
            <v>-8.4139369314301105E-3</v>
          </cell>
          <cell r="G452">
            <v>-1.9856700809162131E-4</v>
          </cell>
          <cell r="H452">
            <v>-8.5555555555555385E-3</v>
          </cell>
          <cell r="T452">
            <v>-5.658376381239083E-2</v>
          </cell>
        </row>
        <row r="453">
          <cell r="F453">
            <v>4.4602386046344034E-3</v>
          </cell>
          <cell r="G453">
            <v>4.2700385627512105E-3</v>
          </cell>
          <cell r="H453">
            <v>-8.8535245993500711E-3</v>
          </cell>
          <cell r="T453">
            <v>-5.2375902295508037E-2</v>
          </cell>
        </row>
        <row r="454">
          <cell r="F454">
            <v>-1.5703971119133686E-2</v>
          </cell>
          <cell r="G454">
            <v>-4.1200415300186588E-3</v>
          </cell>
          <cell r="H454">
            <v>-5.540479421076383E-3</v>
          </cell>
          <cell r="T454">
            <v>-6.7257363757654454E-2</v>
          </cell>
        </row>
        <row r="455">
          <cell r="F455">
            <v>-2.8461397395928789E-2</v>
          </cell>
          <cell r="G455">
            <v>-2.9803571133065199E-2</v>
          </cell>
          <cell r="H455">
            <v>-2.8425241614553731E-2</v>
          </cell>
          <cell r="T455">
            <v>-9.3804522595874129E-2</v>
          </cell>
        </row>
        <row r="456">
          <cell r="F456">
            <v>-1.4987353240967893E-2</v>
          </cell>
          <cell r="G456">
            <v>-3.0702053626241455E-4</v>
          </cell>
          <cell r="H456">
            <v>-1.076653013458162E-2</v>
          </cell>
          <cell r="T456">
            <v>-0.1073859943210973</v>
          </cell>
        </row>
        <row r="457">
          <cell r="F457">
            <v>8.4700291277020057E-3</v>
          </cell>
          <cell r="G457">
            <v>8.6162770858213555E-3</v>
          </cell>
          <cell r="H457">
            <v>1.2421625458417074E-2</v>
          </cell>
          <cell r="T457">
            <v>-9.9825527693202187E-2</v>
          </cell>
        </row>
        <row r="458">
          <cell r="F458">
            <v>-9.8810473910226904E-4</v>
          </cell>
          <cell r="G458">
            <v>5.9883278355747915E-3</v>
          </cell>
          <cell r="H458">
            <v>-5.9593362935266292E-3</v>
          </cell>
          <cell r="T458">
            <v>-0.1007149943553074</v>
          </cell>
        </row>
        <row r="459">
          <cell r="F459">
            <v>5.4779929242592118E-3</v>
          </cell>
          <cell r="G459">
            <v>1.1115034723973682E-2</v>
          </cell>
          <cell r="H459">
            <v>5.4073116257200571E-3</v>
          </cell>
          <cell r="T459">
            <v>-9.5788717457493289E-2</v>
          </cell>
        </row>
        <row r="460">
          <cell r="F460">
            <v>9.0802466800354864E-4</v>
          </cell>
          <cell r="G460">
            <v>6.6522534508672848E-5</v>
          </cell>
          <cell r="H460">
            <v>-1.5199345258972707E-3</v>
          </cell>
          <cell r="T460">
            <v>-9.496767130785766E-2</v>
          </cell>
        </row>
        <row r="461">
          <cell r="F461">
            <v>-8.2782082782082433E-3</v>
          </cell>
          <cell r="G461">
            <v>-1.0526490837130531E-2</v>
          </cell>
          <cell r="H461">
            <v>-5.3864168618268371E-3</v>
          </cell>
          <cell r="T461">
            <v>-0.10245971742328297</v>
          </cell>
        </row>
        <row r="462">
          <cell r="F462">
            <v>-1.6008537886872953E-2</v>
          </cell>
          <cell r="G462">
            <v>-1.141157291474082E-2</v>
          </cell>
          <cell r="H462">
            <v>-1.3421238521309165E-2</v>
          </cell>
          <cell r="T462">
            <v>-0.11682802504190704</v>
          </cell>
        </row>
        <row r="463">
          <cell r="F463">
            <v>-3.6024171056708854E-3</v>
          </cell>
          <cell r="G463">
            <v>-3.6380945904592732E-3</v>
          </cell>
          <cell r="H463">
            <v>4.0572792362769672E-3</v>
          </cell>
          <cell r="T463">
            <v>-0.12000957887174524</v>
          </cell>
        </row>
        <row r="464">
          <cell r="F464">
            <v>-6.4533685806477115E-3</v>
          </cell>
          <cell r="G464">
            <v>-2.4570024570025328E-3</v>
          </cell>
          <cell r="H464">
            <v>-1.1053006893273154E-2</v>
          </cell>
          <cell r="T464">
            <v>-0.12568848140672517</v>
          </cell>
        </row>
        <row r="465">
          <cell r="F465">
            <v>6.1040028172321126E-3</v>
          </cell>
          <cell r="G465">
            <v>1.2503420908593466E-2</v>
          </cell>
          <cell r="H465">
            <v>-2.4035572647518322E-4</v>
          </cell>
          <cell r="T465">
            <v>-0.12035168143409336</v>
          </cell>
        </row>
        <row r="466">
          <cell r="F466">
            <v>9.7227083576401085E-4</v>
          </cell>
          <cell r="G466">
            <v>5.7606216741277194E-3</v>
          </cell>
          <cell r="H466">
            <v>6.7315783147012809E-3</v>
          </cell>
          <cell r="T466">
            <v>-0.11949642502822289</v>
          </cell>
        </row>
        <row r="467">
          <cell r="F467">
            <v>-2.0980651177247678E-2</v>
          </cell>
          <cell r="G467">
            <v>-1.1304084923407731E-2</v>
          </cell>
          <cell r="H467">
            <v>-5.9701492537311829E-4</v>
          </cell>
          <cell r="T467">
            <v>-0.13796996339502532</v>
          </cell>
        </row>
        <row r="468">
          <cell r="F468">
            <v>1.3096277482339991E-2</v>
          </cell>
          <cell r="G468">
            <v>1.4610196558109134E-3</v>
          </cell>
          <cell r="H468">
            <v>5.4958183990441167E-3</v>
          </cell>
          <cell r="T468">
            <v>-0.12668057883753492</v>
          </cell>
        </row>
        <row r="469">
          <cell r="F469">
            <v>-1.4062989658414349E-2</v>
          </cell>
          <cell r="G469">
            <v>-1.526743456207913E-2</v>
          </cell>
          <cell r="H469">
            <v>-1.0218631178707249E-2</v>
          </cell>
          <cell r="T469">
            <v>-0.13896206082583495</v>
          </cell>
        </row>
        <row r="470">
          <cell r="F470">
            <v>1.7243434383567013E-2</v>
          </cell>
          <cell r="G470">
            <v>1.5504143051559005E-3</v>
          </cell>
          <cell r="H470">
            <v>2.2328931572628941E-2</v>
          </cell>
          <cell r="T470">
            <v>-0.12411480961992349</v>
          </cell>
        </row>
        <row r="471">
          <cell r="F471">
            <v>1.5779400851462899E-2</v>
          </cell>
          <cell r="G471">
            <v>1.3760126593165278E-3</v>
          </cell>
          <cell r="H471">
            <v>1.2447158290277205E-2</v>
          </cell>
          <cell r="T471">
            <v>-0.1102938661010564</v>
          </cell>
        </row>
        <row r="472">
          <cell r="F472">
            <v>3.1222363209905124E-2</v>
          </cell>
          <cell r="G472">
            <v>1.8189937992751259E-2</v>
          </cell>
          <cell r="H472">
            <v>9.5105543957318961E-3</v>
          </cell>
          <cell r="T472">
            <v>-8.2515138038383173E-2</v>
          </cell>
        </row>
        <row r="473">
          <cell r="F473">
            <v>3.6541258063313986E-3</v>
          </cell>
          <cell r="G473">
            <v>-1.9231418064037387E-3</v>
          </cell>
          <cell r="H473">
            <v>8.2720588235294379E-3</v>
          </cell>
          <cell r="T473">
            <v>-7.9162532927370743E-2</v>
          </cell>
        </row>
        <row r="474">
          <cell r="F474">
            <v>3.4550655719434165E-3</v>
          </cell>
          <cell r="G474">
            <v>1.0039889121763235E-2</v>
          </cell>
          <cell r="H474">
            <v>6.4949863263445984E-3</v>
          </cell>
          <cell r="T474">
            <v>-7.5980979097532542E-2</v>
          </cell>
        </row>
        <row r="475">
          <cell r="F475">
            <v>2.0103665309144647E-2</v>
          </cell>
          <cell r="G475">
            <v>9.1535861307270316E-3</v>
          </cell>
          <cell r="H475">
            <v>1.279293558247474E-2</v>
          </cell>
          <cell r="T475">
            <v>-5.7404809962025682E-2</v>
          </cell>
        </row>
        <row r="476">
          <cell r="F476">
            <v>-4.1737741806698869E-3</v>
          </cell>
          <cell r="G476">
            <v>5.621424425835464E-3</v>
          </cell>
          <cell r="H476">
            <v>-8.0482897384305252E-3</v>
          </cell>
          <cell r="T476">
            <v>-6.1338989429029822E-2</v>
          </cell>
        </row>
        <row r="477">
          <cell r="F477">
            <v>1.6400612289524386E-3</v>
          </cell>
          <cell r="G477">
            <v>5.4580832398918311E-3</v>
          </cell>
          <cell r="H477">
            <v>5.5217489294570044E-3</v>
          </cell>
          <cell r="T477">
            <v>-5.9799527898463101E-2</v>
          </cell>
        </row>
        <row r="478">
          <cell r="F478">
            <v>9.8606411236037417E-3</v>
          </cell>
          <cell r="G478">
            <v>-2.9192291922919278E-3</v>
          </cell>
          <cell r="H478">
            <v>-2.5776084276588618E-3</v>
          </cell>
          <cell r="T478">
            <v>-5.0528548458827038E-2</v>
          </cell>
        </row>
        <row r="479">
          <cell r="F479">
            <v>-9.1878648122794004E-3</v>
          </cell>
          <cell r="G479">
            <v>-1.4145434807638524E-2</v>
          </cell>
          <cell r="H479">
            <v>5.6179775280895683E-4</v>
          </cell>
          <cell r="T479">
            <v>-5.9252163798706015E-2</v>
          </cell>
        </row>
        <row r="480">
          <cell r="F480">
            <v>4.0001454598348474E-4</v>
          </cell>
          <cell r="G480">
            <v>8.5923553064051195E-3</v>
          </cell>
          <cell r="H480">
            <v>-3.2565974171813172E-3</v>
          </cell>
          <cell r="T480">
            <v>-5.8875850980123046E-2</v>
          </cell>
        </row>
        <row r="481">
          <cell r="F481">
            <v>-1.0541621228644216E-2</v>
          </cell>
          <cell r="G481">
            <v>-4.4828955204129217E-3</v>
          </cell>
          <cell r="H481">
            <v>-1.8026137899955774E-3</v>
          </cell>
          <cell r="T481">
            <v>-6.8796825288220731E-2</v>
          </cell>
        </row>
        <row r="482">
          <cell r="F482">
            <v>1.5282880235121254E-2</v>
          </cell>
          <cell r="G482">
            <v>5.3671424535983725E-3</v>
          </cell>
          <cell r="H482">
            <v>9.4808126410834692E-3</v>
          </cell>
          <cell r="T482">
            <v>-5.4565358694536048E-2</v>
          </cell>
        </row>
        <row r="483">
          <cell r="F483">
            <v>-7.996815747575714E-3</v>
          </cell>
          <cell r="G483">
            <v>-5.3219621843182408E-3</v>
          </cell>
          <cell r="H483">
            <v>-7.2674418604650182E-3</v>
          </cell>
          <cell r="T483">
            <v>-6.2125825322431161E-2</v>
          </cell>
        </row>
        <row r="484">
          <cell r="F484">
            <v>-1.0906438081342174E-2</v>
          </cell>
          <cell r="G484">
            <v>-6.7295869196770663E-3</v>
          </cell>
          <cell r="H484">
            <v>1.0136276607723982E-3</v>
          </cell>
          <cell r="T484">
            <v>-7.2354691936641902E-2</v>
          </cell>
        </row>
        <row r="485">
          <cell r="F485">
            <v>3.3559522053399071E-3</v>
          </cell>
          <cell r="G485">
            <v>6.7082657209294183E-3</v>
          </cell>
          <cell r="H485">
            <v>2.9252925292528875E-3</v>
          </cell>
          <cell r="T485">
            <v>-6.9241558619273502E-2</v>
          </cell>
        </row>
        <row r="486">
          <cell r="F486">
            <v>8.3066857793949733E-3</v>
          </cell>
          <cell r="G486">
            <v>4.0546379075410144E-3</v>
          </cell>
          <cell r="H486">
            <v>-7.8528157953783317E-4</v>
          </cell>
          <cell r="T486">
            <v>-6.1510040710204383E-2</v>
          </cell>
        </row>
        <row r="487">
          <cell r="F487">
            <v>1.0498304961178206E-2</v>
          </cell>
          <cell r="G487">
            <v>3.4755552613285889E-3</v>
          </cell>
          <cell r="H487">
            <v>3.48040866734034E-3</v>
          </cell>
          <cell r="T487">
            <v>-5.1657486914576389E-2</v>
          </cell>
        </row>
        <row r="488">
          <cell r="F488">
            <v>-1.5475632192200717E-2</v>
          </cell>
          <cell r="G488">
            <v>-9.1535822667899724E-3</v>
          </cell>
          <cell r="H488">
            <v>-1.2195121951219412E-2</v>
          </cell>
          <cell r="T488">
            <v>-6.6333686839313732E-2</v>
          </cell>
        </row>
        <row r="489">
          <cell r="F489">
            <v>-1.5975377399970792E-2</v>
          </cell>
          <cell r="G489">
            <v>6.7912845182016568E-3</v>
          </cell>
          <cell r="H489">
            <v>5.0968399592250524E-3</v>
          </cell>
          <cell r="T489">
            <v>-8.1249358557694995E-2</v>
          </cell>
        </row>
        <row r="490">
          <cell r="F490">
            <v>-2.9416145367888724E-3</v>
          </cell>
          <cell r="G490">
            <v>7.6051913697594564E-4</v>
          </cell>
          <cell r="H490">
            <v>5.8598151904440954E-3</v>
          </cell>
          <cell r="T490">
            <v>-8.3951968800245802E-2</v>
          </cell>
        </row>
        <row r="491">
          <cell r="F491">
            <v>-1.4788811293274029E-2</v>
          </cell>
          <cell r="G491">
            <v>-3.221489815135925E-3</v>
          </cell>
          <cell r="H491">
            <v>-7.1700649787138637E-3</v>
          </cell>
          <cell r="T491">
            <v>-9.7499230269234127E-2</v>
          </cell>
        </row>
        <row r="492">
          <cell r="F492">
            <v>2.09241499564079E-2</v>
          </cell>
          <cell r="G492">
            <v>1.0557544417926223E-2</v>
          </cell>
          <cell r="H492">
            <v>1.7377567140600236E-2</v>
          </cell>
          <cell r="T492">
            <v>-7.8615168827614101E-2</v>
          </cell>
        </row>
        <row r="493">
          <cell r="F493">
            <v>4.1955964801545509E-3</v>
          </cell>
          <cell r="G493">
            <v>-4.9202105850132405E-5</v>
          </cell>
          <cell r="H493">
            <v>-3.4383318544809471E-3</v>
          </cell>
          <cell r="T493">
            <v>-7.4749409873079431E-2</v>
          </cell>
        </row>
        <row r="494">
          <cell r="F494">
            <v>8.5040301708201316E-3</v>
          </cell>
          <cell r="G494">
            <v>2.9358701000492538E-3</v>
          </cell>
          <cell r="H494">
            <v>1.2687813021702743E-2</v>
          </cell>
          <cell r="T494">
            <v>-6.6881050939071041E-2</v>
          </cell>
        </row>
        <row r="495">
          <cell r="F495">
            <v>-2.8559906144595804E-2</v>
          </cell>
          <cell r="G495">
            <v>2.3549035961338838E-3</v>
          </cell>
          <cell r="H495">
            <v>-1.1759534014726847E-2</v>
          </cell>
          <cell r="T495">
            <v>-9.3530840545995031E-2</v>
          </cell>
        </row>
        <row r="496">
          <cell r="F496">
            <v>-2.4078197531796297E-2</v>
          </cell>
          <cell r="G496">
            <v>-4.1603445744211598E-3</v>
          </cell>
          <cell r="H496">
            <v>-2.3354092526691739E-3</v>
          </cell>
          <cell r="T496">
            <v>-0.11535698402381001</v>
          </cell>
        </row>
        <row r="497">
          <cell r="F497">
            <v>-2.2158629490699466E-2</v>
          </cell>
          <cell r="G497">
            <v>-1.7104099085815339E-2</v>
          </cell>
          <cell r="H497">
            <v>-1.8281128079366882E-2</v>
          </cell>
          <cell r="T497">
            <v>-0.13495946084636135</v>
          </cell>
        </row>
        <row r="498">
          <cell r="F498">
            <v>-5.1411848453690734E-3</v>
          </cell>
          <cell r="G498">
            <v>-4.5504550455045534E-3</v>
          </cell>
          <cell r="H498">
            <v>-1.1354604292039827E-3</v>
          </cell>
          <cell r="T498">
            <v>-0.13940679415688784</v>
          </cell>
        </row>
        <row r="499">
          <cell r="F499">
            <v>-7.0360947686437525E-3</v>
          </cell>
          <cell r="G499">
            <v>-4.9731250313960196E-3</v>
          </cell>
          <cell r="H499">
            <v>7.7299079231556433E-3</v>
          </cell>
          <cell r="T499">
            <v>-0.14546200951045085</v>
          </cell>
        </row>
        <row r="500">
          <cell r="F500">
            <v>2.9624884903318716E-3</v>
          </cell>
          <cell r="G500">
            <v>5.0484652665572227E-4</v>
          </cell>
          <cell r="H500">
            <v>-4.5121263395386801E-4</v>
          </cell>
          <cell r="T500">
            <v>-0.14293045054907438</v>
          </cell>
        </row>
        <row r="501">
          <cell r="F501">
            <v>-2.1594220253063456E-2</v>
          </cell>
          <cell r="G501">
            <v>-1.5961920139940133E-2</v>
          </cell>
          <cell r="H501">
            <v>-6.7712447804987308E-3</v>
          </cell>
          <cell r="T501">
            <v>-0.16143819917211144</v>
          </cell>
        </row>
        <row r="502">
          <cell r="F502">
            <v>8.9343994778068314E-3</v>
          </cell>
          <cell r="G502">
            <v>1.5605503803093779E-2</v>
          </cell>
          <cell r="H502">
            <v>8.521758891035125E-3</v>
          </cell>
          <cell r="T502">
            <v>-0.15394615305668602</v>
          </cell>
        </row>
        <row r="503">
          <cell r="C503">
            <v>239.77</v>
          </cell>
          <cell r="F503">
            <v>-3.0488051433423591E-2</v>
          </cell>
          <cell r="G503">
            <v>-1.7519943451479336E-2</v>
          </cell>
          <cell r="H503">
            <v>-2.0054078413699883E-2</v>
          </cell>
          <cell r="T503">
            <v>-0.17974068625773965</v>
          </cell>
        </row>
        <row r="504">
          <cell r="C504">
            <v>234.86</v>
          </cell>
          <cell r="F504">
            <v>-2.0477958043124689E-2</v>
          </cell>
          <cell r="G504">
            <v>-1.1836853555338478E-2</v>
          </cell>
          <cell r="H504">
            <v>-1.3566337088986025E-2</v>
          </cell>
          <cell r="T504">
            <v>-0.19653792206903586</v>
          </cell>
        </row>
        <row r="505">
          <cell r="C505">
            <v>240.35</v>
          </cell>
          <cell r="F505">
            <v>2.3375628033722062E-2</v>
          </cell>
          <cell r="G505">
            <v>1.0747841764032762E-2</v>
          </cell>
          <cell r="H505">
            <v>2.6107226107226156E-2</v>
          </cell>
          <cell r="T505">
            <v>-0.17775649139612026</v>
          </cell>
        </row>
        <row r="506">
          <cell r="C506">
            <v>235.17</v>
          </cell>
          <cell r="F506">
            <v>-2.1551903474100298E-2</v>
          </cell>
          <cell r="G506">
            <v>-1.7751174836208805E-2</v>
          </cell>
          <cell r="H506">
            <v>-5.2248977737392455E-3</v>
          </cell>
          <cell r="T506">
            <v>-0.19547740412575676</v>
          </cell>
        </row>
        <row r="507">
          <cell r="C507">
            <v>220.9</v>
          </cell>
          <cell r="F507">
            <v>-6.0679508440702357E-2</v>
          </cell>
          <cell r="G507">
            <v>5.6049309423615856E-3</v>
          </cell>
          <cell r="H507">
            <v>2.7403516784654247E-3</v>
          </cell>
          <cell r="T507">
            <v>-0.24429543977284363</v>
          </cell>
        </row>
        <row r="508">
          <cell r="C508">
            <v>221.34</v>
          </cell>
          <cell r="F508">
            <v>1.9918515165233686E-3</v>
          </cell>
          <cell r="G508">
            <v>-2.6635643839421963E-2</v>
          </cell>
          <cell r="H508">
            <v>-2.0838077886586204E-2</v>
          </cell>
          <cell r="T508">
            <v>-0.24279018849851164</v>
          </cell>
        </row>
        <row r="509">
          <cell r="C509">
            <v>224.71</v>
          </cell>
          <cell r="F509">
            <v>1.522544501671641E-2</v>
          </cell>
          <cell r="G509">
            <v>-8.3128188661744096E-3</v>
          </cell>
          <cell r="H509">
            <v>-7.6753110826840443E-3</v>
          </cell>
          <cell r="T509">
            <v>-0.23126133214737754</v>
          </cell>
        </row>
        <row r="510">
          <cell r="C510">
            <v>227.17</v>
          </cell>
          <cell r="F510">
            <v>1.0947443371456478E-2</v>
          </cell>
          <cell r="G510">
            <v>5.3065189235861343E-3</v>
          </cell>
          <cell r="H510">
            <v>-4.6876831126214658E-3</v>
          </cell>
          <cell r="T510">
            <v>-0.22284560911361206</v>
          </cell>
        </row>
        <row r="511">
          <cell r="C511">
            <v>225.04</v>
          </cell>
          <cell r="F511">
            <v>-9.3762380596029704E-3</v>
          </cell>
          <cell r="G511">
            <v>-1.3330470413513096E-2</v>
          </cell>
          <cell r="H511">
            <v>-7.0646414694452986E-4</v>
          </cell>
          <cell r="T511">
            <v>-0.23013239369162852</v>
          </cell>
        </row>
        <row r="512">
          <cell r="C512">
            <v>231.32</v>
          </cell>
          <cell r="F512">
            <v>2.7906150017774634E-2</v>
          </cell>
          <cell r="G512">
            <v>2.0655761488520552E-2</v>
          </cell>
          <cell r="H512">
            <v>1.3078826440438229E-2</v>
          </cell>
          <cell r="T512">
            <v>-0.20864835277616212</v>
          </cell>
        </row>
        <row r="513">
          <cell r="C513">
            <v>235.08</v>
          </cell>
          <cell r="F513">
            <v>1.6254539166522752E-2</v>
          </cell>
          <cell r="G513">
            <v>7.7113057692650422E-3</v>
          </cell>
          <cell r="H513">
            <v>1.2561060711793415E-2</v>
          </cell>
          <cell r="T513">
            <v>-0.19578529643187004</v>
          </cell>
        </row>
        <row r="514">
          <cell r="C514">
            <v>236.5</v>
          </cell>
          <cell r="F514">
            <v>6.0404968521354796E-3</v>
          </cell>
          <cell r="G514">
            <v>-1.0808428105439472E-2</v>
          </cell>
          <cell r="H514">
            <v>-1.7229496898690799E-3</v>
          </cell>
          <cell r="T514">
            <v>-0.19092744004652573</v>
          </cell>
        </row>
        <row r="515">
          <cell r="C515">
            <v>241.11</v>
          </cell>
          <cell r="F515">
            <v>1.9492600422833073E-2</v>
          </cell>
          <cell r="G515">
            <v>1.0890877330576476E-2</v>
          </cell>
          <cell r="H515">
            <v>3.336785180071411E-3</v>
          </cell>
          <cell r="T515">
            <v>-0.17515651192227399</v>
          </cell>
        </row>
        <row r="516">
          <cell r="C516">
            <v>238.72</v>
          </cell>
          <cell r="F516">
            <v>-9.9124880759819956E-3</v>
          </cell>
          <cell r="G516">
            <v>-2.8917532135489532E-3</v>
          </cell>
          <cell r="H516">
            <v>-6.307339449541205E-3</v>
          </cell>
          <cell r="T516">
            <v>-0.18333276316239577</v>
          </cell>
        </row>
        <row r="517">
          <cell r="C517">
            <v>234.08</v>
          </cell>
          <cell r="F517">
            <v>-1.943699731903481E-2</v>
          </cell>
          <cell r="G517">
            <v>-2.6702505791437181E-3</v>
          </cell>
          <cell r="H517">
            <v>-9.9249855741488924E-3</v>
          </cell>
          <cell r="T517">
            <v>-0.19920632205535194</v>
          </cell>
        </row>
        <row r="518">
          <cell r="C518">
            <v>240.81</v>
          </cell>
          <cell r="F518">
            <v>2.8750854408749138E-2</v>
          </cell>
          <cell r="G518">
            <v>1.7908436469378453E-2</v>
          </cell>
          <cell r="H518">
            <v>8.7422776547383396E-3</v>
          </cell>
          <cell r="T518">
            <v>-0.17618281960931859</v>
          </cell>
        </row>
        <row r="519">
          <cell r="C519">
            <v>240.98</v>
          </cell>
          <cell r="F519">
            <v>7.0595074955348558E-4</v>
          </cell>
          <cell r="G519">
            <v>2.4038461538462563E-3</v>
          </cell>
          <cell r="H519">
            <v>-2.3110700254225236E-4</v>
          </cell>
          <cell r="T519">
            <v>-0.17560124525332665</v>
          </cell>
        </row>
        <row r="520">
          <cell r="C520">
            <v>237.06</v>
          </cell>
          <cell r="F520">
            <v>-1.6266910117022082E-2</v>
          </cell>
          <cell r="G520">
            <v>-1.1938275466583215E-2</v>
          </cell>
          <cell r="H520">
            <v>1.8492834026815341E-3</v>
          </cell>
          <cell r="T520">
            <v>-0.18901166569737582</v>
          </cell>
        </row>
        <row r="521">
          <cell r="C521">
            <v>237.54</v>
          </cell>
          <cell r="F521">
            <v>2.0248038471273322E-3</v>
          </cell>
          <cell r="G521">
            <v>-2.6556921507588926E-3</v>
          </cell>
          <cell r="H521">
            <v>-4.6146746654363024E-4</v>
          </cell>
          <cell r="T521">
            <v>-0.18736957339810445</v>
          </cell>
        </row>
        <row r="522">
          <cell r="C522">
            <v>232.94</v>
          </cell>
          <cell r="F522">
            <v>-1.9365159552075406E-2</v>
          </cell>
          <cell r="G522">
            <v>-2.0138252098469533E-2</v>
          </cell>
          <cell r="H522">
            <v>-1.835180055401664E-2</v>
          </cell>
          <cell r="T522">
            <v>-0.20310629126612123</v>
          </cell>
        </row>
        <row r="523">
          <cell r="C523">
            <v>233.3</v>
          </cell>
          <cell r="F523">
            <v>1.5454623508199816E-3</v>
          </cell>
          <cell r="G523">
            <v>6.712738005254959E-3</v>
          </cell>
          <cell r="H523">
            <v>1.0934744268077612E-2</v>
          </cell>
          <cell r="T523">
            <v>-0.20187472204166779</v>
          </cell>
        </row>
        <row r="524">
          <cell r="C524">
            <v>237.27</v>
          </cell>
          <cell r="F524">
            <v>1.7016716673810439E-2</v>
          </cell>
          <cell r="G524">
            <v>2.8245052646633795E-3</v>
          </cell>
          <cell r="H524">
            <v>3.7217957664572587E-3</v>
          </cell>
          <cell r="T524">
            <v>-0.18829325031644462</v>
          </cell>
        </row>
        <row r="525">
          <cell r="C525">
            <v>240.1</v>
          </cell>
          <cell r="F525">
            <v>1.1927340160998057E-2</v>
          </cell>
          <cell r="G525">
            <v>6.328324152806708E-3</v>
          </cell>
          <cell r="H525">
            <v>8.2271147161065983E-3</v>
          </cell>
          <cell r="T525">
            <v>-0.17861174780199063</v>
          </cell>
        </row>
        <row r="526">
          <cell r="C526">
            <v>237.18</v>
          </cell>
          <cell r="F526">
            <v>-1.216159933361094E-2</v>
          </cell>
          <cell r="G526">
            <v>-4.9280804931623234E-2</v>
          </cell>
          <cell r="H526">
            <v>-4.5167222158372655E-2</v>
          </cell>
          <cell r="T526">
            <v>-0.18860114262255789</v>
          </cell>
        </row>
        <row r="527">
          <cell r="C527">
            <v>230.74</v>
          </cell>
          <cell r="F527">
            <v>-2.7152373724597334E-2</v>
          </cell>
          <cell r="G527">
            <v>-5.8542947643003718E-2</v>
          </cell>
          <cell r="H527">
            <v>-6.2590274434280224E-2</v>
          </cell>
          <cell r="T527">
            <v>-0.21063254763778139</v>
          </cell>
        </row>
        <row r="528">
          <cell r="C528">
            <v>228.53</v>
          </cell>
          <cell r="F528">
            <v>-9.5778798647828678E-3</v>
          </cell>
          <cell r="G528">
            <v>-1.7811906269790123E-3</v>
          </cell>
          <cell r="H528">
            <v>-1.6050333846943987E-2</v>
          </cell>
          <cell r="T528">
            <v>-0.2181930142656765</v>
          </cell>
        </row>
        <row r="529">
          <cell r="C529">
            <v>226.49</v>
          </cell>
          <cell r="F529">
            <v>-8.9266179495033349E-3</v>
          </cell>
          <cell r="G529">
            <v>-1.5662793925215079E-2</v>
          </cell>
          <cell r="H529">
            <v>-3.079733785723604E-2</v>
          </cell>
          <cell r="T529">
            <v>-0.22517190653757957</v>
          </cell>
        </row>
        <row r="530">
          <cell r="C530">
            <v>239.53</v>
          </cell>
          <cell r="F530">
            <v>5.7574285840434447E-2</v>
          </cell>
          <cell r="G530">
            <v>0.10501933612632941</v>
          </cell>
          <cell r="H530">
            <v>8.738386966473688E-2</v>
          </cell>
          <cell r="T530">
            <v>-0.18056173240737539</v>
          </cell>
        </row>
        <row r="531">
          <cell r="C531">
            <v>235.58</v>
          </cell>
          <cell r="F531">
            <v>-1.6490627478812581E-2</v>
          </cell>
          <cell r="G531">
            <v>-4.3819036856111659E-2</v>
          </cell>
          <cell r="H531">
            <v>-3.1946508172362553E-2</v>
          </cell>
          <cell r="T531">
            <v>-0.19407478362012887</v>
          </cell>
        </row>
        <row r="532">
          <cell r="C532">
            <v>242.3</v>
          </cell>
          <cell r="F532">
            <v>2.8525341709822571E-2</v>
          </cell>
          <cell r="G532">
            <v>1.7842845705135613E-2</v>
          </cell>
          <cell r="H532">
            <v>2.9675108723458576E-2</v>
          </cell>
          <cell r="T532">
            <v>-0.17108549143033036</v>
          </cell>
        </row>
        <row r="533">
          <cell r="C533">
            <v>243.48</v>
          </cell>
          <cell r="F533">
            <v>4.8699958728848358E-3</v>
          </cell>
          <cell r="G533">
            <v>9.7014645840356462E-3</v>
          </cell>
          <cell r="H533">
            <v>1.2049689440993827E-2</v>
          </cell>
          <cell r="T533">
            <v>-0.1670486811946218</v>
          </cell>
        </row>
        <row r="534">
          <cell r="C534">
            <v>244.53</v>
          </cell>
          <cell r="F534">
            <v>4.3124691966487383E-3</v>
          </cell>
          <cell r="G534">
            <v>-2.8008606618192822E-3</v>
          </cell>
          <cell r="H534">
            <v>-7.8556523873818396E-3</v>
          </cell>
          <cell r="T534">
            <v>-0.16345660428996567</v>
          </cell>
        </row>
        <row r="535">
          <cell r="C535">
            <v>240.55</v>
          </cell>
          <cell r="F535">
            <v>-1.6276121539279376E-2</v>
          </cell>
          <cell r="G535">
            <v>-2.2228009151615602E-2</v>
          </cell>
          <cell r="H535">
            <v>-7.794135840653138E-3</v>
          </cell>
          <cell r="T535">
            <v>-0.17707228627142368</v>
          </cell>
        </row>
        <row r="536">
          <cell r="C536">
            <v>241.93</v>
          </cell>
          <cell r="F536">
            <v>5.7368530451049615E-3</v>
          </cell>
          <cell r="G536">
            <v>1.4267777650953661E-3</v>
          </cell>
          <cell r="H536">
            <v>6.8578553615958882E-3</v>
          </cell>
          <cell r="T536">
            <v>-0.17235127091101865</v>
          </cell>
        </row>
        <row r="537">
          <cell r="C537">
            <v>234.17</v>
          </cell>
          <cell r="F537">
            <v>-3.2075393708924094E-2</v>
          </cell>
          <cell r="G537">
            <v>-2.3802739309663479E-2</v>
          </cell>
          <cell r="H537">
            <v>-1.5232198142414943E-2</v>
          </cell>
          <cell r="T537">
            <v>-0.19889842974923833</v>
          </cell>
        </row>
        <row r="538">
          <cell r="C538">
            <v>240.57</v>
          </cell>
          <cell r="F538">
            <v>2.7330571806807091E-2</v>
          </cell>
          <cell r="G538">
            <v>2.6017747334007968E-2</v>
          </cell>
          <cell r="H538">
            <v>2.3390342052313828E-2</v>
          </cell>
          <cell r="T538">
            <v>-0.17700386575895399</v>
          </cell>
        </row>
        <row r="539">
          <cell r="C539">
            <v>244.54</v>
          </cell>
          <cell r="F539">
            <v>1.6502473292596687E-2</v>
          </cell>
          <cell r="G539">
            <v>1.5495495495495337E-2</v>
          </cell>
          <cell r="H539">
            <v>1.2288031457361459E-3</v>
          </cell>
          <cell r="T539">
            <v>-0.16342239403373082</v>
          </cell>
        </row>
        <row r="540">
          <cell r="C540">
            <v>249.51</v>
          </cell>
          <cell r="F540">
            <v>2.0323873394945569E-2</v>
          </cell>
          <cell r="G540">
            <v>2.1048896193642586E-2</v>
          </cell>
          <cell r="H540">
            <v>2.1600392734413276E-2</v>
          </cell>
          <cell r="T540">
            <v>-0.14641989668502575</v>
          </cell>
        </row>
        <row r="541">
          <cell r="C541">
            <v>247.04</v>
          </cell>
          <cell r="F541">
            <v>-9.8994028295459335E-3</v>
          </cell>
          <cell r="G541">
            <v>7.2253013590881654E-3</v>
          </cell>
          <cell r="H541">
            <v>-7.4483421432002261E-3</v>
          </cell>
          <cell r="T541">
            <v>-0.15486982997502607</v>
          </cell>
        </row>
        <row r="542">
          <cell r="C542">
            <v>245.39</v>
          </cell>
          <cell r="F542">
            <v>-6.679080310880825E-3</v>
          </cell>
          <cell r="G542">
            <v>3.813744006975206E-4</v>
          </cell>
          <cell r="H542">
            <v>1.8155410312272746E-3</v>
          </cell>
          <cell r="T542">
            <v>-0.16051452225377116</v>
          </cell>
        </row>
        <row r="543">
          <cell r="C543">
            <v>245.35</v>
          </cell>
          <cell r="F543">
            <v>-1.6300582745831793E-4</v>
          </cell>
          <cell r="G543">
            <v>6.2993555414359026E-3</v>
          </cell>
          <cell r="H543">
            <v>8.3363537513592156E-3</v>
          </cell>
          <cell r="T543">
            <v>-0.16065136327871044</v>
          </cell>
        </row>
        <row r="544">
          <cell r="C544">
            <v>262.33</v>
          </cell>
          <cell r="F544">
            <v>6.9207254941919594E-2</v>
          </cell>
          <cell r="G544">
            <v>3.9688266705129038E-4</v>
          </cell>
          <cell r="H544">
            <v>5.1521687035707142E-3</v>
          </cell>
          <cell r="T544">
            <v>-0.10256234819198751</v>
          </cell>
        </row>
        <row r="545">
          <cell r="C545">
            <v>263.63</v>
          </cell>
          <cell r="F545">
            <v>4.9555902870430657E-3</v>
          </cell>
          <cell r="G545">
            <v>7.0869549536554111E-3</v>
          </cell>
          <cell r="H545">
            <v>-4.4105376087734127E-3</v>
          </cell>
          <cell r="T545">
            <v>-9.8115014881461016E-2</v>
          </cell>
        </row>
        <row r="546">
          <cell r="C546">
            <v>267.05</v>
          </cell>
          <cell r="F546">
            <v>1.297272692789142E-2</v>
          </cell>
          <cell r="G546">
            <v>1.4844127706054033E-2</v>
          </cell>
          <cell r="H546">
            <v>1.6882183908046189E-2</v>
          </cell>
          <cell r="T546">
            <v>-8.6415107249152801E-2</v>
          </cell>
        </row>
        <row r="547">
          <cell r="C547">
            <v>270.04000000000002</v>
          </cell>
          <cell r="F547">
            <v>1.1196405167571699E-2</v>
          </cell>
          <cell r="G547">
            <v>-5.7343496365304114E-3</v>
          </cell>
          <cell r="H547">
            <v>-7.4178735429177856E-3</v>
          </cell>
          <cell r="T547">
            <v>-7.6186240634941838E-2</v>
          </cell>
        </row>
        <row r="548">
          <cell r="C548">
            <v>267.24</v>
          </cell>
          <cell r="F548">
            <v>-1.0368834246778258E-2</v>
          </cell>
          <cell r="G548">
            <v>-8.3583254955547082E-3</v>
          </cell>
          <cell r="H548">
            <v>-7.2360616844602266E-3</v>
          </cell>
          <cell r="T548">
            <v>-8.5765112380691289E-2</v>
          </cell>
        </row>
        <row r="549">
          <cell r="C549">
            <v>265.83999999999997</v>
          </cell>
          <cell r="F549">
            <v>-5.2387367160605658E-3</v>
          </cell>
          <cell r="G549">
            <v>4.2054402290623294E-3</v>
          </cell>
          <cell r="H549">
            <v>-5.4964750866292045E-3</v>
          </cell>
          <cell r="T549">
            <v>-9.0554548253566014E-2</v>
          </cell>
        </row>
        <row r="550">
          <cell r="C550">
            <v>268.42</v>
          </cell>
          <cell r="F550">
            <v>9.7050857658742551E-3</v>
          </cell>
          <cell r="G550">
            <v>6.967833912500998E-3</v>
          </cell>
          <cell r="H550">
            <v>1.3336537306259721E-2</v>
          </cell>
          <cell r="T550">
            <v>-8.1728302144982723E-2</v>
          </cell>
        </row>
        <row r="551">
          <cell r="C551">
            <v>269.63</v>
          </cell>
          <cell r="F551">
            <v>4.5078608151403188E-3</v>
          </cell>
          <cell r="G551">
            <v>-1.2742009698083478E-3</v>
          </cell>
          <cell r="H551">
            <v>2.6084894474744935E-3</v>
          </cell>
          <cell r="T551">
            <v>-7.7588861140569731E-2</v>
          </cell>
        </row>
        <row r="552">
          <cell r="C552">
            <v>272.36</v>
          </cell>
          <cell r="F552">
            <v>1.0124986092052035E-2</v>
          </cell>
          <cell r="G552">
            <v>3.3047453662685466E-2</v>
          </cell>
          <cell r="H552">
            <v>2.3178807947019875E-2</v>
          </cell>
          <cell r="T552">
            <v>-6.8249461188464089E-2</v>
          </cell>
        </row>
        <row r="553">
          <cell r="C553">
            <v>268.58999999999997</v>
          </cell>
          <cell r="F553">
            <v>-1.3841973858129131E-2</v>
          </cell>
          <cell r="G553">
            <v>6.6038868591229427E-3</v>
          </cell>
          <cell r="H553">
            <v>-4.969949144706387E-3</v>
          </cell>
          <cell r="T553">
            <v>-8.1146727788991013E-2</v>
          </cell>
        </row>
        <row r="554">
          <cell r="C554">
            <v>266.32</v>
          </cell>
          <cell r="F554">
            <v>-8.451543244350046E-3</v>
          </cell>
          <cell r="G554">
            <v>1.2780314906959411E-3</v>
          </cell>
          <cell r="H554">
            <v>-9.1764432570566878E-3</v>
          </cell>
          <cell r="T554">
            <v>-8.8912455954294978E-2</v>
          </cell>
        </row>
        <row r="555">
          <cell r="C555">
            <v>271.07</v>
          </cell>
          <cell r="F555">
            <v>1.7835686392309924E-2</v>
          </cell>
          <cell r="G555">
            <v>4.884358140880618E-3</v>
          </cell>
          <cell r="H555">
            <v>1.0199296600234442E-2</v>
          </cell>
          <cell r="T555">
            <v>-7.2662584242755957E-2</v>
          </cell>
        </row>
        <row r="556">
          <cell r="C556">
            <v>275.51</v>
          </cell>
          <cell r="F556">
            <v>1.6379532961965593E-2</v>
          </cell>
          <cell r="G556">
            <v>6.3340446431596753E-3</v>
          </cell>
          <cell r="H556">
            <v>1.0212370894742806E-2</v>
          </cell>
          <cell r="T556">
            <v>-5.7473230474496151E-2</v>
          </cell>
        </row>
        <row r="557">
          <cell r="C557">
            <v>276.01</v>
          </cell>
          <cell r="F557">
            <v>1.814816159123156E-3</v>
          </cell>
          <cell r="G557">
            <v>1.0939077751599413E-3</v>
          </cell>
          <cell r="H557">
            <v>2.5272831705915877E-3</v>
          </cell>
          <cell r="T557">
            <v>-5.5762717662755201E-2</v>
          </cell>
        </row>
        <row r="558">
          <cell r="C558">
            <v>273.33</v>
          </cell>
          <cell r="F558">
            <v>-9.7097931234375601E-3</v>
          </cell>
          <cell r="G558">
            <v>-3.3621921492813511E-3</v>
          </cell>
          <cell r="H558">
            <v>-1.7188037126159017E-3</v>
          </cell>
          <cell r="T558">
            <v>-6.4931066333686727E-2</v>
          </cell>
        </row>
        <row r="559">
          <cell r="C559">
            <v>270.54000000000002</v>
          </cell>
          <cell r="F559">
            <v>-1.0207441554165197E-2</v>
          </cell>
          <cell r="G559">
            <v>-1.6850805431390725E-2</v>
          </cell>
          <cell r="H559">
            <v>-1.3314967860422522E-2</v>
          </cell>
          <cell r="T559">
            <v>-7.447572782320111E-2</v>
          </cell>
        </row>
        <row r="560">
          <cell r="C560">
            <v>271.68</v>
          </cell>
          <cell r="F560">
            <v>4.2137946329563469E-3</v>
          </cell>
          <cell r="G560">
            <v>3.9460590879469848E-4</v>
          </cell>
          <cell r="H560">
            <v>-1.0469986040017032E-3</v>
          </cell>
          <cell r="T560">
            <v>-7.0575758612431705E-2</v>
          </cell>
        </row>
        <row r="561">
          <cell r="C561">
            <v>268.19</v>
          </cell>
          <cell r="F561">
            <v>-1.2845995288574774E-2</v>
          </cell>
          <cell r="G561">
            <v>-6.8257044367079356E-3</v>
          </cell>
          <cell r="H561">
            <v>-1.9797368114592429E-3</v>
          </cell>
          <cell r="T561">
            <v>-8.2515138038383506E-2</v>
          </cell>
        </row>
        <row r="562">
          <cell r="C562">
            <v>270.16000000000003</v>
          </cell>
          <cell r="F562">
            <v>7.3455386106866527E-3</v>
          </cell>
          <cell r="G562">
            <v>2.0790523389338844E-2</v>
          </cell>
          <cell r="H562">
            <v>1.7502917152858899E-2</v>
          </cell>
          <cell r="T562">
            <v>-7.5775717560124023E-2</v>
          </cell>
        </row>
        <row r="563">
          <cell r="C563">
            <v>262.52999999999997</v>
          </cell>
          <cell r="F563">
            <v>-2.824252294936358E-2</v>
          </cell>
          <cell r="G563">
            <v>-5.7853336716569004E-3</v>
          </cell>
          <cell r="H563">
            <v>-1.3646788990825609E-2</v>
          </cell>
          <cell r="T563">
            <v>-0.10187814306729126</v>
          </cell>
        </row>
        <row r="564">
          <cell r="C564">
            <v>265.31</v>
          </cell>
          <cell r="F564">
            <v>1.0589265988649066E-2</v>
          </cell>
          <cell r="G564">
            <v>3.9473908087046539E-3</v>
          </cell>
          <cell r="H564">
            <v>3.7204976165561288E-3</v>
          </cell>
          <cell r="T564">
            <v>-9.2367691834011389E-2</v>
          </cell>
        </row>
        <row r="565">
          <cell r="C565">
            <v>265.07</v>
          </cell>
          <cell r="F565">
            <v>-9.046021635068513E-4</v>
          </cell>
          <cell r="G565">
            <v>-1.1185492754850479E-3</v>
          </cell>
          <cell r="H565">
            <v>1.1583458820818571E-4</v>
          </cell>
          <cell r="T565">
            <v>-9.318873798364713E-2</v>
          </cell>
        </row>
        <row r="566">
          <cell r="C566">
            <v>263.38</v>
          </cell>
          <cell r="F566">
            <v>-6.3756743501716118E-3</v>
          </cell>
          <cell r="G566">
            <v>5.6329425338061956E-3</v>
          </cell>
          <cell r="H566">
            <v>5.9068797776231641E-3</v>
          </cell>
          <cell r="T566">
            <v>-9.897027128733149E-2</v>
          </cell>
        </row>
        <row r="567">
          <cell r="C567">
            <v>264.94</v>
          </cell>
          <cell r="F567">
            <v>5.9230009871669154E-3</v>
          </cell>
          <cell r="G567">
            <v>5.7026201683791911E-3</v>
          </cell>
          <cell r="H567">
            <v>1.0247553252734631E-2</v>
          </cell>
          <cell r="T567">
            <v>-9.3633471314699679E-2</v>
          </cell>
        </row>
        <row r="568">
          <cell r="C568">
            <v>266.08</v>
          </cell>
          <cell r="F568">
            <v>4.3028610251376609E-3</v>
          </cell>
          <cell r="G568">
            <v>-2.6841584324532874E-4</v>
          </cell>
          <cell r="H568">
            <v>3.7611123774790034E-3</v>
          </cell>
          <cell r="T568">
            <v>-8.9733502103930385E-2</v>
          </cell>
        </row>
        <row r="569">
          <cell r="C569">
            <v>265.67</v>
          </cell>
          <cell r="F569">
            <v>-1.5408899579072433E-3</v>
          </cell>
          <cell r="G569">
            <v>-4.8327823737687181E-3</v>
          </cell>
          <cell r="H569">
            <v>-5.9043942318609544E-3</v>
          </cell>
          <cell r="T569">
            <v>-9.1136122609557835E-2</v>
          </cell>
        </row>
        <row r="570">
          <cell r="C570">
            <v>264.81</v>
          </cell>
          <cell r="F570">
            <v>-3.2370986562276771E-3</v>
          </cell>
          <cell r="G570">
            <v>1.0268948655256738E-2</v>
          </cell>
          <cell r="H570">
            <v>2.6270702455739592E-3</v>
          </cell>
          <cell r="T570">
            <v>-9.4078204645752339E-2</v>
          </cell>
        </row>
        <row r="571">
          <cell r="C571">
            <v>266</v>
          </cell>
          <cell r="F571">
            <v>4.4937879989426222E-3</v>
          </cell>
          <cell r="G571">
            <v>9.0129185165399583E-4</v>
          </cell>
          <cell r="H571">
            <v>6.7213488266120169E-3</v>
          </cell>
          <cell r="T571">
            <v>-9.0007184153808817E-2</v>
          </cell>
        </row>
        <row r="572">
          <cell r="C572">
            <v>265.10000000000002</v>
          </cell>
          <cell r="F572">
            <v>-3.3834586466164884E-3</v>
          </cell>
          <cell r="G572">
            <v>5.6696905016009325E-3</v>
          </cell>
          <cell r="H572">
            <v>6.2238316170646346E-3</v>
          </cell>
          <cell r="T572">
            <v>-9.3086107214942482E-2</v>
          </cell>
        </row>
        <row r="573">
          <cell r="C573">
            <v>261.12</v>
          </cell>
          <cell r="F573">
            <v>-1.5013202565069883E-2</v>
          </cell>
          <cell r="G573">
            <v>-2.852026265172114E-3</v>
          </cell>
          <cell r="H573">
            <v>-9.8965362123256684E-3</v>
          </cell>
          <cell r="T573">
            <v>-0.10670178919640061</v>
          </cell>
        </row>
        <row r="574">
          <cell r="C574">
            <v>265.52999999999997</v>
          </cell>
          <cell r="F574">
            <v>1.6888786764705843E-2</v>
          </cell>
          <cell r="G574">
            <v>3.9743248636423534E-3</v>
          </cell>
          <cell r="H574">
            <v>4.2026351658335237E-3</v>
          </cell>
          <cell r="T574">
            <v>-9.1615066196845341E-2</v>
          </cell>
        </row>
        <row r="575">
          <cell r="C575">
            <v>260.77</v>
          </cell>
          <cell r="F575">
            <v>-1.7926411328286762E-2</v>
          </cell>
          <cell r="G575">
            <v>-1.1180124223602483E-2</v>
          </cell>
          <cell r="H575">
            <v>-1.1650265807035431E-2</v>
          </cell>
          <cell r="T575">
            <v>-0.10789914816461932</v>
          </cell>
        </row>
        <row r="576">
          <cell r="C576">
            <v>261.18</v>
          </cell>
          <cell r="F576">
            <v>1.5722667484756592E-3</v>
          </cell>
          <cell r="G576">
            <v>9.5142378559462948E-3</v>
          </cell>
          <cell r="H576">
            <v>8.468757152666706E-3</v>
          </cell>
          <cell r="T576">
            <v>-0.10649652765899165</v>
          </cell>
        </row>
        <row r="577">
          <cell r="C577">
            <v>259.04000000000002</v>
          </cell>
          <cell r="F577">
            <v>-8.1935829695994888E-3</v>
          </cell>
          <cell r="G577">
            <v>-8.5451649299793653E-3</v>
          </cell>
          <cell r="H577">
            <v>-9.7594189741261328E-3</v>
          </cell>
          <cell r="T577">
            <v>-0.11381752249324306</v>
          </cell>
        </row>
        <row r="578">
          <cell r="C578">
            <v>258.14</v>
          </cell>
          <cell r="F578">
            <v>-3.4743668931440652E-3</v>
          </cell>
          <cell r="G578">
            <v>-1.506200525495105E-4</v>
          </cell>
          <cell r="H578">
            <v>-2.8650011460004121E-3</v>
          </cell>
          <cell r="T578">
            <v>-0.11689644555437695</v>
          </cell>
        </row>
        <row r="579">
          <cell r="C579">
            <v>255.94</v>
          </cell>
          <cell r="F579">
            <v>-8.5225071666537033E-3</v>
          </cell>
          <cell r="G579">
            <v>-5.2892340653456493E-3</v>
          </cell>
          <cell r="H579">
            <v>-6.7808297896794212E-3</v>
          </cell>
          <cell r="T579">
            <v>-0.1244227019260371</v>
          </cell>
        </row>
        <row r="580">
          <cell r="C580">
            <v>261.04000000000002</v>
          </cell>
          <cell r="F580">
            <v>1.9926545284051134E-2</v>
          </cell>
          <cell r="G580">
            <v>9.8774988221039806E-3</v>
          </cell>
          <cell r="H580">
            <v>6.0171256653551719E-3</v>
          </cell>
          <cell r="T580">
            <v>-0.10697547124627915</v>
          </cell>
        </row>
        <row r="581">
          <cell r="C581">
            <v>264.48</v>
          </cell>
          <cell r="F581">
            <v>1.3178057002758203E-2</v>
          </cell>
          <cell r="G581">
            <v>1.104723819045228E-2</v>
          </cell>
          <cell r="H581">
            <v>8.2815734989647449E-3</v>
          </cell>
          <cell r="T581">
            <v>-9.5207143101501246E-2</v>
          </cell>
        </row>
        <row r="582">
          <cell r="C582">
            <v>254.64</v>
          </cell>
          <cell r="F582">
            <v>-3.7205081669691609E-2</v>
          </cell>
          <cell r="G582">
            <v>5.6033488249451757E-4</v>
          </cell>
          <cell r="H582">
            <v>-9.5824777549623485E-3</v>
          </cell>
          <cell r="T582">
            <v>-0.12887003523656348</v>
          </cell>
        </row>
        <row r="583">
          <cell r="C583">
            <v>256.95999999999998</v>
          </cell>
          <cell r="F583">
            <v>9.1109016650958718E-3</v>
          </cell>
          <cell r="G583">
            <v>7.8238239557253397E-3</v>
          </cell>
          <cell r="H583">
            <v>1.1057360055286791E-2</v>
          </cell>
          <cell r="T583">
            <v>-0.1209332557900854</v>
          </cell>
        </row>
        <row r="584">
          <cell r="C584">
            <v>262.18</v>
          </cell>
          <cell r="F584">
            <v>2.0314445828144567E-2</v>
          </cell>
          <cell r="G584">
            <v>4.9683756353473552E-3</v>
          </cell>
          <cell r="H584">
            <v>1.2531328320801727E-3</v>
          </cell>
          <cell r="T584">
            <v>-0.10307550203550964</v>
          </cell>
        </row>
        <row r="585">
          <cell r="C585">
            <v>260.82</v>
          </cell>
          <cell r="F585">
            <v>-5.1872759173087202E-3</v>
          </cell>
          <cell r="G585">
            <v>4.7811874908523233E-3</v>
          </cell>
          <cell r="H585">
            <v>-9.1022869495960279E-4</v>
          </cell>
          <cell r="T585">
            <v>-0.10772809688344509</v>
          </cell>
        </row>
        <row r="586">
          <cell r="C586">
            <v>264.67</v>
          </cell>
          <cell r="F586">
            <v>1.4761137949543812E-2</v>
          </cell>
          <cell r="G586">
            <v>-3.2370316419849665E-4</v>
          </cell>
          <cell r="H586">
            <v>2.585126978704011E-2</v>
          </cell>
          <cell r="T586">
            <v>-9.4557148233039734E-2</v>
          </cell>
        </row>
        <row r="587">
          <cell r="C587">
            <v>265.70999999999998</v>
          </cell>
          <cell r="F587">
            <v>3.9294215438090419E-3</v>
          </cell>
          <cell r="G587">
            <v>4.5333117461345829E-3</v>
          </cell>
          <cell r="H587">
            <v>1.4986678507993068E-2</v>
          </cell>
          <cell r="T587">
            <v>-9.0999281584618674E-2</v>
          </cell>
        </row>
        <row r="588">
          <cell r="C588">
            <v>266.24</v>
          </cell>
          <cell r="F588">
            <v>1.9946558277823545E-3</v>
          </cell>
          <cell r="G588">
            <v>7.881376420340036E-3</v>
          </cell>
          <cell r="H588">
            <v>-6.5623974625395043E-4</v>
          </cell>
          <cell r="T588">
            <v>-8.9186138004173077E-2</v>
          </cell>
        </row>
        <row r="589">
          <cell r="C589">
            <v>267</v>
          </cell>
          <cell r="F589">
            <v>2.8545673076922906E-3</v>
          </cell>
          <cell r="G589">
            <v>-7.4519461412992927E-3</v>
          </cell>
          <cell r="H589">
            <v>-9.6311699682610774E-3</v>
          </cell>
          <cell r="T589">
            <v>-8.6586158530326807E-2</v>
          </cell>
        </row>
        <row r="590">
          <cell r="C590">
            <v>266.45</v>
          </cell>
          <cell r="F590">
            <v>-2.0599250936329527E-3</v>
          </cell>
          <cell r="G590">
            <v>-5.4778629889784547E-4</v>
          </cell>
          <cell r="H590">
            <v>8.1776991932811516E-3</v>
          </cell>
          <cell r="T590">
            <v>-8.8467722623241873E-2</v>
          </cell>
        </row>
        <row r="591">
          <cell r="C591">
            <v>269.95</v>
          </cell>
          <cell r="F591">
            <v>1.3135672734096548E-2</v>
          </cell>
          <cell r="G591">
            <v>5.9967114808006095E-3</v>
          </cell>
          <cell r="H591">
            <v>6.0287186232599321E-3</v>
          </cell>
          <cell r="T591">
            <v>-7.6494132941055004E-2</v>
          </cell>
        </row>
        <row r="592">
          <cell r="C592">
            <v>270.73</v>
          </cell>
          <cell r="F592">
            <v>2.8894239674015498E-3</v>
          </cell>
          <cell r="G592">
            <v>2.8202416434319755E-3</v>
          </cell>
          <cell r="H592">
            <v>5.3388537807801395E-3</v>
          </cell>
          <cell r="T592">
            <v>-7.3825732954738932E-2</v>
          </cell>
        </row>
        <row r="593">
          <cell r="C593">
            <v>269</v>
          </cell>
          <cell r="F593">
            <v>-6.3901303882096805E-3</v>
          </cell>
          <cell r="G593">
            <v>-3.5153878111917614E-3</v>
          </cell>
          <cell r="H593">
            <v>-8.1283190636176617E-3</v>
          </cell>
          <cell r="T593">
            <v>-7.9744107283362675E-2</v>
          </cell>
        </row>
        <row r="594">
          <cell r="C594">
            <v>269.93</v>
          </cell>
          <cell r="F594">
            <v>3.4572490706319403E-3</v>
          </cell>
          <cell r="G594">
            <v>1.9082133350436514E-3</v>
          </cell>
          <cell r="H594">
            <v>-5.5725524475523924E-3</v>
          </cell>
          <cell r="T594">
            <v>-7.6562553453524584E-2</v>
          </cell>
        </row>
        <row r="595">
          <cell r="C595">
            <v>261.56</v>
          </cell>
          <cell r="F595">
            <v>-3.1008039121253717E-2</v>
          </cell>
          <cell r="G595">
            <v>-4.2732990829211781E-3</v>
          </cell>
          <cell r="H595">
            <v>-2.0547192616196086E-2</v>
          </cell>
          <cell r="T595">
            <v>-0.10519653792206829</v>
          </cell>
        </row>
        <row r="596">
          <cell r="C596">
            <v>260.62</v>
          </cell>
          <cell r="F596">
            <v>-3.5938216852730021E-3</v>
          </cell>
          <cell r="G596">
            <v>3.3432989359309939E-3</v>
          </cell>
          <cell r="H596">
            <v>2.6923939869867297E-3</v>
          </cell>
          <cell r="T596">
            <v>-0.10841230200814134</v>
          </cell>
        </row>
        <row r="597">
          <cell r="C597">
            <v>263.01</v>
          </cell>
          <cell r="F597">
            <v>9.1704397206660015E-3</v>
          </cell>
          <cell r="G597">
            <v>6.1196373073595378E-3</v>
          </cell>
          <cell r="H597">
            <v>7.0485567240994307E-3</v>
          </cell>
          <cell r="T597">
            <v>-0.10023605076801967</v>
          </cell>
        </row>
        <row r="598">
          <cell r="C598">
            <v>266.60000000000002</v>
          </cell>
          <cell r="F598">
            <v>1.3649671115166795E-2</v>
          </cell>
          <cell r="G598">
            <v>-7.3243742436779335E-4</v>
          </cell>
          <cell r="H598">
            <v>2.3330741028773083E-3</v>
          </cell>
          <cell r="T598">
            <v>-8.7954568779719411E-2</v>
          </cell>
        </row>
        <row r="599">
          <cell r="C599">
            <v>265.01</v>
          </cell>
          <cell r="F599">
            <v>-5.9639909977495797E-3</v>
          </cell>
          <cell r="G599">
            <v>1.8961725995090273E-3</v>
          </cell>
          <cell r="H599">
            <v>5.0986477499446181E-3</v>
          </cell>
          <cell r="T599">
            <v>-9.3393999521055759E-2</v>
          </cell>
        </row>
        <row r="600">
          <cell r="C600">
            <v>267.77999999999997</v>
          </cell>
          <cell r="F600">
            <v>1.0452435757141165E-2</v>
          </cell>
          <cell r="G600">
            <v>1.4313660002862605E-4</v>
          </cell>
          <cell r="H600">
            <v>1.3784737538597325E-2</v>
          </cell>
          <cell r="T600">
            <v>-8.3917758544010956E-2</v>
          </cell>
        </row>
        <row r="601">
          <cell r="C601">
            <v>269.11</v>
          </cell>
          <cell r="F601">
            <v>4.9667637612966775E-3</v>
          </cell>
          <cell r="G601">
            <v>8.5074579397641514E-3</v>
          </cell>
          <cell r="H601">
            <v>3.3721309692156254E-3</v>
          </cell>
          <cell r="T601">
            <v>-7.9367794464780039E-2</v>
          </cell>
        </row>
        <row r="602">
          <cell r="C602">
            <v>271.42</v>
          </cell>
          <cell r="F602">
            <v>8.583850470067933E-3</v>
          </cell>
          <cell r="G602">
            <v>3.3112060673889943E-4</v>
          </cell>
          <cell r="H602">
            <v>-1.0299219427580053E-2</v>
          </cell>
          <cell r="T602">
            <v>-7.1465225274536803E-2</v>
          </cell>
        </row>
        <row r="603">
          <cell r="C603">
            <v>274.83</v>
          </cell>
          <cell r="F603">
            <v>1.2563554638567398E-2</v>
          </cell>
          <cell r="G603">
            <v>4.2243308849028161E-3</v>
          </cell>
          <cell r="H603">
            <v>1.1830430496220901E-2</v>
          </cell>
          <cell r="T603">
            <v>-5.9799527898463545E-2</v>
          </cell>
        </row>
        <row r="604">
          <cell r="C604">
            <v>270.11</v>
          </cell>
          <cell r="F604">
            <v>-1.717425317468968E-2</v>
          </cell>
          <cell r="G604">
            <v>-2.5113796892162199E-4</v>
          </cell>
          <cell r="H604">
            <v>-1.4506874526361457E-2</v>
          </cell>
          <cell r="T604">
            <v>-7.594676884129814E-2</v>
          </cell>
        </row>
        <row r="605">
          <cell r="C605">
            <v>273.92</v>
          </cell>
          <cell r="F605">
            <v>1.4105364481137306E-2</v>
          </cell>
          <cell r="G605">
            <v>-2.6376110779666728E-3</v>
          </cell>
          <cell r="H605">
            <v>-3.8448863012192636E-3</v>
          </cell>
          <cell r="T605">
            <v>-6.2912661215831944E-2</v>
          </cell>
        </row>
        <row r="606">
          <cell r="C606">
            <v>272.77</v>
          </cell>
          <cell r="F606">
            <v>-4.1983060747664558E-3</v>
          </cell>
          <cell r="G606">
            <v>-1.259326889777368E-3</v>
          </cell>
          <cell r="H606">
            <v>-2.0180855756506522E-2</v>
          </cell>
          <cell r="T606">
            <v>-6.6846840682836195E-2</v>
          </cell>
        </row>
        <row r="607">
          <cell r="C607">
            <v>274.67</v>
          </cell>
          <cell r="F607">
            <v>6.9655753931885389E-3</v>
          </cell>
          <cell r="G607">
            <v>-3.7512215112063263E-3</v>
          </cell>
          <cell r="H607">
            <v>-1.2605514912774285E-2</v>
          </cell>
          <cell r="T607">
            <v>-6.0346891998220409E-2</v>
          </cell>
        </row>
        <row r="608">
          <cell r="C608">
            <v>274.94</v>
          </cell>
          <cell r="F608">
            <v>9.8299777915311637E-4</v>
          </cell>
          <cell r="G608">
            <v>-1.6390330337931913E-2</v>
          </cell>
          <cell r="H608">
            <v>-1.1512595463353481E-2</v>
          </cell>
          <cell r="T608">
            <v>-5.9423215079880465E-2</v>
          </cell>
        </row>
        <row r="609">
          <cell r="C609">
            <v>281.85000000000002</v>
          </cell>
          <cell r="F609">
            <v>2.5132756237724596E-2</v>
          </cell>
          <cell r="G609">
            <v>1.519976838448156E-2</v>
          </cell>
          <cell r="H609">
            <v>1.3261070110701212E-2</v>
          </cell>
          <cell r="T609">
            <v>-3.5783928021620448E-2</v>
          </cell>
        </row>
        <row r="610">
          <cell r="C610">
            <v>283.17</v>
          </cell>
          <cell r="F610">
            <v>4.6833422032996896E-3</v>
          </cell>
          <cell r="G610">
            <v>-5.0699494589412364E-3</v>
          </cell>
          <cell r="H610">
            <v>7.055878001593241E-3</v>
          </cell>
          <cell r="T610">
            <v>-3.1268174198624266E-2</v>
          </cell>
        </row>
        <row r="611">
          <cell r="C611">
            <v>281.58999999999997</v>
          </cell>
          <cell r="F611">
            <v>-5.5796871137481219E-3</v>
          </cell>
          <cell r="G611">
            <v>7.6596015733234601E-3</v>
          </cell>
          <cell r="H611">
            <v>-1.0848683467058362E-2</v>
          </cell>
          <cell r="T611">
            <v>-3.667339468372588E-2</v>
          </cell>
        </row>
        <row r="612">
          <cell r="C612">
            <v>282.10000000000002</v>
          </cell>
          <cell r="F612">
            <v>1.8111438616430497E-3</v>
          </cell>
          <cell r="G612">
            <v>-8.3757388033756097E-4</v>
          </cell>
          <cell r="H612">
            <v>4.3413686735975787E-3</v>
          </cell>
          <cell r="T612">
            <v>-3.4928671615749862E-2</v>
          </cell>
        </row>
        <row r="613">
          <cell r="C613">
            <v>286.52</v>
          </cell>
          <cell r="F613">
            <v>1.5668202764976824E-2</v>
          </cell>
          <cell r="G613">
            <v>7.7975484381178628E-3</v>
          </cell>
          <cell r="H613">
            <v>5.0051188715731776E-3</v>
          </cell>
          <cell r="T613">
            <v>-1.980773835995997E-2</v>
          </cell>
        </row>
        <row r="614">
          <cell r="C614">
            <v>285.24</v>
          </cell>
          <cell r="F614">
            <v>-4.4674019265670273E-3</v>
          </cell>
          <cell r="G614">
            <v>-1.9774631972127032E-3</v>
          </cell>
          <cell r="H614">
            <v>-2.2637238256931758E-3</v>
          </cell>
          <cell r="T614">
            <v>-2.4186651158016881E-2</v>
          </cell>
        </row>
        <row r="615">
          <cell r="C615">
            <v>291.89</v>
          </cell>
          <cell r="F615">
            <v>2.3313700743233579E-2</v>
          </cell>
          <cell r="G615">
            <v>1.0645993206692905E-2</v>
          </cell>
          <cell r="H615">
            <v>1.3045944412932498E-2</v>
          </cell>
          <cell r="T615">
            <v>-1.4368307618622955E-3</v>
          </cell>
        </row>
        <row r="616">
          <cell r="C616">
            <v>295.64</v>
          </cell>
          <cell r="F616">
            <v>1.2847305491794803E-2</v>
          </cell>
          <cell r="G616">
            <v>3.4231122314023477E-3</v>
          </cell>
          <cell r="H616">
            <v>1.8812989921612511E-2</v>
          </cell>
          <cell r="T616">
            <v>0</v>
          </cell>
        </row>
        <row r="617">
          <cell r="C617">
            <v>293.10000000000002</v>
          </cell>
          <cell r="F617">
            <v>-8.5915302394803383E-3</v>
          </cell>
          <cell r="G617">
            <v>9.3039122951221742E-5</v>
          </cell>
          <cell r="H617">
            <v>-1.0441855352824825E-2</v>
          </cell>
          <cell r="T617">
            <v>-8.5915302394803383E-3</v>
          </cell>
        </row>
        <row r="618">
          <cell r="C618">
            <v>291.62</v>
          </cell>
          <cell r="F618">
            <v>-5.0494711702491202E-3</v>
          </cell>
          <cell r="G618">
            <v>-2.3412667648654573E-3</v>
          </cell>
          <cell r="H618">
            <v>0</v>
          </cell>
          <cell r="T618">
            <v>-1.3597618725476823E-2</v>
          </cell>
        </row>
        <row r="619">
          <cell r="C619">
            <v>289.88</v>
          </cell>
          <cell r="F619">
            <v>-5.9666689527467787E-3</v>
          </cell>
          <cell r="G619">
            <v>-2.1758050478692947E-4</v>
          </cell>
          <cell r="H619">
            <v>-5.7758524936132316E-3</v>
          </cell>
          <cell r="T619">
            <v>-1.9483155188742995E-2</v>
          </cell>
        </row>
        <row r="620">
          <cell r="C620">
            <v>292.83999999999997</v>
          </cell>
          <cell r="F620">
            <v>1.0211121843521465E-2</v>
          </cell>
          <cell r="G620">
            <v>-5.4251515622570912E-3</v>
          </cell>
          <cell r="H620">
            <v>6.032845492123684E-3</v>
          </cell>
          <cell r="T620">
            <v>-9.4709782167500256E-3</v>
          </cell>
        </row>
        <row r="621">
          <cell r="C621">
            <v>286.27999999999997</v>
          </cell>
          <cell r="F621">
            <v>-2.2401311296270987E-2</v>
          </cell>
          <cell r="G621">
            <v>-2.6570388083961838E-3</v>
          </cell>
          <cell r="H621">
            <v>7.7734591893396932E-4</v>
          </cell>
          <cell r="T621">
            <v>-3.1660127181707409E-2</v>
          </cell>
        </row>
        <row r="622">
          <cell r="C622">
            <v>288.27999999999997</v>
          </cell>
          <cell r="F622">
            <v>6.9861673885707187E-3</v>
          </cell>
          <cell r="G622">
            <v>-4.0118474871104759E-3</v>
          </cell>
          <cell r="H622">
            <v>2.9960053262316766E-3</v>
          </cell>
          <cell r="T622">
            <v>-2.489514274117155E-2</v>
          </cell>
        </row>
        <row r="623">
          <cell r="C623">
            <v>292.39999999999998</v>
          </cell>
          <cell r="F623">
            <v>1.4291660885250579E-2</v>
          </cell>
          <cell r="G623">
            <v>1.5356777594209836E-2</v>
          </cell>
          <cell r="H623">
            <v>1.9803075561455996E-2</v>
          </cell>
          <cell r="T623">
            <v>-1.0959274793667761E-2</v>
          </cell>
        </row>
        <row r="624">
          <cell r="C624">
            <v>290.3</v>
          </cell>
          <cell r="F624">
            <v>-7.1819425444594742E-3</v>
          </cell>
          <cell r="G624">
            <v>-4.4009855728253111E-3</v>
          </cell>
          <cell r="H624">
            <v>-5.5326535040139957E-3</v>
          </cell>
          <cell r="T624">
            <v>-1.8062508456230142E-2</v>
          </cell>
        </row>
        <row r="625">
          <cell r="C625">
            <v>291.2</v>
          </cell>
          <cell r="F625">
            <v>3.1002411298655108E-3</v>
          </cell>
          <cell r="G625">
            <v>4.186965928370201E-3</v>
          </cell>
          <cell r="H625">
            <v>2.7271735573251021E-3</v>
          </cell>
          <cell r="T625">
            <v>-1.5018265457989233E-2</v>
          </cell>
        </row>
        <row r="626">
          <cell r="C626">
            <v>291.14999999999998</v>
          </cell>
          <cell r="F626">
            <v>-1.717032967033516E-4</v>
          </cell>
          <cell r="G626">
            <v>2.2785045570090645E-3</v>
          </cell>
          <cell r="H626">
            <v>2.5021758050478571E-3</v>
          </cell>
          <cell r="T626">
            <v>-1.5187390069002604E-2</v>
          </cell>
        </row>
        <row r="627">
          <cell r="C627">
            <v>291.16000000000003</v>
          </cell>
          <cell r="F627">
            <v>3.4346556757824942E-5</v>
          </cell>
          <cell r="G627">
            <v>3.5414379165827903E-3</v>
          </cell>
          <cell r="H627">
            <v>0</v>
          </cell>
          <cell r="T627">
            <v>-1.5153565146799775E-2</v>
          </cell>
        </row>
        <row r="628">
          <cell r="C628">
            <v>291.16000000000003</v>
          </cell>
          <cell r="F628">
            <v>0</v>
          </cell>
          <cell r="G628">
            <v>-5.9637551624237561E-3</v>
          </cell>
          <cell r="H628">
            <v>1.4107433532284386E-3</v>
          </cell>
          <cell r="T628">
            <v>-1.5153565146799775E-2</v>
          </cell>
        </row>
        <row r="629">
          <cell r="C629">
            <v>292.49</v>
          </cell>
          <cell r="F629">
            <v>4.5679351559280157E-3</v>
          </cell>
          <cell r="G629">
            <v>-7.4102782730020023E-3</v>
          </cell>
          <cell r="H629">
            <v>-7.4772431729518418E-3</v>
          </cell>
          <cell r="T629">
            <v>-1.0654850493843404E-2</v>
          </cell>
        </row>
        <row r="630">
          <cell r="C630">
            <v>288.05</v>
          </cell>
          <cell r="F630">
            <v>-1.5180006154056569E-2</v>
          </cell>
          <cell r="G630">
            <v>5.4195886110548486E-3</v>
          </cell>
          <cell r="H630">
            <v>-6.7692979582923973E-3</v>
          </cell>
          <cell r="T630">
            <v>-2.5673115951832859E-2</v>
          </cell>
        </row>
        <row r="631">
          <cell r="C631">
            <v>292.33</v>
          </cell>
          <cell r="F631">
            <v>1.4858531504946981E-2</v>
          </cell>
          <cell r="G631">
            <v>8.3574113772642011E-3</v>
          </cell>
          <cell r="H631">
            <v>3.8474222271078773E-3</v>
          </cell>
          <cell r="T631">
            <v>-1.1196049249086459E-2</v>
          </cell>
        </row>
        <row r="632">
          <cell r="C632">
            <v>294.81</v>
          </cell>
          <cell r="F632">
            <v>8.4835630965005571E-3</v>
          </cell>
          <cell r="G632">
            <v>-2.896228740448592E-3</v>
          </cell>
          <cell r="H632">
            <v>7.0083223828296681E-3</v>
          </cell>
          <cell r="T632">
            <v>-2.8074685428221002E-3</v>
          </cell>
        </row>
        <row r="633">
          <cell r="C633">
            <v>298.91000000000003</v>
          </cell>
          <cell r="F633">
            <v>1.3907262304535095E-2</v>
          </cell>
          <cell r="G633">
            <v>2.4565848835054194E-3</v>
          </cell>
          <cell r="H633">
            <v>8.6994345367563675E-4</v>
          </cell>
          <cell r="T633">
            <v>0</v>
          </cell>
        </row>
        <row r="634">
          <cell r="C634">
            <v>292.44</v>
          </cell>
          <cell r="F634">
            <v>-2.1645311297715075E-2</v>
          </cell>
          <cell r="G634">
            <v>2.3118536442519044E-3</v>
          </cell>
          <cell r="H634">
            <v>-1.6297262059973949E-2</v>
          </cell>
          <cell r="T634">
            <v>-2.1645311297715075E-2</v>
          </cell>
        </row>
        <row r="635">
          <cell r="C635">
            <v>294.43</v>
          </cell>
          <cell r="F635">
            <v>6.8048146628367778E-3</v>
          </cell>
          <cell r="G635">
            <v>2.8908400350591279E-3</v>
          </cell>
          <cell r="H635">
            <v>1.8776231499888496E-3</v>
          </cell>
          <cell r="T635">
            <v>-1.4987788966578708E-2</v>
          </cell>
        </row>
        <row r="636">
          <cell r="C636">
            <v>301.64999999999998</v>
          </cell>
          <cell r="F636">
            <v>2.4521957680942785E-2</v>
          </cell>
          <cell r="G636">
            <v>8.3102068352216563E-3</v>
          </cell>
          <cell r="H636">
            <v>2.0945871458494247E-2</v>
          </cell>
          <cell r="T636">
            <v>0</v>
          </cell>
        </row>
        <row r="637">
          <cell r="C637">
            <v>294.94</v>
          </cell>
          <cell r="F637">
            <v>-2.2244322890767387E-2</v>
          </cell>
          <cell r="G637">
            <v>-3.3453461672983131E-4</v>
          </cell>
          <cell r="H637">
            <v>-1.0042112082928378E-2</v>
          </cell>
          <cell r="T637">
            <v>-2.2244322890767387E-2</v>
          </cell>
        </row>
        <row r="638">
          <cell r="C638">
            <v>294.02999999999997</v>
          </cell>
          <cell r="F638">
            <v>-3.0853732962636826E-3</v>
          </cell>
          <cell r="G638">
            <v>5.3239226662205041E-3</v>
          </cell>
          <cell r="H638">
            <v>-8.0715532286214087E-3</v>
          </cell>
          <cell r="T638">
            <v>-2.5261064147190426E-2</v>
          </cell>
        </row>
        <row r="639">
          <cell r="C639">
            <v>291.95999999999998</v>
          </cell>
          <cell r="F639">
            <v>-7.040097949188806E-3</v>
          </cell>
          <cell r="G639">
            <v>-1.3768894403171084E-3</v>
          </cell>
          <cell r="H639">
            <v>-3.0789531559269889E-3</v>
          </cell>
          <cell r="T639">
            <v>-3.2123321730482379E-2</v>
          </cell>
        </row>
        <row r="640">
          <cell r="C640">
            <v>292.25</v>
          </cell>
          <cell r="F640">
            <v>9.9328675160981206E-4</v>
          </cell>
          <cell r="G640">
            <v>-1.2424242424242671E-3</v>
          </cell>
          <cell r="H640">
            <v>2.3163467902052037E-3</v>
          </cell>
          <cell r="T640">
            <v>-3.116194264876504E-2</v>
          </cell>
        </row>
        <row r="641">
          <cell r="C641">
            <v>298.58</v>
          </cell>
          <cell r="F641">
            <v>2.1659538066723716E-2</v>
          </cell>
          <cell r="G641">
            <v>4.6724718589763459E-3</v>
          </cell>
          <cell r="H641">
            <v>0</v>
          </cell>
          <cell r="T641">
            <v>-1.0177357865075343E-2</v>
          </cell>
        </row>
        <row r="642">
          <cell r="C642">
            <v>297.79000000000002</v>
          </cell>
          <cell r="F642">
            <v>-2.6458570567351458E-3</v>
          </cell>
          <cell r="G642">
            <v>2.1743726029053168E-3</v>
          </cell>
          <cell r="H642">
            <v>-4.4018928139111235E-4</v>
          </cell>
          <cell r="T642">
            <v>-1.2796287087684322E-2</v>
          </cell>
        </row>
        <row r="643">
          <cell r="C643">
            <v>298.89</v>
          </cell>
          <cell r="F643">
            <v>3.6938782363409306E-3</v>
          </cell>
          <cell r="G643">
            <v>4.731053186680656E-3</v>
          </cell>
          <cell r="H643">
            <v>-5.0644060332488694E-3</v>
          </cell>
          <cell r="T643">
            <v>-9.149676777722493E-3</v>
          </cell>
        </row>
        <row r="644">
          <cell r="C644">
            <v>297.58999999999997</v>
          </cell>
          <cell r="F644">
            <v>-4.3494262103115355E-3</v>
          </cell>
          <cell r="G644">
            <v>-5.4435846679863342E-3</v>
          </cell>
          <cell r="H644">
            <v>-3.2090295452030793E-3</v>
          </cell>
          <cell r="T644">
            <v>-1.3459307144041088E-2</v>
          </cell>
        </row>
        <row r="645">
          <cell r="C645">
            <v>293.81</v>
          </cell>
          <cell r="F645">
            <v>-1.2702039719076463E-2</v>
          </cell>
          <cell r="G645">
            <v>-3.1814960570558659E-3</v>
          </cell>
          <cell r="H645">
            <v>-1.2211367673179319E-2</v>
          </cell>
          <cell r="T645">
            <v>-2.5990386209182703E-2</v>
          </cell>
        </row>
        <row r="646">
          <cell r="C646">
            <v>294.76</v>
          </cell>
          <cell r="F646">
            <v>3.2333821176950828E-3</v>
          </cell>
          <cell r="G646">
            <v>-4.6135229163516422E-3</v>
          </cell>
          <cell r="H646">
            <v>-1.3036637446617316E-2</v>
          </cell>
          <cell r="T646">
            <v>-2.2841040941488422E-2</v>
          </cell>
        </row>
        <row r="647">
          <cell r="C647">
            <v>299.29000000000002</v>
          </cell>
          <cell r="F647">
            <v>1.5368435337223652E-2</v>
          </cell>
          <cell r="G647">
            <v>5.7290479446852061E-3</v>
          </cell>
          <cell r="H647">
            <v>1.1614666363015447E-2</v>
          </cell>
          <cell r="T647">
            <v>-7.8236366650088485E-3</v>
          </cell>
        </row>
        <row r="648">
          <cell r="C648">
            <v>303.02</v>
          </cell>
          <cell r="F648">
            <v>1.2462828694576933E-2</v>
          </cell>
          <cell r="G648">
            <v>2.8104318394728267E-3</v>
          </cell>
          <cell r="H648">
            <v>3.8271049076992192E-3</v>
          </cell>
          <cell r="T648">
            <v>0</v>
          </cell>
        </row>
        <row r="649">
          <cell r="C649">
            <v>307.62</v>
          </cell>
          <cell r="F649">
            <v>1.5180516137548672E-2</v>
          </cell>
          <cell r="G649">
            <v>3.7668756027000594E-3</v>
          </cell>
          <cell r="H649">
            <v>4.9338416685356101E-3</v>
          </cell>
          <cell r="T649">
            <v>0</v>
          </cell>
        </row>
        <row r="650">
          <cell r="C650">
            <v>301.64</v>
          </cell>
          <cell r="F650">
            <v>-1.9439568298550203E-2</v>
          </cell>
          <cell r="G650">
            <v>3.4074874658502896E-3</v>
          </cell>
          <cell r="H650">
            <v>-1.0488730194153084E-2</v>
          </cell>
          <cell r="T650">
            <v>-1.9439568298550203E-2</v>
          </cell>
        </row>
        <row r="651">
          <cell r="C651">
            <v>303.37</v>
          </cell>
          <cell r="F651">
            <v>5.7353136188835752E-3</v>
          </cell>
          <cell r="G651">
            <v>1.1519186176975893E-3</v>
          </cell>
          <cell r="H651">
            <v>1.1614794767703884E-2</v>
          </cell>
          <cell r="T651">
            <v>-1.3815746700474474E-2</v>
          </cell>
        </row>
        <row r="652">
          <cell r="C652">
            <v>304.7</v>
          </cell>
          <cell r="F652">
            <v>4.3840854402215079E-3</v>
          </cell>
          <cell r="G652">
            <v>-1.4942769194004057E-5</v>
          </cell>
          <cell r="H652">
            <v>1.6720543975030644E-3</v>
          </cell>
          <cell r="T652">
            <v>-9.4922306742082352E-3</v>
          </cell>
        </row>
        <row r="653">
          <cell r="C653">
            <v>304.67</v>
          </cell>
          <cell r="F653">
            <v>-9.8457499179471775E-5</v>
          </cell>
          <cell r="G653">
            <v>3.5863181960820167E-3</v>
          </cell>
          <cell r="H653">
            <v>-8.9027375918093732E-4</v>
          </cell>
          <cell r="T653">
            <v>-9.5897535920939081E-3</v>
          </cell>
        </row>
        <row r="654">
          <cell r="C654">
            <v>300.89999999999998</v>
          </cell>
          <cell r="F654">
            <v>-1.2374044047658295E-2</v>
          </cell>
          <cell r="G654">
            <v>-3.70750882208426E-3</v>
          </cell>
          <cell r="H654">
            <v>-4.0098017375806982E-3</v>
          </cell>
          <cell r="T654">
            <v>-2.1845133606397393E-2</v>
          </cell>
        </row>
        <row r="655">
          <cell r="C655">
            <v>304.43</v>
          </cell>
          <cell r="F655">
            <v>1.1731472249917108E-2</v>
          </cell>
          <cell r="G655">
            <v>5.9630559540888584E-3</v>
          </cell>
          <cell r="H655">
            <v>5.3679266383359625E-3</v>
          </cell>
          <cell r="T655">
            <v>-1.0369936935179402E-2</v>
          </cell>
        </row>
        <row r="656">
          <cell r="C656">
            <v>302.89999999999998</v>
          </cell>
          <cell r="F656">
            <v>-5.0257858949512846E-3</v>
          </cell>
          <cell r="G656">
            <v>-2.8970004902616475E-3</v>
          </cell>
          <cell r="H656">
            <v>-1.3681868743047887E-2</v>
          </cell>
          <cell r="T656">
            <v>-1.5343605747350275E-2</v>
          </cell>
        </row>
        <row r="657">
          <cell r="C657">
            <v>301.43</v>
          </cell>
          <cell r="F657">
            <v>-4.8530868273356509E-3</v>
          </cell>
          <cell r="G657">
            <v>-2.7027832409559527E-2</v>
          </cell>
          <cell r="H657">
            <v>-2.0525544152475539E-2</v>
          </cell>
          <cell r="T657">
            <v>-2.012222872374958E-2</v>
          </cell>
        </row>
        <row r="658">
          <cell r="C658">
            <v>302.75</v>
          </cell>
          <cell r="F658">
            <v>4.3791261652788016E-3</v>
          </cell>
          <cell r="G658">
            <v>1.5344093595908159E-2</v>
          </cell>
          <cell r="H658">
            <v>1.5889464594127878E-2</v>
          </cell>
          <cell r="T658">
            <v>-1.5831220336778751E-2</v>
          </cell>
        </row>
        <row r="659">
          <cell r="C659">
            <v>309.07</v>
          </cell>
          <cell r="F659">
            <v>2.0875309661436914E-2</v>
          </cell>
          <cell r="G659">
            <v>-1.2216457528956282E-3</v>
          </cell>
          <cell r="H659">
            <v>9.9739317692393303E-3</v>
          </cell>
          <cell r="T659">
            <v>0</v>
          </cell>
        </row>
        <row r="660">
          <cell r="C660">
            <v>303.10000000000002</v>
          </cell>
          <cell r="F660">
            <v>-1.931601255379034E-2</v>
          </cell>
          <cell r="G660">
            <v>4.4395451731271685E-3</v>
          </cell>
          <cell r="H660">
            <v>-4.4888340253619319E-3</v>
          </cell>
          <cell r="T660">
            <v>-1.931601255379034E-2</v>
          </cell>
        </row>
        <row r="661">
          <cell r="C661">
            <v>296.23</v>
          </cell>
          <cell r="F661">
            <v>-2.2665786869020099E-2</v>
          </cell>
          <cell r="G661">
            <v>-6.8102890990272558E-3</v>
          </cell>
          <cell r="H661">
            <v>-7.4399729455528751E-3</v>
          </cell>
          <cell r="T661">
            <v>-4.1543986799106869E-2</v>
          </cell>
        </row>
        <row r="662">
          <cell r="C662">
            <v>295.35000000000002</v>
          </cell>
          <cell r="F662">
            <v>-2.9706646862235342E-3</v>
          </cell>
          <cell r="G662">
            <v>5.6763138774522659E-3</v>
          </cell>
          <cell r="H662">
            <v>-1.9307211811471214E-3</v>
          </cell>
          <cell r="T662">
            <v>-4.4391238230821362E-2</v>
          </cell>
        </row>
        <row r="663">
          <cell r="C663">
            <v>295.47000000000003</v>
          </cell>
          <cell r="F663">
            <v>4.0629761300148282E-4</v>
          </cell>
          <cell r="G663">
            <v>1.0400517768178297E-2</v>
          </cell>
          <cell r="H663">
            <v>1.1948111060537281E-2</v>
          </cell>
          <cell r="T663">
            <v>-4.4002976671951188E-2</v>
          </cell>
        </row>
        <row r="664">
          <cell r="C664">
            <v>297.57</v>
          </cell>
          <cell r="F664">
            <v>7.1073205401561701E-3</v>
          </cell>
          <cell r="G664">
            <v>-1.4896469536673784E-5</v>
          </cell>
          <cell r="H664">
            <v>-3.8232317553131834E-3</v>
          </cell>
          <cell r="T664">
            <v>-3.7208399391723601E-2</v>
          </cell>
        </row>
        <row r="665">
          <cell r="C665">
            <v>293.67</v>
          </cell>
          <cell r="F665">
            <v>-1.3106159895150626E-2</v>
          </cell>
          <cell r="G665">
            <v>-5.1989453142456954E-3</v>
          </cell>
          <cell r="H665">
            <v>-3.0477480528277034E-3</v>
          </cell>
          <cell r="T665">
            <v>-4.9826900055003676E-2</v>
          </cell>
        </row>
        <row r="666">
          <cell r="C666">
            <v>292.06</v>
          </cell>
          <cell r="F666">
            <v>-5.4823441277624951E-3</v>
          </cell>
          <cell r="G666">
            <v>5.9299191374664328E-3</v>
          </cell>
          <cell r="H666">
            <v>1.2001811594202882E-2</v>
          </cell>
          <cell r="T666">
            <v>-5.5036075969845055E-2</v>
          </cell>
        </row>
        <row r="667">
          <cell r="C667">
            <v>292.74</v>
          </cell>
          <cell r="F667">
            <v>2.3282887077997749E-3</v>
          </cell>
          <cell r="G667">
            <v>8.1725616291532521E-3</v>
          </cell>
          <cell r="H667">
            <v>-4.1396285522486975E-3</v>
          </cell>
          <cell r="T667">
            <v>-5.2835927136247518E-2</v>
          </cell>
        </row>
        <row r="668">
          <cell r="C668">
            <v>292.01</v>
          </cell>
          <cell r="F668">
            <v>-2.4936803989888956E-3</v>
          </cell>
          <cell r="G668">
            <v>1.1797711332595107E-2</v>
          </cell>
          <cell r="H668">
            <v>-4.493877092461851E-4</v>
          </cell>
          <cell r="T668">
            <v>-5.5197851619374294E-2</v>
          </cell>
        </row>
        <row r="669">
          <cell r="C669">
            <v>292.58999999999997</v>
          </cell>
          <cell r="F669">
            <v>1.9862333481730499E-3</v>
          </cell>
          <cell r="G669">
            <v>2.656003735917345E-3</v>
          </cell>
          <cell r="H669">
            <v>1.3487692480611546E-3</v>
          </cell>
          <cell r="T669">
            <v>-5.3321254084835124E-2</v>
          </cell>
        </row>
        <row r="670">
          <cell r="C670">
            <v>294.97000000000003</v>
          </cell>
          <cell r="F670">
            <v>8.1342492908167419E-3</v>
          </cell>
          <cell r="G670">
            <v>4.8030739673388112E-4</v>
          </cell>
          <cell r="H670">
            <v>-1.964305758222018E-2</v>
          </cell>
          <cell r="T670">
            <v>-4.5620733167243355E-2</v>
          </cell>
        </row>
        <row r="671">
          <cell r="C671">
            <v>290</v>
          </cell>
          <cell r="F671">
            <v>-1.6849171102146121E-2</v>
          </cell>
          <cell r="G671">
            <v>-1.0998123336097287E-2</v>
          </cell>
          <cell r="H671">
            <v>-1.3395923975269119E-2</v>
          </cell>
          <cell r="T671">
            <v>-6.1701232730449251E-2</v>
          </cell>
        </row>
        <row r="672">
          <cell r="C672">
            <v>289.5</v>
          </cell>
          <cell r="F672">
            <v>-1.7241379310344307E-3</v>
          </cell>
          <cell r="G672">
            <v>3.2802318226614613E-3</v>
          </cell>
          <cell r="H672">
            <v>-5.8024834629221145E-3</v>
          </cell>
          <cell r="T672">
            <v>-6.3318989225741529E-2</v>
          </cell>
        </row>
        <row r="673">
          <cell r="C673">
            <v>288.55</v>
          </cell>
          <cell r="F673">
            <v>-3.2815198618306729E-3</v>
          </cell>
          <cell r="G673">
            <v>1.8766677418409206E-3</v>
          </cell>
          <cell r="H673">
            <v>-6.1865297070152758E-3</v>
          </cell>
          <cell r="T673">
            <v>-6.6392726566796845E-2</v>
          </cell>
        </row>
        <row r="674">
          <cell r="C674">
            <v>292.26</v>
          </cell>
          <cell r="F674">
            <v>1.2857390400277113E-2</v>
          </cell>
          <cell r="G674">
            <v>-1.1853542892264479E-2</v>
          </cell>
          <cell r="H674">
            <v>-4.9330514446793705E-3</v>
          </cell>
          <cell r="T674">
            <v>-5.4388973371727878E-2</v>
          </cell>
        </row>
        <row r="675">
          <cell r="C675">
            <v>285.10000000000002</v>
          </cell>
          <cell r="F675">
            <v>-2.4498734003968958E-2</v>
          </cell>
          <cell r="G675">
            <v>3.4654345121734043E-3</v>
          </cell>
          <cell r="H675">
            <v>5.9017941454202472E-3</v>
          </cell>
          <cell r="T675">
            <v>-7.7555246384313881E-2</v>
          </cell>
        </row>
        <row r="676">
          <cell r="C676">
            <v>286.3</v>
          </cell>
          <cell r="F676">
            <v>4.2090494563311598E-3</v>
          </cell>
          <cell r="G676">
            <v>-1.0729360370731245E-2</v>
          </cell>
          <cell r="H676">
            <v>-4.9284205585543583E-3</v>
          </cell>
          <cell r="T676">
            <v>-7.3672630795612148E-2</v>
          </cell>
        </row>
        <row r="677">
          <cell r="C677">
            <v>287.3</v>
          </cell>
          <cell r="F677">
            <v>3.4928396786586546E-3</v>
          </cell>
          <cell r="G677">
            <v>9.8461905685431894E-4</v>
          </cell>
          <cell r="H677">
            <v>1.2028301886792381E-2</v>
          </cell>
          <cell r="T677">
            <v>-7.0437117805027594E-2</v>
          </cell>
        </row>
        <row r="678">
          <cell r="C678">
            <v>292.83999999999997</v>
          </cell>
          <cell r="F678">
            <v>1.9282979463974836E-2</v>
          </cell>
          <cell r="G678">
            <v>1.5604274408691943E-2</v>
          </cell>
          <cell r="H678">
            <v>9.4383593567932689E-3</v>
          </cell>
          <cell r="T678">
            <v>-5.2512375837188707E-2</v>
          </cell>
        </row>
        <row r="679">
          <cell r="C679">
            <v>295.10000000000002</v>
          </cell>
          <cell r="F679">
            <v>7.7175249282885883E-3</v>
          </cell>
          <cell r="G679">
            <v>2.2892697816387919E-3</v>
          </cell>
          <cell r="H679">
            <v>1.0389010735311066E-2</v>
          </cell>
          <cell r="T679">
            <v>-4.5200116478467223E-2</v>
          </cell>
        </row>
        <row r="680">
          <cell r="C680">
            <v>295.08999999999997</v>
          </cell>
          <cell r="F680">
            <v>-3.3886818027961674E-5</v>
          </cell>
          <cell r="G680">
            <v>5.5636896046862283E-4</v>
          </cell>
          <cell r="H680">
            <v>7.083285730606681E-3</v>
          </cell>
          <cell r="T680">
            <v>-4.5232471608373293E-2</v>
          </cell>
        </row>
        <row r="681">
          <cell r="C681">
            <v>284.08999999999997</v>
          </cell>
          <cell r="F681">
            <v>-3.7276763021451109E-2</v>
          </cell>
          <cell r="G681">
            <v>-1.6593988703210605E-2</v>
          </cell>
          <cell r="H681">
            <v>-6.5796937039139802E-3</v>
          </cell>
          <cell r="T681">
            <v>-8.0823114504804505E-2</v>
          </cell>
        </row>
        <row r="682">
          <cell r="C682">
            <v>280.58</v>
          </cell>
          <cell r="F682">
            <v>-1.2355239536766538E-2</v>
          </cell>
          <cell r="G682">
            <v>-1.636807332896506E-4</v>
          </cell>
          <cell r="H682">
            <v>-9.135548703893992E-3</v>
          </cell>
          <cell r="T682">
            <v>-9.2179765101756739E-2</v>
          </cell>
        </row>
        <row r="683">
          <cell r="C683">
            <v>280.08</v>
          </cell>
          <cell r="F683">
            <v>-1.7820229524556641E-3</v>
          </cell>
          <cell r="G683">
            <v>-9.3164466536692636E-3</v>
          </cell>
          <cell r="H683">
            <v>-1.5212631093695861E-2</v>
          </cell>
          <cell r="T683">
            <v>-9.3797521597049127E-2</v>
          </cell>
        </row>
        <row r="684">
          <cell r="C684">
            <v>281.87</v>
          </cell>
          <cell r="F684">
            <v>6.3910311339618886E-3</v>
          </cell>
          <cell r="G684">
            <v>-8.397554343743785E-3</v>
          </cell>
          <cell r="H684">
            <v>8.1919251023987449E-4</v>
          </cell>
          <cell r="T684">
            <v>-8.8005953343902377E-2</v>
          </cell>
        </row>
        <row r="685">
          <cell r="C685">
            <v>284.23</v>
          </cell>
          <cell r="F685">
            <v>8.3726540603825672E-3</v>
          </cell>
          <cell r="G685">
            <v>3.8631681008360896E-3</v>
          </cell>
          <cell r="H685">
            <v>2.5724976613656914E-3</v>
          </cell>
          <cell r="T685">
            <v>-8.0370142686122414E-2</v>
          </cell>
        </row>
        <row r="686">
          <cell r="C686">
            <v>285.97000000000003</v>
          </cell>
          <cell r="F686">
            <v>6.1218027653660023E-3</v>
          </cell>
          <cell r="G686">
            <v>-1.5242292078535558E-2</v>
          </cell>
          <cell r="H686">
            <v>-1.4928854676930281E-2</v>
          </cell>
          <cell r="T686">
            <v>-7.4740350082505236E-2</v>
          </cell>
        </row>
        <row r="687">
          <cell r="C687">
            <v>287.83</v>
          </cell>
          <cell r="F687">
            <v>6.5041787600097489E-3</v>
          </cell>
          <cell r="G687">
            <v>9.9612278362679607E-3</v>
          </cell>
          <cell r="H687">
            <v>2.2377456784276495E-2</v>
          </cell>
          <cell r="T687">
            <v>-6.8722295920017773E-2</v>
          </cell>
        </row>
        <row r="688">
          <cell r="C688">
            <v>287.19</v>
          </cell>
          <cell r="F688">
            <v>-2.2235347253586335E-3</v>
          </cell>
          <cell r="G688">
            <v>1.4718601581111601E-2</v>
          </cell>
          <cell r="H688">
            <v>1.9687319050376573E-3</v>
          </cell>
          <cell r="T688">
            <v>-7.0793024233991808E-2</v>
          </cell>
        </row>
        <row r="689">
          <cell r="C689">
            <v>292.72000000000003</v>
          </cell>
          <cell r="F689">
            <v>1.9255545109509553E-2</v>
          </cell>
          <cell r="G689">
            <v>9.4058887742436426E-3</v>
          </cell>
          <cell r="H689">
            <v>1.4909847434119383E-2</v>
          </cell>
          <cell r="T689">
            <v>-5.2900637396058547E-2</v>
          </cell>
        </row>
        <row r="690">
          <cell r="C690">
            <v>295.08</v>
          </cell>
          <cell r="F690">
            <v>8.0623121071330406E-3</v>
          </cell>
          <cell r="G690">
            <v>6.9034991555805281E-3</v>
          </cell>
          <cell r="H690">
            <v>1.2299282541851753E-2</v>
          </cell>
          <cell r="T690">
            <v>-4.5264826738278807E-2</v>
          </cell>
        </row>
        <row r="691">
          <cell r="C691">
            <v>297.24</v>
          </cell>
          <cell r="F691">
            <v>7.3200488003253295E-3</v>
          </cell>
          <cell r="G691">
            <v>5.4584510357815752E-3</v>
          </cell>
          <cell r="H691">
            <v>5.7374282821465172E-3</v>
          </cell>
          <cell r="T691">
            <v>-3.8276118678615911E-2</v>
          </cell>
        </row>
        <row r="692">
          <cell r="C692">
            <v>291.85000000000002</v>
          </cell>
          <cell r="F692">
            <v>-1.8133494819001394E-2</v>
          </cell>
          <cell r="G692">
            <v>-4.5654750581659576E-3</v>
          </cell>
          <cell r="H692">
            <v>-2.460850111856816E-3</v>
          </cell>
          <cell r="T692">
            <v>-5.5715533697867192E-2</v>
          </cell>
        </row>
        <row r="693">
          <cell r="C693">
            <v>289.83999999999997</v>
          </cell>
          <cell r="F693">
            <v>-6.8870995374338273E-3</v>
          </cell>
          <cell r="G693">
            <v>1.8522057418377535E-3</v>
          </cell>
          <cell r="H693">
            <v>-9.0827539807132318E-3</v>
          </cell>
          <cell r="T693">
            <v>-6.2218914808942594E-2</v>
          </cell>
        </row>
        <row r="694">
          <cell r="C694">
            <v>292.58999999999997</v>
          </cell>
          <cell r="F694">
            <v>9.4879933756555346E-3</v>
          </cell>
          <cell r="G694">
            <v>3.4627969421743288E-3</v>
          </cell>
          <cell r="H694">
            <v>7.0159556410545054E-3</v>
          </cell>
          <cell r="T694">
            <v>-5.332125408483479E-2</v>
          </cell>
        </row>
        <row r="695">
          <cell r="C695">
            <v>293.64999999999998</v>
          </cell>
          <cell r="F695">
            <v>3.6228169110359421E-3</v>
          </cell>
          <cell r="G695">
            <v>7.3111172849427142E-4</v>
          </cell>
          <cell r="H695">
            <v>-5.8433531857511323E-3</v>
          </cell>
          <cell r="T695">
            <v>-4.9891610314815038E-2</v>
          </cell>
        </row>
        <row r="696">
          <cell r="C696">
            <v>294.87</v>
          </cell>
          <cell r="F696">
            <v>4.1546058232591054E-3</v>
          </cell>
          <cell r="G696">
            <v>1.8995017460805563E-3</v>
          </cell>
          <cell r="H696">
            <v>-3.2779473267773307E-3</v>
          </cell>
          <cell r="T696">
            <v>-4.594428446630161E-2</v>
          </cell>
        </row>
        <row r="697">
          <cell r="C697">
            <v>295.77999999999997</v>
          </cell>
          <cell r="F697">
            <v>3.0861057415130233E-3</v>
          </cell>
          <cell r="G697">
            <v>-3.0042730680045482E-3</v>
          </cell>
          <cell r="H697">
            <v>-1.3835336811068411E-2</v>
          </cell>
          <cell r="T697">
            <v>-4.2999967644869797E-2</v>
          </cell>
        </row>
        <row r="698">
          <cell r="C698">
            <v>291.04000000000002</v>
          </cell>
          <cell r="F698">
            <v>-1.6025424301845836E-2</v>
          </cell>
          <cell r="G698">
            <v>-8.630399485102247E-4</v>
          </cell>
          <cell r="H698">
            <v>-2.069917203311733E-3</v>
          </cell>
          <cell r="T698">
            <v>-5.8336299220240972E-2</v>
          </cell>
        </row>
        <row r="699">
          <cell r="C699">
            <v>296.77</v>
          </cell>
          <cell r="F699">
            <v>1.9688015393072966E-2</v>
          </cell>
          <cell r="G699">
            <v>6.6321152494730473E-3</v>
          </cell>
          <cell r="H699">
            <v>1.9589767227471855E-2</v>
          </cell>
          <cell r="T699">
            <v>-3.9796809784191089E-2</v>
          </cell>
        </row>
        <row r="700">
          <cell r="C700">
            <v>299.27</v>
          </cell>
          <cell r="F700">
            <v>8.4240320787141165E-3</v>
          </cell>
          <cell r="G700">
            <v>2.3270357927192009E-3</v>
          </cell>
          <cell r="H700">
            <v>1.9891500904158921E-2</v>
          </cell>
          <cell r="T700">
            <v>-3.170802730772937E-2</v>
          </cell>
        </row>
        <row r="701">
          <cell r="C701">
            <v>295.94</v>
          </cell>
          <cell r="F701">
            <v>-1.112707588465256E-2</v>
          </cell>
          <cell r="G701">
            <v>-1.0752064077078183E-2</v>
          </cell>
          <cell r="H701">
            <v>6.6489361702126715E-4</v>
          </cell>
          <cell r="T701">
            <v>-4.2482285566376343E-2</v>
          </cell>
        </row>
        <row r="702">
          <cell r="C702">
            <v>296.68</v>
          </cell>
          <cell r="F702">
            <v>2.5005068594985413E-3</v>
          </cell>
          <cell r="G702">
            <v>-1.5107955878901347E-3</v>
          </cell>
          <cell r="H702">
            <v>-6.6445182724250706E-4</v>
          </cell>
          <cell r="T702">
            <v>-4.0088005953343719E-2</v>
          </cell>
        </row>
        <row r="703">
          <cell r="C703">
            <v>292.01</v>
          </cell>
          <cell r="F703">
            <v>-1.5740865579075169E-2</v>
          </cell>
          <cell r="G703">
            <v>-2.7323608479132844E-3</v>
          </cell>
          <cell r="H703">
            <v>-2.6595744680850686E-3</v>
          </cell>
          <cell r="T703">
            <v>-5.5197851619374072E-2</v>
          </cell>
        </row>
        <row r="704">
          <cell r="C704">
            <v>285.41000000000003</v>
          </cell>
          <cell r="F704">
            <v>-2.2601965686106507E-2</v>
          </cell>
          <cell r="G704">
            <v>-1.1003579477661396E-2</v>
          </cell>
          <cell r="H704">
            <v>4.2222222222221273E-3</v>
          </cell>
          <cell r="T704">
            <v>-7.6552237357232711E-2</v>
          </cell>
        </row>
        <row r="705">
          <cell r="C705">
            <v>288.33999999999997</v>
          </cell>
          <cell r="F705">
            <v>1.0265933218877921E-2</v>
          </cell>
          <cell r="G705">
            <v>7.5513851653261632E-3</v>
          </cell>
          <cell r="H705">
            <v>-4.4257579110418277E-4</v>
          </cell>
          <cell r="T705">
            <v>-6.7072184294819759E-2</v>
          </cell>
        </row>
        <row r="706">
          <cell r="C706">
            <v>291.87</v>
          </cell>
          <cell r="F706">
            <v>1.2242491503086761E-2</v>
          </cell>
          <cell r="G706">
            <v>6.0904400786434554E-3</v>
          </cell>
          <cell r="H706">
            <v>4.4277175116227419E-3</v>
          </cell>
          <cell r="T706">
            <v>-5.565082343805583E-2</v>
          </cell>
        </row>
        <row r="707">
          <cell r="C707">
            <v>291.88</v>
          </cell>
          <cell r="F707">
            <v>3.4261828896431368E-5</v>
          </cell>
          <cell r="G707">
            <v>6.2298887729763663E-3</v>
          </cell>
          <cell r="H707">
            <v>6.612298875909195E-3</v>
          </cell>
          <cell r="T707">
            <v>-5.5618468308149982E-2</v>
          </cell>
        </row>
        <row r="708">
          <cell r="C708">
            <v>292.83999999999997</v>
          </cell>
          <cell r="F708">
            <v>3.289022886117543E-3</v>
          </cell>
          <cell r="G708">
            <v>4.570477344742585E-3</v>
          </cell>
          <cell r="H708">
            <v>1.7516969564264073E-3</v>
          </cell>
          <cell r="T708">
            <v>-5.2512375837188818E-2</v>
          </cell>
        </row>
        <row r="709">
          <cell r="C709">
            <v>293.64</v>
          </cell>
          <cell r="F709">
            <v>2.7318672312526271E-3</v>
          </cell>
          <cell r="G709">
            <v>3.5176463747892406E-3</v>
          </cell>
          <cell r="H709">
            <v>1.9672131147541183E-3</v>
          </cell>
          <cell r="T709">
            <v>-4.9923965444720997E-2</v>
          </cell>
        </row>
        <row r="710">
          <cell r="C710">
            <v>294.2</v>
          </cell>
          <cell r="F710">
            <v>1.9070971257322267E-3</v>
          </cell>
          <cell r="G710">
            <v>-1.0139343549930846E-4</v>
          </cell>
          <cell r="H710">
            <v>5.8900523560208029E-3</v>
          </cell>
          <cell r="T710">
            <v>-4.8112078169993522E-2</v>
          </cell>
        </row>
        <row r="711">
          <cell r="C711">
            <v>292.02</v>
          </cell>
          <cell r="F711">
            <v>-7.4099252209381961E-3</v>
          </cell>
          <cell r="G711">
            <v>-3.5636163462791082E-3</v>
          </cell>
          <cell r="H711">
            <v>-8.0242897419214865E-3</v>
          </cell>
          <cell r="T711">
            <v>-5.5165496489468113E-2</v>
          </cell>
        </row>
        <row r="712">
          <cell r="C712">
            <v>288.88</v>
          </cell>
          <cell r="F712">
            <v>-1.0752688172043001E-2</v>
          </cell>
          <cell r="G712">
            <v>-1.221196481791087E-3</v>
          </cell>
          <cell r="H712">
            <v>-2.1862702230002196E-4</v>
          </cell>
          <cell r="T712">
            <v>-6.5325007279903868E-2</v>
          </cell>
        </row>
        <row r="713">
          <cell r="C713">
            <v>285.22000000000003</v>
          </cell>
          <cell r="F713">
            <v>-1.2669620603710796E-2</v>
          </cell>
          <cell r="G713">
            <v>-7.4089169007729438E-3</v>
          </cell>
          <cell r="H713">
            <v>-8.3096435600261698E-3</v>
          </cell>
          <cell r="T713">
            <v>-7.7166984825443596E-2</v>
          </cell>
        </row>
        <row r="714">
          <cell r="C714">
            <v>292.64999999999998</v>
          </cell>
          <cell r="F714">
            <v>2.6050066615244116E-2</v>
          </cell>
          <cell r="G714">
            <v>1.8330595964335394E-3</v>
          </cell>
          <cell r="H714">
            <v>1.6979051819184132E-2</v>
          </cell>
          <cell r="T714">
            <v>-5.3127123305399926E-2</v>
          </cell>
        </row>
        <row r="715">
          <cell r="C715">
            <v>296.67</v>
          </cell>
          <cell r="F715">
            <v>1.3736545361353381E-2</v>
          </cell>
          <cell r="G715">
            <v>6.6601285185239334E-3</v>
          </cell>
          <cell r="H715">
            <v>9.9739809193408746E-3</v>
          </cell>
          <cell r="T715">
            <v>-4.0120361083249345E-2</v>
          </cell>
        </row>
        <row r="716">
          <cell r="C716">
            <v>299.85000000000002</v>
          </cell>
          <cell r="F716">
            <v>1.071898068561028E-2</v>
          </cell>
          <cell r="G716">
            <v>5.9471878089918384E-3</v>
          </cell>
          <cell r="H716">
            <v>1.9750966079862708E-2</v>
          </cell>
          <cell r="T716">
            <v>-2.9831429773190088E-2</v>
          </cell>
        </row>
        <row r="717">
          <cell r="C717">
            <v>292.12</v>
          </cell>
          <cell r="F717">
            <v>-2.5779556444889162E-2</v>
          </cell>
          <cell r="G717">
            <v>-3.223428397970407E-3</v>
          </cell>
          <cell r="H717">
            <v>-1.7263157894736869E-2</v>
          </cell>
          <cell r="T717">
            <v>-5.4841945190409525E-2</v>
          </cell>
        </row>
        <row r="718">
          <cell r="C718">
            <v>299.13</v>
          </cell>
          <cell r="F718">
            <v>2.3996987539367298E-2</v>
          </cell>
          <cell r="G718">
            <v>-1.0151106470612792E-4</v>
          </cell>
          <cell r="H718">
            <v>1.7566409597257859E-2</v>
          </cell>
          <cell r="T718">
            <v>-3.2160999126411238E-2</v>
          </cell>
        </row>
        <row r="719">
          <cell r="C719">
            <v>311.62</v>
          </cell>
          <cell r="F719">
            <v>4.1754421154681864E-2</v>
          </cell>
          <cell r="G719">
            <v>6.613392119041217E-3</v>
          </cell>
          <cell r="H719">
            <v>1.6000000000000014E-2</v>
          </cell>
          <cell r="T719">
            <v>0</v>
          </cell>
        </row>
        <row r="720">
          <cell r="C720">
            <v>309.62</v>
          </cell>
          <cell r="F720">
            <v>-6.4180732943970309E-3</v>
          </cell>
          <cell r="G720">
            <v>1.5704467849062542E-3</v>
          </cell>
          <cell r="H720">
            <v>5.3874844591794702E-3</v>
          </cell>
          <cell r="T720">
            <v>-6.4180732943970309E-3</v>
          </cell>
        </row>
        <row r="721">
          <cell r="C721">
            <v>311.04000000000002</v>
          </cell>
          <cell r="F721">
            <v>4.5862670370131475E-3</v>
          </cell>
          <cell r="G721">
            <v>-1.9995396743195393E-3</v>
          </cell>
          <cell r="H721">
            <v>4.3281121187137561E-3</v>
          </cell>
          <cell r="T721">
            <v>-1.8612412553751234E-3</v>
          </cell>
        </row>
        <row r="722">
          <cell r="C722">
            <v>298.48</v>
          </cell>
          <cell r="F722">
            <v>-4.0380658436213968E-2</v>
          </cell>
          <cell r="G722">
            <v>-4.9151736166164195E-3</v>
          </cell>
          <cell r="H722">
            <v>4.1042478965724882E-4</v>
          </cell>
          <cell r="T722">
            <v>-4.2166741544188424E-2</v>
          </cell>
        </row>
        <row r="723">
          <cell r="C723">
            <v>301.70999999999998</v>
          </cell>
          <cell r="F723">
            <v>1.0821495577592932E-2</v>
          </cell>
          <cell r="G723">
            <v>2.7232168723565486E-3</v>
          </cell>
          <cell r="H723">
            <v>4.3076923076923457E-3</v>
          </cell>
          <cell r="T723">
            <v>-3.1801553173737451E-2</v>
          </cell>
        </row>
        <row r="724">
          <cell r="C724">
            <v>305.97000000000003</v>
          </cell>
          <cell r="F724">
            <v>1.4119518743164194E-2</v>
          </cell>
          <cell r="G724">
            <v>-8.378597018375844E-4</v>
          </cell>
          <cell r="H724">
            <v>-5.7189542483659928E-3</v>
          </cell>
          <cell r="T724">
            <v>-1.8131057056671507E-2</v>
          </cell>
        </row>
        <row r="725">
          <cell r="C725">
            <v>296.14999999999998</v>
          </cell>
          <cell r="F725">
            <v>-3.2094649802268393E-2</v>
          </cell>
          <cell r="G725">
            <v>-2.035682271636341E-2</v>
          </cell>
          <cell r="H725">
            <v>-1.0065735414954813E-2</v>
          </cell>
          <cell r="T725">
            <v>-4.9643796932161144E-2</v>
          </cell>
        </row>
        <row r="726">
          <cell r="C726">
            <v>299.01</v>
          </cell>
          <cell r="F726">
            <v>9.6572682762114948E-3</v>
          </cell>
          <cell r="G726">
            <v>1.1541072640868899E-2</v>
          </cell>
          <cell r="H726">
            <v>2.1788752853289184E-2</v>
          </cell>
          <cell r="T726">
            <v>-4.0465952121173321E-2</v>
          </cell>
        </row>
        <row r="727">
          <cell r="C727">
            <v>303.27</v>
          </cell>
          <cell r="F727">
            <v>1.4247015149994935E-2</v>
          </cell>
          <cell r="G727">
            <v>5.2232273125183415E-3</v>
          </cell>
          <cell r="H727">
            <v>5.6864337936637366E-3</v>
          </cell>
          <cell r="T727">
            <v>-2.6795456004107598E-2</v>
          </cell>
        </row>
        <row r="728">
          <cell r="C728">
            <v>300.07</v>
          </cell>
          <cell r="F728">
            <v>-1.0551653641969194E-2</v>
          </cell>
          <cell r="G728">
            <v>3.62855235275239E-4</v>
          </cell>
          <cell r="H728">
            <v>9.0872374798061095E-3</v>
          </cell>
          <cell r="T728">
            <v>-3.7064373275142892E-2</v>
          </cell>
        </row>
        <row r="729">
          <cell r="C729">
            <v>300.39999999999998</v>
          </cell>
          <cell r="F729">
            <v>1.0997433932082856E-3</v>
          </cell>
          <cell r="G729">
            <v>5.0781306675564686E-3</v>
          </cell>
          <cell r="H729">
            <v>1.2007204322594944E-3</v>
          </cell>
          <cell r="T729">
            <v>-3.6005391181567314E-2</v>
          </cell>
        </row>
        <row r="730">
          <cell r="C730">
            <v>298.67</v>
          </cell>
          <cell r="F730">
            <v>-5.7589880159785167E-3</v>
          </cell>
          <cell r="G730">
            <v>3.9842362825344146E-3</v>
          </cell>
          <cell r="H730">
            <v>-9.9940035978418607E-4</v>
          </cell>
          <cell r="T730">
            <v>-4.1557024581220459E-2</v>
          </cell>
        </row>
        <row r="731">
          <cell r="C731">
            <v>299.73</v>
          </cell>
          <cell r="F731">
            <v>3.5490675327285448E-3</v>
          </cell>
          <cell r="G731">
            <v>-1.0064846367319191E-4</v>
          </cell>
          <cell r="H731">
            <v>-6.0024009603831807E-4</v>
          </cell>
          <cell r="T731">
            <v>-3.8155445735189919E-2</v>
          </cell>
        </row>
        <row r="732">
          <cell r="C732">
            <v>299.47000000000003</v>
          </cell>
          <cell r="F732">
            <v>-8.6744736929900146E-4</v>
          </cell>
          <cell r="G732">
            <v>-1.9844122976042655E-3</v>
          </cell>
          <cell r="H732">
            <v>1.0010010010008674E-3</v>
          </cell>
          <cell r="T732">
            <v>-3.898979526346158E-2</v>
          </cell>
        </row>
        <row r="733">
          <cell r="C733">
            <v>300.54000000000002</v>
          </cell>
          <cell r="F733">
            <v>3.5729789294420833E-3</v>
          </cell>
          <cell r="G733">
            <v>-2.9825370295659681E-3</v>
          </cell>
          <cell r="H733">
            <v>-1.4599999999999946E-2</v>
          </cell>
          <cell r="T733">
            <v>-3.5556126050959147E-2</v>
          </cell>
        </row>
        <row r="734">
          <cell r="C734">
            <v>305.92</v>
          </cell>
          <cell r="F734">
            <v>1.7901111332933928E-2</v>
          </cell>
          <cell r="G734">
            <v>4.9713137852795963E-3</v>
          </cell>
          <cell r="H734">
            <v>7.7126040186725753E-3</v>
          </cell>
          <cell r="T734">
            <v>-1.8291508889031194E-2</v>
          </cell>
        </row>
        <row r="735">
          <cell r="C735">
            <v>311.01</v>
          </cell>
          <cell r="F735">
            <v>1.6638336820083532E-2</v>
          </cell>
          <cell r="G735">
            <v>-8.4554435512862458E-3</v>
          </cell>
          <cell r="H735">
            <v>2.1148036253776592E-2</v>
          </cell>
          <cell r="T735">
            <v>-1.9575123547909135E-3</v>
          </cell>
        </row>
        <row r="736">
          <cell r="C736">
            <v>311.49</v>
          </cell>
          <cell r="F736">
            <v>1.5433587344459987E-3</v>
          </cell>
          <cell r="G736">
            <v>-4.8438791640681433E-3</v>
          </cell>
          <cell r="H736">
            <v>2.3471400394477371E-2</v>
          </cell>
          <cell r="T736">
            <v>-4.1717476413549726E-4</v>
          </cell>
        </row>
        <row r="737">
          <cell r="C737">
            <v>310.76</v>
          </cell>
          <cell r="F737">
            <v>-2.3435744325661645E-3</v>
          </cell>
          <cell r="G737">
            <v>-1.2489252247919747E-2</v>
          </cell>
          <cell r="H737">
            <v>-2.678743495856617E-2</v>
          </cell>
          <cell r="T737">
            <v>-2.7597715165904591E-3</v>
          </cell>
        </row>
        <row r="738">
          <cell r="C738">
            <v>323.72000000000003</v>
          </cell>
          <cell r="F738">
            <v>4.1704209035912099E-2</v>
          </cell>
          <cell r="G738">
            <v>1.9184793837254022E-2</v>
          </cell>
          <cell r="H738">
            <v>2.0000000000000018E-2</v>
          </cell>
          <cell r="T738">
            <v>0</v>
          </cell>
        </row>
        <row r="739">
          <cell r="C739">
            <v>327.32</v>
          </cell>
          <cell r="F739">
            <v>1.112072161126898E-2</v>
          </cell>
          <cell r="G739">
            <v>4.8217543656425832E-3</v>
          </cell>
          <cell r="H739">
            <v>1.3007183071248374E-2</v>
          </cell>
          <cell r="T739">
            <v>0</v>
          </cell>
        </row>
        <row r="740">
          <cell r="C740">
            <v>330.37</v>
          </cell>
          <cell r="F740">
            <v>9.3180984968839198E-3</v>
          </cell>
          <cell r="G740">
            <v>-2.6370775992506923E-3</v>
          </cell>
          <cell r="H740">
            <v>1.3990034495975356E-2</v>
          </cell>
          <cell r="T740">
            <v>0</v>
          </cell>
        </row>
        <row r="741">
          <cell r="C741">
            <v>319.77999999999997</v>
          </cell>
          <cell r="F741">
            <v>-3.2054968671489603E-2</v>
          </cell>
          <cell r="G741">
            <v>-2.3117378489279083E-4</v>
          </cell>
          <cell r="H741">
            <v>1.3419013419013526E-2</v>
          </cell>
          <cell r="T741">
            <v>-3.2054968671489603E-2</v>
          </cell>
        </row>
        <row r="742">
          <cell r="C742">
            <v>321.92</v>
          </cell>
          <cell r="F742">
            <v>6.6921008193134845E-3</v>
          </cell>
          <cell r="G742">
            <v>-1.5448869876871552E-2</v>
          </cell>
          <cell r="H742">
            <v>-1.4733308466989947E-2</v>
          </cell>
          <cell r="T742">
            <v>-2.5577382934285686E-2</v>
          </cell>
        </row>
        <row r="743">
          <cell r="C743">
            <v>327.64999999999998</v>
          </cell>
          <cell r="F743">
            <v>1.7799453280318067E-2</v>
          </cell>
          <cell r="G743">
            <v>7.0456647144312434E-4</v>
          </cell>
          <cell r="H743">
            <v>9.0857467348097742E-3</v>
          </cell>
          <cell r="T743">
            <v>-8.2331930865391367E-3</v>
          </cell>
        </row>
        <row r="744">
          <cell r="C744">
            <v>302.22000000000003</v>
          </cell>
          <cell r="F744">
            <v>-7.7613306882343802E-2</v>
          </cell>
          <cell r="G744">
            <v>1.6134946828016972E-3</v>
          </cell>
          <cell r="H744">
            <v>-1.1442506096417171E-2</v>
          </cell>
          <cell r="T744">
            <v>-8.5207494627235869E-2</v>
          </cell>
        </row>
        <row r="745">
          <cell r="C745">
            <v>299.36</v>
          </cell>
          <cell r="F745">
            <v>-9.4633048772417849E-3</v>
          </cell>
          <cell r="G745">
            <v>5.037709599472695E-3</v>
          </cell>
          <cell r="H745">
            <v>6.0721062618596111E-3</v>
          </cell>
          <cell r="T745">
            <v>-9.3864455004994185E-2</v>
          </cell>
        </row>
        <row r="746">
          <cell r="C746">
            <v>302.85000000000002</v>
          </cell>
          <cell r="F746">
            <v>1.1658204168893738E-2</v>
          </cell>
          <cell r="G746">
            <v>-2.6373690422415441E-3</v>
          </cell>
          <cell r="H746">
            <v>-3.583553376084625E-3</v>
          </cell>
          <cell r="T746">
            <v>-8.3300541816750617E-2</v>
          </cell>
        </row>
        <row r="747">
          <cell r="C747">
            <v>305.29000000000002</v>
          </cell>
          <cell r="F747">
            <v>8.0567937923063937E-3</v>
          </cell>
          <cell r="G747">
            <v>7.2317671809256634E-3</v>
          </cell>
          <cell r="H747">
            <v>2.4607230740110175E-3</v>
          </cell>
          <cell r="T747">
            <v>-7.5914883312649173E-2</v>
          </cell>
        </row>
        <row r="748">
          <cell r="C748">
            <v>310.79000000000002</v>
          </cell>
          <cell r="F748">
            <v>1.8015657243932059E-2</v>
          </cell>
          <cell r="G748">
            <v>-1.0211334000551076E-2</v>
          </cell>
          <cell r="H748">
            <v>0</v>
          </cell>
          <cell r="T748">
            <v>-5.9266882586190839E-2</v>
          </cell>
        </row>
        <row r="749">
          <cell r="C749">
            <v>317.89</v>
          </cell>
          <cell r="F749">
            <v>2.284500788313637E-2</v>
          </cell>
          <cell r="G749">
            <v>7.2685707586570558E-3</v>
          </cell>
          <cell r="H749">
            <v>7.5528700906344337E-3</v>
          </cell>
          <cell r="T749">
            <v>-3.7775827102945025E-2</v>
          </cell>
        </row>
        <row r="750">
          <cell r="C750">
            <v>305.52999999999997</v>
          </cell>
          <cell r="F750">
            <v>-3.8881374060209528E-2</v>
          </cell>
          <cell r="G750">
            <v>8.4382046992070858E-3</v>
          </cell>
          <cell r="H750">
            <v>-5.6221889055472207E-3</v>
          </cell>
          <cell r="T750">
            <v>-7.5188425099131151E-2</v>
          </cell>
        </row>
        <row r="751">
          <cell r="C751">
            <v>308.99</v>
          </cell>
          <cell r="F751">
            <v>1.1324583510621045E-2</v>
          </cell>
          <cell r="G751">
            <v>-5.5543533145784307E-3</v>
          </cell>
          <cell r="H751">
            <v>-1.1307953260459858E-3</v>
          </cell>
          <cell r="T751">
            <v>-6.4715319187577225E-2</v>
          </cell>
        </row>
        <row r="752">
          <cell r="C752">
            <v>310</v>
          </cell>
          <cell r="F752">
            <v>3.2687141978704481E-3</v>
          </cell>
          <cell r="G752">
            <v>-4.8019730161031893E-3</v>
          </cell>
          <cell r="H752">
            <v>7.7358490566037386E-3</v>
          </cell>
          <cell r="T752">
            <v>-6.1658140872354994E-2</v>
          </cell>
        </row>
        <row r="753">
          <cell r="C753">
            <v>306.2</v>
          </cell>
          <cell r="F753">
            <v>-1.2258064516129097E-2</v>
          </cell>
          <cell r="G753">
            <v>5.6852140701768583E-4</v>
          </cell>
          <cell r="H753">
            <v>-2.9956936903201559E-3</v>
          </cell>
          <cell r="T753">
            <v>-7.3160395919726229E-2</v>
          </cell>
        </row>
        <row r="754">
          <cell r="C754">
            <v>300</v>
          </cell>
          <cell r="F754">
            <v>-2.0248203788373553E-2</v>
          </cell>
          <cell r="G754">
            <v>-8.8143593927560993E-3</v>
          </cell>
          <cell r="H754">
            <v>-2.4600938967136221E-2</v>
          </cell>
          <cell r="T754">
            <v>-9.1927233102279016E-2</v>
          </cell>
        </row>
        <row r="755">
          <cell r="B755">
            <v>46085</v>
          </cell>
          <cell r="C755">
            <v>295.98</v>
          </cell>
          <cell r="D755">
            <v>685.13</v>
          </cell>
          <cell r="E755">
            <v>51.92</v>
          </cell>
          <cell r="F755">
            <v>-1.3399999999999967E-2</v>
          </cell>
          <cell r="G755">
            <v>7.0553995854951701E-3</v>
          </cell>
          <cell r="H755">
            <v>-3.850596842509546E-4</v>
          </cell>
          <cell r="T755">
            <v>-0.10409540817870844</v>
          </cell>
        </row>
        <row r="834">
          <cell r="C834">
            <v>4366.7</v>
          </cell>
          <cell r="D834">
            <v>4916.6000000000004</v>
          </cell>
          <cell r="E834">
            <v>3893.9</v>
          </cell>
          <cell r="F834">
            <v>3910</v>
          </cell>
          <cell r="G834">
            <v>3935.3</v>
          </cell>
        </row>
        <row r="905">
          <cell r="C905">
            <v>1576.9</v>
          </cell>
        </row>
        <row r="996">
          <cell r="C996">
            <v>239.7</v>
          </cell>
          <cell r="D996">
            <v>191.2</v>
          </cell>
          <cell r="E996">
            <v>196.1</v>
          </cell>
          <cell r="F996">
            <v>169.2</v>
          </cell>
          <cell r="G996">
            <v>149.30000000000001</v>
          </cell>
        </row>
        <row r="1153">
          <cell r="C1153">
            <v>677.7</v>
          </cell>
        </row>
        <row r="1192">
          <cell r="C1192">
            <v>1135.3</v>
          </cell>
          <cell r="D1192">
            <v>806.1</v>
          </cell>
          <cell r="E1192">
            <v>664.2</v>
          </cell>
          <cell r="F1192">
            <v>535.6</v>
          </cell>
          <cell r="G1192">
            <v>560.6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BDEE8C-F05E-274C-92AC-5555CFEA1CBA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89999084444715716"/>
  </sheetPr>
  <dimension ref="A1:U815"/>
  <sheetViews>
    <sheetView showGridLines="0" zoomScale="85" zoomScaleNormal="85" workbookViewId="0">
      <selection activeCell="B17" sqref="B17"/>
    </sheetView>
  </sheetViews>
  <sheetFormatPr baseColWidth="10" defaultColWidth="0" defaultRowHeight="16" x14ac:dyDescent="0.2"/>
  <cols>
    <col min="1" max="1" width="1.6640625" style="4" customWidth="1"/>
    <col min="2" max="2" width="25" style="4" customWidth="1"/>
    <col min="3" max="5" width="14.1640625" style="4" customWidth="1"/>
    <col min="6" max="8" width="13.33203125" style="4" customWidth="1"/>
    <col min="9" max="11" width="15" style="4" customWidth="1"/>
    <col min="12" max="14" width="13.33203125" style="4" customWidth="1"/>
    <col min="15" max="16" width="15" style="4" customWidth="1"/>
    <col min="17" max="21" width="13.33203125" style="4" customWidth="1"/>
    <col min="22" max="38" width="10.83203125" style="4" hidden="1" customWidth="1"/>
    <col min="39" max="16384" width="10.83203125" style="4" hidden="1"/>
  </cols>
  <sheetData>
    <row r="1" spans="1:21" ht="22" customHeight="1" x14ac:dyDescent="0.2">
      <c r="B1" s="234" t="s">
        <v>211</v>
      </c>
      <c r="C1" s="235"/>
      <c r="D1" s="235"/>
      <c r="E1" s="235"/>
    </row>
    <row r="2" spans="1:21" x14ac:dyDescent="0.2">
      <c r="A2" s="256"/>
      <c r="B2" s="256"/>
      <c r="C2" s="260"/>
      <c r="D2" s="256"/>
      <c r="E2" s="260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</row>
    <row r="3" spans="1:21" x14ac:dyDescent="0.2">
      <c r="A3" s="256"/>
      <c r="B3" s="261" t="s">
        <v>212</v>
      </c>
      <c r="C3" s="262"/>
      <c r="D3" s="261" t="s">
        <v>213</v>
      </c>
      <c r="E3" s="263"/>
      <c r="F3" s="256"/>
      <c r="G3" s="256"/>
      <c r="H3" s="256"/>
      <c r="I3" s="256"/>
      <c r="J3" s="256"/>
      <c r="K3" s="256"/>
      <c r="M3" s="256"/>
      <c r="N3" s="256"/>
      <c r="O3" s="256"/>
      <c r="P3" s="256"/>
      <c r="Q3" s="256"/>
      <c r="R3" s="256"/>
      <c r="S3" s="256"/>
      <c r="T3" s="256"/>
      <c r="U3" s="256"/>
    </row>
    <row r="4" spans="1:21" ht="18" customHeight="1" x14ac:dyDescent="0.2">
      <c r="B4" s="257" t="s">
        <v>212</v>
      </c>
      <c r="C4" s="258"/>
      <c r="D4" s="257" t="s">
        <v>213</v>
      </c>
      <c r="E4" s="259"/>
      <c r="L4" s="256"/>
    </row>
    <row r="5" spans="1:21" x14ac:dyDescent="0.2">
      <c r="B5" s="237" t="s">
        <v>214</v>
      </c>
      <c r="C5" s="5" t="s">
        <v>215</v>
      </c>
      <c r="D5" s="237" t="s">
        <v>216</v>
      </c>
      <c r="E5" s="240">
        <f>'[1]Sheet9_Financial Data'!C755</f>
        <v>295.98</v>
      </c>
      <c r="L5" s="276">
        <f>2/(50+1)</f>
        <v>3.9215686274509803E-2</v>
      </c>
    </row>
    <row r="6" spans="1:21" x14ac:dyDescent="0.2">
      <c r="B6" s="237" t="s">
        <v>217</v>
      </c>
      <c r="C6" s="3" t="s">
        <v>218</v>
      </c>
      <c r="D6" s="237" t="s">
        <v>219</v>
      </c>
      <c r="E6" s="239" t="s">
        <v>220</v>
      </c>
    </row>
    <row r="7" spans="1:21" x14ac:dyDescent="0.2">
      <c r="B7" s="237" t="s">
        <v>221</v>
      </c>
      <c r="C7" s="3" t="s">
        <v>222</v>
      </c>
      <c r="D7" s="237" t="s">
        <v>223</v>
      </c>
      <c r="E7" s="241">
        <f>MAX('[1]Sheet9_Financial Data'!C503:C754)</f>
        <v>330.37</v>
      </c>
    </row>
    <row r="8" spans="1:21" x14ac:dyDescent="0.2">
      <c r="B8" s="237" t="s">
        <v>224</v>
      </c>
      <c r="C8" s="3" t="s">
        <v>225</v>
      </c>
      <c r="D8" s="237" t="s">
        <v>226</v>
      </c>
      <c r="E8" s="241">
        <f>MIN('[1]Sheet9_Financial Data'!C504:C755)</f>
        <v>220.9</v>
      </c>
    </row>
    <row r="9" spans="1:21" x14ac:dyDescent="0.2">
      <c r="B9" s="237" t="s">
        <v>227</v>
      </c>
      <c r="C9" s="238">
        <f>'[1]Sheet9_Financial Data'!B4</f>
        <v>44991</v>
      </c>
      <c r="D9" s="237" t="s">
        <v>228</v>
      </c>
      <c r="E9" s="16">
        <f>AVERAGE('[1]Sheet9_Financial Data'!F5:F755)</f>
        <v>7.7916930020750081E-4</v>
      </c>
    </row>
    <row r="10" spans="1:21" x14ac:dyDescent="0.2">
      <c r="B10" s="237" t="s">
        <v>229</v>
      </c>
      <c r="C10" s="238">
        <f>'[1]Sheet9_Financial Data'!B755</f>
        <v>46085</v>
      </c>
      <c r="D10" s="237" t="s">
        <v>230</v>
      </c>
      <c r="E10" s="242">
        <v>0.04</v>
      </c>
    </row>
    <row r="11" spans="1:21" x14ac:dyDescent="0.2">
      <c r="B11" s="237" t="s">
        <v>231</v>
      </c>
      <c r="C11" s="3">
        <v>252</v>
      </c>
      <c r="D11" s="237" t="s">
        <v>232</v>
      </c>
      <c r="E11" s="71">
        <f>2/(200+1)</f>
        <v>9.9502487562189053E-3</v>
      </c>
    </row>
    <row r="13" spans="1:21" ht="18" customHeight="1" x14ac:dyDescent="0.2">
      <c r="B13" s="93" t="s">
        <v>233</v>
      </c>
      <c r="C13" s="93" t="s">
        <v>234</v>
      </c>
      <c r="D13" s="93" t="s">
        <v>235</v>
      </c>
      <c r="E13" s="93" t="s">
        <v>225</v>
      </c>
    </row>
    <row r="14" spans="1:21" x14ac:dyDescent="0.2">
      <c r="B14" s="225" t="s">
        <v>236</v>
      </c>
      <c r="C14" s="71">
        <f t="array" ref="C14">GEOMEAN(1+'[1]Sheet9_Financial Data'!F$5:F$755)^$C$11-1</f>
        <v>0.18207783661683608</v>
      </c>
      <c r="D14" s="71">
        <f t="array" ref="D14">GEOMEAN(1+'[1]Sheet9_Financial Data'!G$5:G$755)^$C$11-1</f>
        <v>0.19344804191554488</v>
      </c>
      <c r="E14" s="71">
        <f t="array" ref="E14">GEOMEAN(1+'[1]Sheet9_Financial Data'!H$5:H$755)^$C$11-1</f>
        <v>7.7063972339763476E-2</v>
      </c>
    </row>
    <row r="15" spans="1:21" x14ac:dyDescent="0.2">
      <c r="B15" s="225" t="s">
        <v>237</v>
      </c>
      <c r="C15" s="71">
        <f>_xlfn.STDEV.S('[1]Sheet9_Financial Data'!F5:F755)*SQRT($C$11)</f>
        <v>0.24100121170774341</v>
      </c>
      <c r="D15" s="71">
        <f>_xlfn.STDEV.S('[1]Sheet9_Financial Data'!G5:G755)*SQRT($C$11)</f>
        <v>0.15160814132848877</v>
      </c>
      <c r="E15" s="71">
        <f>_xlfn.STDEV.S('[1]Sheet9_Financial Data'!H5:H755)*SQRT($C$11)</f>
        <v>0.17071210456219382</v>
      </c>
    </row>
    <row r="16" spans="1:21" x14ac:dyDescent="0.2">
      <c r="B16" s="225" t="s">
        <v>238</v>
      </c>
      <c r="C16" s="244">
        <f>'[1]Sheet9_Financial Data'!C755/'[1]Sheet9_Financial Data'!C4 - 1</f>
        <v>0.64625396295678317</v>
      </c>
      <c r="D16" s="244">
        <f>'[1]Sheet9_Financial Data'!D755/'[1]Sheet9_Financial Data'!D4 - 1</f>
        <v>0.69389571538062134</v>
      </c>
      <c r="E16" s="244">
        <f>'[1]Sheet9_Financial Data'!E755/'[1]Sheet9_Financial Data'!E4 - 1</f>
        <v>0.24762705755136372</v>
      </c>
    </row>
    <row r="17" spans="2:5" x14ac:dyDescent="0.2">
      <c r="B17" s="225" t="s">
        <v>239</v>
      </c>
      <c r="C17" s="12">
        <f>SLOPE('[1]Sheet9_Financial Data'!$F$5:$F$755,'[1]Sheet9_Financial Data'!G5:G755)</f>
        <v>0.82769325769710733</v>
      </c>
      <c r="D17" s="13"/>
      <c r="E17" s="13"/>
    </row>
    <row r="18" spans="2:5" x14ac:dyDescent="0.2">
      <c r="B18" s="225" t="s">
        <v>240</v>
      </c>
      <c r="C18" s="12">
        <f>SLOPE('[1]Sheet9_Financial Data'!$F$5:$F$755,'[1]Sheet9_Financial Data'!H5:H755)</f>
        <v>0.79887867379573518</v>
      </c>
      <c r="D18" s="13"/>
      <c r="E18" s="13"/>
    </row>
    <row r="19" spans="2:5" x14ac:dyDescent="0.2">
      <c r="B19" s="225" t="s">
        <v>241</v>
      </c>
      <c r="C19" s="12">
        <f>(C14-E10)/C15</f>
        <v>0.58953162770455514</v>
      </c>
      <c r="D19" s="13"/>
      <c r="E19" s="13"/>
    </row>
    <row r="20" spans="2:5" x14ac:dyDescent="0.2">
      <c r="B20" s="225" t="s">
        <v>242</v>
      </c>
      <c r="C20" s="71">
        <f>MIN('[1]Sheet9_Financial Data'!T4:T755)</f>
        <v>-0.24429543977284363</v>
      </c>
      <c r="D20" s="13"/>
      <c r="E20" s="13"/>
    </row>
    <row r="63" spans="2:21" ht="18" customHeight="1" x14ac:dyDescent="0.2">
      <c r="B63" s="254" t="s">
        <v>243</v>
      </c>
      <c r="C63" s="254" t="s">
        <v>244</v>
      </c>
      <c r="D63" s="254" t="s">
        <v>245</v>
      </c>
      <c r="E63" s="254" t="s">
        <v>246</v>
      </c>
      <c r="F63" s="255" t="s">
        <v>247</v>
      </c>
      <c r="G63" s="255" t="s">
        <v>248</v>
      </c>
      <c r="H63" s="255" t="s">
        <v>249</v>
      </c>
      <c r="I63" s="255" t="s">
        <v>250</v>
      </c>
      <c r="J63" s="255" t="s">
        <v>251</v>
      </c>
      <c r="K63" s="255" t="s">
        <v>252</v>
      </c>
      <c r="L63" s="255" t="s">
        <v>253</v>
      </c>
      <c r="M63" s="255" t="s">
        <v>254</v>
      </c>
      <c r="N63" s="255" t="s">
        <v>255</v>
      </c>
      <c r="O63" s="255" t="s">
        <v>256</v>
      </c>
      <c r="P63" s="255" t="s">
        <v>257</v>
      </c>
      <c r="Q63" s="255" t="s">
        <v>258</v>
      </c>
      <c r="R63" s="255" t="s">
        <v>259</v>
      </c>
      <c r="S63" s="255" t="s">
        <v>260</v>
      </c>
      <c r="T63" s="255" t="s">
        <v>261</v>
      </c>
      <c r="U63" s="255" t="s">
        <v>262</v>
      </c>
    </row>
    <row r="64" spans="2:21" x14ac:dyDescent="0.2">
      <c r="B64" s="245">
        <v>44991</v>
      </c>
      <c r="C64" s="246">
        <v>179.79</v>
      </c>
      <c r="D64" s="246">
        <v>404.47</v>
      </c>
      <c r="E64" s="246">
        <v>41.615000000000002</v>
      </c>
      <c r="F64" s="247"/>
      <c r="G64" s="247"/>
      <c r="H64" s="247"/>
      <c r="I64" s="247">
        <v>0</v>
      </c>
      <c r="J64" s="247">
        <v>0</v>
      </c>
      <c r="K64" s="247">
        <v>0</v>
      </c>
      <c r="L64" s="250">
        <f t="shared" ref="L64:L127" si="0">(C64/$C$64)*100</f>
        <v>100</v>
      </c>
      <c r="M64" s="250">
        <f t="shared" ref="M64:M127" si="1">(D64/$D$64)*100</f>
        <v>100</v>
      </c>
      <c r="N64" s="250">
        <f t="shared" ref="N64:N127" si="2">(E64/$E$64)*100</f>
        <v>100</v>
      </c>
      <c r="O64" s="247">
        <f t="shared" ref="O64:O127" si="3">(1+I64)/(1+J64)-1</f>
        <v>0</v>
      </c>
      <c r="P64" s="247">
        <f t="shared" ref="P64:P127" si="4">(1+I64)/(1+K64)-1</f>
        <v>0</v>
      </c>
      <c r="Q64" s="251">
        <v>1</v>
      </c>
      <c r="R64" s="247">
        <v>1</v>
      </c>
      <c r="S64" s="247">
        <v>0</v>
      </c>
      <c r="T64" s="252">
        <f>C64</f>
        <v>179.79</v>
      </c>
      <c r="U64" s="252">
        <f>C64</f>
        <v>179.79</v>
      </c>
    </row>
    <row r="65" spans="2:21" x14ac:dyDescent="0.2">
      <c r="B65" s="245">
        <v>44992</v>
      </c>
      <c r="C65" s="246">
        <v>177.23</v>
      </c>
      <c r="D65" s="246">
        <v>398.27</v>
      </c>
      <c r="E65" s="246">
        <v>40.795000000000002</v>
      </c>
      <c r="F65" s="248">
        <f t="shared" ref="F65:F128" si="5">C65/C64-1</f>
        <v>-1.4238834195450245E-2</v>
      </c>
      <c r="G65" s="248">
        <f t="shared" ref="G65:G128" si="6">D65/D64 - 1</f>
        <v>-1.5328701757856056E-2</v>
      </c>
      <c r="H65" s="248">
        <f t="shared" ref="H65:H128" si="7">E65/E64 - 1</f>
        <v>-1.9704433497536922E-2</v>
      </c>
      <c r="I65" s="249">
        <f t="shared" ref="I65:I128" si="8">(1+F65)*(1+I64)-1</f>
        <v>-1.4238834195450245E-2</v>
      </c>
      <c r="J65" s="249">
        <f t="shared" ref="J65:J128" si="9">(1+G65)*(1+J64)-1</f>
        <v>-1.5328701757856056E-2</v>
      </c>
      <c r="K65" s="249">
        <f t="shared" ref="K65:K128" si="10">(1+H65)*(1+K64)-1</f>
        <v>-1.9704433497536922E-2</v>
      </c>
      <c r="L65" s="250">
        <f t="shared" si="0"/>
        <v>98.576116580454979</v>
      </c>
      <c r="M65" s="250">
        <f t="shared" si="1"/>
        <v>98.467129824214396</v>
      </c>
      <c r="N65" s="250">
        <f t="shared" si="2"/>
        <v>98.029556650246306</v>
      </c>
      <c r="O65" s="248">
        <f t="shared" si="3"/>
        <v>1.1068338889854701E-3</v>
      </c>
      <c r="P65" s="247">
        <f t="shared" si="4"/>
        <v>5.5754605945910196E-3</v>
      </c>
      <c r="Q65" s="251">
        <f t="shared" ref="Q65:Q128" si="11">Q64*(1+F65)</f>
        <v>0.98576116580454975</v>
      </c>
      <c r="R65" s="251">
        <f t="shared" ref="R65:R128" si="12">MAX(Q65,R64)</f>
        <v>1</v>
      </c>
      <c r="S65" s="251">
        <f t="shared" ref="S65:S128" si="13">Q65/R65-1</f>
        <v>-1.4238834195450245E-2</v>
      </c>
      <c r="T65" s="252">
        <f>C65*'1. Share_Price_Analysis'!$E$11+T64*(1-'1. Share_Price_Analysis'!$E$11)</f>
        <v>179.7645273631841</v>
      </c>
      <c r="U65" s="253">
        <f t="shared" ref="U65:U128" si="14">C65*$L$5+U64*(1-$L$5)</f>
        <v>179.68960784313725</v>
      </c>
    </row>
    <row r="66" spans="2:21" x14ac:dyDescent="0.2">
      <c r="B66" s="245">
        <v>44993</v>
      </c>
      <c r="C66" s="246">
        <v>178.92</v>
      </c>
      <c r="D66" s="246">
        <v>398.92</v>
      </c>
      <c r="E66" s="246">
        <v>40.994999999999997</v>
      </c>
      <c r="F66" s="248">
        <f t="shared" si="5"/>
        <v>9.5356316650678785E-3</v>
      </c>
      <c r="G66" s="248">
        <f t="shared" si="6"/>
        <v>1.6320586536773263E-3</v>
      </c>
      <c r="H66" s="248">
        <f t="shared" si="7"/>
        <v>4.9025615884299434E-3</v>
      </c>
      <c r="I66" s="249">
        <f t="shared" si="8"/>
        <v>-4.8389788086101726E-3</v>
      </c>
      <c r="J66" s="249">
        <f t="shared" si="9"/>
        <v>-1.3721660444532269E-2</v>
      </c>
      <c r="K66" s="249">
        <f t="shared" si="10"/>
        <v>-1.48984741078938E-2</v>
      </c>
      <c r="L66" s="250">
        <f t="shared" si="0"/>
        <v>99.516102119138992</v>
      </c>
      <c r="M66" s="250">
        <f t="shared" si="1"/>
        <v>98.627833955546762</v>
      </c>
      <c r="N66" s="250">
        <f t="shared" si="2"/>
        <v>98.510152589210605</v>
      </c>
      <c r="O66" s="248">
        <f t="shared" si="3"/>
        <v>9.0062625119859963E-3</v>
      </c>
      <c r="P66" s="247">
        <f t="shared" si="4"/>
        <v>1.021163304987649E-2</v>
      </c>
      <c r="Q66" s="251">
        <f t="shared" si="11"/>
        <v>0.99516102119138983</v>
      </c>
      <c r="R66" s="251">
        <f t="shared" si="12"/>
        <v>1</v>
      </c>
      <c r="S66" s="251">
        <f t="shared" si="13"/>
        <v>-4.8389788086101726E-3</v>
      </c>
      <c r="T66" s="252">
        <f>C66*'1. Share_Price_Analysis'!$E$11+T65*(1-'1. Share_Price_Analysis'!$E$11)</f>
        <v>179.75612410583898</v>
      </c>
      <c r="U66" s="253">
        <f t="shared" si="14"/>
        <v>179.65942714340639</v>
      </c>
    </row>
    <row r="67" spans="2:21" x14ac:dyDescent="0.2">
      <c r="B67" s="245">
        <v>44994</v>
      </c>
      <c r="C67" s="246">
        <v>174.07</v>
      </c>
      <c r="D67" s="246">
        <v>391.56</v>
      </c>
      <c r="E67" s="246">
        <v>39.94</v>
      </c>
      <c r="F67" s="248">
        <f t="shared" si="5"/>
        <v>-2.7107086966241867E-2</v>
      </c>
      <c r="G67" s="248">
        <f t="shared" si="6"/>
        <v>-1.8449814499147732E-2</v>
      </c>
      <c r="H67" s="248">
        <f t="shared" si="7"/>
        <v>-2.5734845712891863E-2</v>
      </c>
      <c r="I67" s="249">
        <f t="shared" si="8"/>
        <v>-3.1814895155459211E-2</v>
      </c>
      <c r="J67" s="249">
        <f t="shared" si="9"/>
        <v>-3.1918312853858044E-2</v>
      </c>
      <c r="K67" s="249">
        <f t="shared" si="10"/>
        <v>-4.0249909888261493E-2</v>
      </c>
      <c r="L67" s="250">
        <f t="shared" si="0"/>
        <v>96.818510484454094</v>
      </c>
      <c r="M67" s="250">
        <f t="shared" si="1"/>
        <v>96.808168714614183</v>
      </c>
      <c r="N67" s="250">
        <f t="shared" si="2"/>
        <v>95.975009011173853</v>
      </c>
      <c r="O67" s="248">
        <f t="shared" si="3"/>
        <v>1.0682745038148589E-4</v>
      </c>
      <c r="P67" s="247">
        <f t="shared" si="4"/>
        <v>8.7887615950317244E-3</v>
      </c>
      <c r="Q67" s="251">
        <f t="shared" si="11"/>
        <v>0.96818510484454079</v>
      </c>
      <c r="R67" s="251">
        <f t="shared" si="12"/>
        <v>1</v>
      </c>
      <c r="S67" s="251">
        <f t="shared" si="13"/>
        <v>-3.1814895155459211E-2</v>
      </c>
      <c r="T67" s="252">
        <f>C67*'1. Share_Price_Analysis'!$E$11+T66*(1-'1. Share_Price_Analysis'!$E$11)</f>
        <v>179.69954575652713</v>
      </c>
      <c r="U67" s="253">
        <f t="shared" si="14"/>
        <v>179.44023392209633</v>
      </c>
    </row>
    <row r="68" spans="2:21" x14ac:dyDescent="0.2">
      <c r="B68" s="245">
        <v>44995</v>
      </c>
      <c r="C68" s="246">
        <v>169.29</v>
      </c>
      <c r="D68" s="246">
        <v>385.91</v>
      </c>
      <c r="E68" s="246">
        <v>39.090000000000003</v>
      </c>
      <c r="F68" s="248">
        <f t="shared" si="5"/>
        <v>-2.7460217154018474E-2</v>
      </c>
      <c r="G68" s="248">
        <f t="shared" si="6"/>
        <v>-1.4429461640616981E-2</v>
      </c>
      <c r="H68" s="248">
        <f t="shared" si="7"/>
        <v>-2.1281922884326399E-2</v>
      </c>
      <c r="I68" s="249">
        <f t="shared" si="8"/>
        <v>-5.8401468379776444E-2</v>
      </c>
      <c r="J68" s="249">
        <f t="shared" si="9"/>
        <v>-4.5887210423517066E-2</v>
      </c>
      <c r="K68" s="249">
        <f t="shared" si="10"/>
        <v>-6.0675237294244844E-2</v>
      </c>
      <c r="L68" s="250">
        <f t="shared" si="0"/>
        <v>94.159853162022358</v>
      </c>
      <c r="M68" s="250">
        <f t="shared" si="1"/>
        <v>95.411278957648278</v>
      </c>
      <c r="N68" s="250">
        <f t="shared" si="2"/>
        <v>93.932476270575521</v>
      </c>
      <c r="O68" s="248">
        <f t="shared" si="3"/>
        <v>-1.3116120120152952E-2</v>
      </c>
      <c r="P68" s="247">
        <f t="shared" si="4"/>
        <v>2.4206419384906752E-3</v>
      </c>
      <c r="Q68" s="251">
        <f t="shared" si="11"/>
        <v>0.94159853162022356</v>
      </c>
      <c r="R68" s="251">
        <f t="shared" si="12"/>
        <v>1</v>
      </c>
      <c r="S68" s="251">
        <f t="shared" si="13"/>
        <v>-5.8401468379776444E-2</v>
      </c>
      <c r="T68" s="252">
        <f>C68*'1. Share_Price_Analysis'!$E$11+T67*(1-'1. Share_Price_Analysis'!$E$11)</f>
        <v>179.59596818681047</v>
      </c>
      <c r="U68" s="253">
        <f t="shared" si="14"/>
        <v>179.04218553299449</v>
      </c>
    </row>
    <row r="69" spans="2:21" x14ac:dyDescent="0.2">
      <c r="B69" s="245">
        <v>44998</v>
      </c>
      <c r="C69" s="246">
        <v>165.98</v>
      </c>
      <c r="D69" s="246">
        <v>385.36</v>
      </c>
      <c r="E69" s="246">
        <v>38.69</v>
      </c>
      <c r="F69" s="248">
        <f t="shared" si="5"/>
        <v>-1.9552247622423025E-2</v>
      </c>
      <c r="G69" s="248">
        <f t="shared" si="6"/>
        <v>-1.4252027674847012E-3</v>
      </c>
      <c r="H69" s="248">
        <f t="shared" si="7"/>
        <v>-1.0232796111537601E-2</v>
      </c>
      <c r="I69" s="249">
        <f t="shared" si="8"/>
        <v>-7.6811836030925007E-2</v>
      </c>
      <c r="J69" s="249">
        <f t="shared" si="9"/>
        <v>-4.7247014611713989E-2</v>
      </c>
      <c r="K69" s="249">
        <f t="shared" si="10"/>
        <v>-7.0287156073531309E-2</v>
      </c>
      <c r="L69" s="250">
        <f t="shared" si="0"/>
        <v>92.318816396907494</v>
      </c>
      <c r="M69" s="250">
        <f t="shared" si="1"/>
        <v>95.275298538828594</v>
      </c>
      <c r="N69" s="250">
        <f t="shared" si="2"/>
        <v>92.971284392646865</v>
      </c>
      <c r="O69" s="248">
        <f t="shared" si="3"/>
        <v>-3.1030940729261713E-2</v>
      </c>
      <c r="P69" s="247">
        <f t="shared" si="4"/>
        <v>-7.017951833211189E-3</v>
      </c>
      <c r="Q69" s="251">
        <f t="shared" si="11"/>
        <v>0.92318816396907499</v>
      </c>
      <c r="R69" s="251">
        <f t="shared" si="12"/>
        <v>1</v>
      </c>
      <c r="S69" s="251">
        <f t="shared" si="13"/>
        <v>-7.6811836030925007E-2</v>
      </c>
      <c r="T69" s="252">
        <f>C69*'1. Share_Price_Analysis'!$E$11+T68*(1-'1. Share_Price_Analysis'!$E$11)</f>
        <v>179.46048591629494</v>
      </c>
      <c r="U69" s="253">
        <f t="shared" si="14"/>
        <v>178.52994296307313</v>
      </c>
    </row>
    <row r="70" spans="2:21" x14ac:dyDescent="0.2">
      <c r="B70" s="245">
        <v>44999</v>
      </c>
      <c r="C70" s="246">
        <v>167.51</v>
      </c>
      <c r="D70" s="246">
        <v>391.73</v>
      </c>
      <c r="E70" s="246">
        <v>39.185000000000002</v>
      </c>
      <c r="F70" s="248">
        <f t="shared" si="5"/>
        <v>9.2179780696468594E-3</v>
      </c>
      <c r="G70" s="248">
        <f t="shared" si="6"/>
        <v>1.6529997924019213E-2</v>
      </c>
      <c r="H70" s="248">
        <f t="shared" si="7"/>
        <v>1.2794003618506133E-2</v>
      </c>
      <c r="I70" s="249">
        <f t="shared" si="8"/>
        <v>-6.8301907781300519E-2</v>
      </c>
      <c r="J70" s="249">
        <f t="shared" si="9"/>
        <v>-3.1498009741142474E-2</v>
      </c>
      <c r="K70" s="249">
        <f t="shared" si="10"/>
        <v>-5.8392406584164447E-2</v>
      </c>
      <c r="L70" s="250">
        <f t="shared" si="0"/>
        <v>93.169809221869954</v>
      </c>
      <c r="M70" s="250">
        <f t="shared" si="1"/>
        <v>96.850199025885729</v>
      </c>
      <c r="N70" s="250">
        <f t="shared" si="2"/>
        <v>94.160759341583571</v>
      </c>
      <c r="O70" s="248">
        <f t="shared" si="3"/>
        <v>-3.8000849157079464E-2</v>
      </c>
      <c r="P70" s="247">
        <f t="shared" si="4"/>
        <v>-1.0524024303147028E-2</v>
      </c>
      <c r="Q70" s="251">
        <f t="shared" si="11"/>
        <v>0.93169809221869948</v>
      </c>
      <c r="R70" s="251">
        <f t="shared" si="12"/>
        <v>1</v>
      </c>
      <c r="S70" s="251">
        <f t="shared" si="13"/>
        <v>-6.8301907781300519E-2</v>
      </c>
      <c r="T70" s="252">
        <f>C70*'1. Share_Price_Analysis'!$E$11+T69*(1-'1. Share_Price_Analysis'!$E$11)</f>
        <v>179.3415756086701</v>
      </c>
      <c r="U70" s="253">
        <f t="shared" si="14"/>
        <v>178.09778833707026</v>
      </c>
    </row>
    <row r="71" spans="2:21" x14ac:dyDescent="0.2">
      <c r="B71" s="245">
        <v>45000</v>
      </c>
      <c r="C71" s="246">
        <v>162.81</v>
      </c>
      <c r="D71" s="246">
        <v>389.28</v>
      </c>
      <c r="E71" s="246">
        <v>37.914999999999999</v>
      </c>
      <c r="F71" s="248">
        <f t="shared" si="5"/>
        <v>-2.8058026386484358E-2</v>
      </c>
      <c r="G71" s="248">
        <f t="shared" si="6"/>
        <v>-6.2543078140556707E-3</v>
      </c>
      <c r="H71" s="248">
        <f t="shared" si="7"/>
        <v>-3.2410361107566787E-2</v>
      </c>
      <c r="I71" s="249">
        <f t="shared" si="8"/>
        <v>-9.4443517437009961E-2</v>
      </c>
      <c r="J71" s="249">
        <f t="shared" si="9"/>
        <v>-3.7555319306746937E-2</v>
      </c>
      <c r="K71" s="249">
        <f t="shared" si="10"/>
        <v>-8.8910248708398587E-2</v>
      </c>
      <c r="L71" s="250">
        <f t="shared" si="0"/>
        <v>90.555648256299023</v>
      </c>
      <c r="M71" s="250">
        <f t="shared" si="1"/>
        <v>96.244468069325279</v>
      </c>
      <c r="N71" s="250">
        <f t="shared" si="2"/>
        <v>91.108975129160157</v>
      </c>
      <c r="O71" s="248">
        <f t="shared" si="3"/>
        <v>-5.9108018644028704E-2</v>
      </c>
      <c r="P71" s="247">
        <f t="shared" si="4"/>
        <v>-6.0732422033802358E-3</v>
      </c>
      <c r="Q71" s="251">
        <f t="shared" si="11"/>
        <v>0.90555648256299004</v>
      </c>
      <c r="R71" s="251">
        <f t="shared" si="12"/>
        <v>1</v>
      </c>
      <c r="S71" s="251">
        <f t="shared" si="13"/>
        <v>-9.4443517437009961E-2</v>
      </c>
      <c r="T71" s="252">
        <f>C71*'1. Share_Price_Analysis'!$E$11+T70*(1-'1. Share_Price_Analysis'!$E$11)</f>
        <v>179.1770823190316</v>
      </c>
      <c r="U71" s="253">
        <f t="shared" si="14"/>
        <v>177.49826722581258</v>
      </c>
    </row>
    <row r="72" spans="2:21" x14ac:dyDescent="0.2">
      <c r="B72" s="245">
        <v>45001</v>
      </c>
      <c r="C72" s="246">
        <v>166.21</v>
      </c>
      <c r="D72" s="246">
        <v>396.11</v>
      </c>
      <c r="E72" s="246">
        <v>38.35</v>
      </c>
      <c r="F72" s="248">
        <f t="shared" si="5"/>
        <v>2.0883238130336101E-2</v>
      </c>
      <c r="G72" s="248">
        <f t="shared" si="6"/>
        <v>1.7545211672832073E-2</v>
      </c>
      <c r="H72" s="248">
        <f t="shared" si="7"/>
        <v>1.1473031781616738E-2</v>
      </c>
      <c r="I72" s="249">
        <f t="shared" si="8"/>
        <v>-7.5532565771177507E-2</v>
      </c>
      <c r="J72" s="249">
        <f t="shared" si="9"/>
        <v>-2.0669023660592534E-2</v>
      </c>
      <c r="K72" s="249">
        <f t="shared" si="10"/>
        <v>-7.8457287035924805E-2</v>
      </c>
      <c r="L72" s="250">
        <f t="shared" si="0"/>
        <v>92.446743422882264</v>
      </c>
      <c r="M72" s="250">
        <f t="shared" si="1"/>
        <v>97.933097633940719</v>
      </c>
      <c r="N72" s="250">
        <f t="shared" si="2"/>
        <v>92.154271296407543</v>
      </c>
      <c r="O72" s="248">
        <f t="shared" si="3"/>
        <v>-5.6021450802727246E-2</v>
      </c>
      <c r="P72" s="247">
        <f t="shared" si="4"/>
        <v>3.1737229578217008E-3</v>
      </c>
      <c r="Q72" s="251">
        <f t="shared" si="11"/>
        <v>0.92446743422882249</v>
      </c>
      <c r="R72" s="251">
        <f t="shared" si="12"/>
        <v>1</v>
      </c>
      <c r="S72" s="251">
        <f t="shared" si="13"/>
        <v>-7.5532565771177507E-2</v>
      </c>
      <c r="T72" s="252">
        <f>C72*'1. Share_Price_Analysis'!$E$11+T71*(1-'1. Share_Price_Analysis'!$E$11)</f>
        <v>179.04805662431488</v>
      </c>
      <c r="U72" s="253">
        <f t="shared" si="14"/>
        <v>177.05559007970231</v>
      </c>
    </row>
    <row r="73" spans="2:21" x14ac:dyDescent="0.2">
      <c r="B73" s="245">
        <v>45002</v>
      </c>
      <c r="C73" s="246">
        <v>161.02000000000001</v>
      </c>
      <c r="D73" s="246">
        <v>389.99</v>
      </c>
      <c r="E73" s="246">
        <v>37.755000000000003</v>
      </c>
      <c r="F73" s="248">
        <f t="shared" si="5"/>
        <v>-3.1225558028999401E-2</v>
      </c>
      <c r="G73" s="248">
        <f t="shared" si="6"/>
        <v>-1.5450253717401718E-2</v>
      </c>
      <c r="H73" s="248">
        <f t="shared" si="7"/>
        <v>-1.5514993481095196E-2</v>
      </c>
      <c r="I73" s="249">
        <f t="shared" si="8"/>
        <v>-0.1043995772846098</v>
      </c>
      <c r="J73" s="249">
        <f t="shared" si="9"/>
        <v>-3.5799935718347164E-2</v>
      </c>
      <c r="K73" s="249">
        <f t="shared" si="10"/>
        <v>-9.2755016220113173E-2</v>
      </c>
      <c r="L73" s="250">
        <f t="shared" si="0"/>
        <v>89.560042271539032</v>
      </c>
      <c r="M73" s="250">
        <f t="shared" si="1"/>
        <v>96.420006428165252</v>
      </c>
      <c r="N73" s="250">
        <f t="shared" si="2"/>
        <v>90.724498377988709</v>
      </c>
      <c r="O73" s="248">
        <f t="shared" si="3"/>
        <v>-7.1146688438950334E-2</v>
      </c>
      <c r="P73" s="247">
        <f t="shared" si="4"/>
        <v>-1.2835079027917584E-2</v>
      </c>
      <c r="Q73" s="251">
        <f t="shared" si="11"/>
        <v>0.8956004227153902</v>
      </c>
      <c r="R73" s="251">
        <f t="shared" si="12"/>
        <v>1</v>
      </c>
      <c r="S73" s="251">
        <f t="shared" si="13"/>
        <v>-0.1043995772846098</v>
      </c>
      <c r="T73" s="252">
        <f>C73*'1. Share_Price_Analysis'!$E$11+T72*(1-'1. Share_Price_Analysis'!$E$11)</f>
        <v>178.86867297631176</v>
      </c>
      <c r="U73" s="253">
        <f t="shared" si="14"/>
        <v>176.42674340991007</v>
      </c>
    </row>
    <row r="74" spans="2:21" x14ac:dyDescent="0.2">
      <c r="B74" s="245">
        <v>45005</v>
      </c>
      <c r="C74" s="246">
        <v>163.27000000000001</v>
      </c>
      <c r="D74" s="246">
        <v>393.74</v>
      </c>
      <c r="E74" s="246">
        <v>38.365000000000002</v>
      </c>
      <c r="F74" s="248">
        <f t="shared" si="5"/>
        <v>1.3973419450999947E-2</v>
      </c>
      <c r="G74" s="248">
        <f t="shared" si="6"/>
        <v>9.6156311700299479E-3</v>
      </c>
      <c r="H74" s="248">
        <f t="shared" si="7"/>
        <v>1.6156800423784867E-2</v>
      </c>
      <c r="I74" s="249">
        <f t="shared" si="8"/>
        <v>-9.1884976917514849E-2</v>
      </c>
      <c r="J74" s="249">
        <f t="shared" si="9"/>
        <v>-2.6528543526095572E-2</v>
      </c>
      <c r="K74" s="249">
        <f t="shared" si="10"/>
        <v>-7.8096840081701591E-2</v>
      </c>
      <c r="L74" s="250">
        <f t="shared" si="0"/>
        <v>90.811502308248521</v>
      </c>
      <c r="M74" s="250">
        <f t="shared" si="1"/>
        <v>97.347145647390406</v>
      </c>
      <c r="N74" s="250">
        <f t="shared" si="2"/>
        <v>92.190315991829877</v>
      </c>
      <c r="O74" s="248">
        <f t="shared" si="3"/>
        <v>-6.7137493304788354E-2</v>
      </c>
      <c r="P74" s="247">
        <f t="shared" si="4"/>
        <v>-1.495616615202322E-2</v>
      </c>
      <c r="Q74" s="251">
        <f t="shared" si="11"/>
        <v>0.90811502308248515</v>
      </c>
      <c r="R74" s="251">
        <f t="shared" si="12"/>
        <v>1</v>
      </c>
      <c r="S74" s="251">
        <f t="shared" si="13"/>
        <v>-9.1884976917514849E-2</v>
      </c>
      <c r="T74" s="252">
        <f>C74*'1. Share_Price_Analysis'!$E$11+T73*(1-'1. Share_Price_Analysis'!$E$11)</f>
        <v>178.71346229993057</v>
      </c>
      <c r="U74" s="253">
        <f t="shared" si="14"/>
        <v>175.91079268795283</v>
      </c>
    </row>
    <row r="75" spans="2:21" x14ac:dyDescent="0.2">
      <c r="B75" s="245">
        <v>45006</v>
      </c>
      <c r="C75" s="246">
        <v>166.14</v>
      </c>
      <c r="D75" s="246">
        <v>398.91</v>
      </c>
      <c r="E75" s="246">
        <v>38.83</v>
      </c>
      <c r="F75" s="248">
        <f t="shared" si="5"/>
        <v>1.7578244625466866E-2</v>
      </c>
      <c r="G75" s="248">
        <f t="shared" si="6"/>
        <v>1.3130492202976685E-2</v>
      </c>
      <c r="H75" s="248">
        <f t="shared" si="7"/>
        <v>1.2120422259872088E-2</v>
      </c>
      <c r="I75" s="249">
        <f t="shared" si="8"/>
        <v>-7.5921908893709422E-2</v>
      </c>
      <c r="J75" s="249">
        <f t="shared" si="9"/>
        <v>-1.3746384157044655E-2</v>
      </c>
      <c r="K75" s="249">
        <f t="shared" si="10"/>
        <v>-6.692298450078138E-2</v>
      </c>
      <c r="L75" s="250">
        <f t="shared" si="0"/>
        <v>92.407809110629074</v>
      </c>
      <c r="M75" s="250">
        <f t="shared" si="1"/>
        <v>98.625361584295504</v>
      </c>
      <c r="N75" s="250">
        <f t="shared" si="2"/>
        <v>93.307701549921902</v>
      </c>
      <c r="O75" s="248">
        <f t="shared" si="3"/>
        <v>-6.3042126018998723E-2</v>
      </c>
      <c r="P75" s="247">
        <f t="shared" si="4"/>
        <v>-9.644353299296915E-3</v>
      </c>
      <c r="Q75" s="251">
        <f t="shared" si="11"/>
        <v>0.92407809110629058</v>
      </c>
      <c r="R75" s="251">
        <f t="shared" si="12"/>
        <v>1</v>
      </c>
      <c r="S75" s="251">
        <f t="shared" si="13"/>
        <v>-7.5921908893709422E-2</v>
      </c>
      <c r="T75" s="252">
        <f>C75*'1. Share_Price_Analysis'!$E$11+T74*(1-'1. Share_Price_Analysis'!$E$11)</f>
        <v>178.58835322231934</v>
      </c>
      <c r="U75" s="253">
        <f t="shared" si="14"/>
        <v>175.5276243472488</v>
      </c>
    </row>
    <row r="76" spans="2:21" x14ac:dyDescent="0.2">
      <c r="B76" s="245">
        <v>45007</v>
      </c>
      <c r="C76" s="246">
        <v>163.71</v>
      </c>
      <c r="D76" s="246">
        <v>392.11</v>
      </c>
      <c r="E76" s="246">
        <v>38.14</v>
      </c>
      <c r="F76" s="248">
        <f t="shared" si="5"/>
        <v>-1.4626218851570782E-2</v>
      </c>
      <c r="G76" s="248">
        <f t="shared" si="6"/>
        <v>-1.7046451580557065E-2</v>
      </c>
      <c r="H76" s="248">
        <f t="shared" si="7"/>
        <v>-1.7769765645119673E-2</v>
      </c>
      <c r="I76" s="249">
        <f t="shared" si="8"/>
        <v>-8.9437677290171824E-2</v>
      </c>
      <c r="J76" s="249">
        <f t="shared" si="9"/>
        <v>-3.05585086656609E-2</v>
      </c>
      <c r="K76" s="249">
        <f t="shared" si="10"/>
        <v>-8.3503544395050144E-2</v>
      </c>
      <c r="L76" s="250">
        <f t="shared" si="0"/>
        <v>91.056232270982818</v>
      </c>
      <c r="M76" s="250">
        <f t="shared" si="1"/>
        <v>96.944149133433882</v>
      </c>
      <c r="N76" s="250">
        <f t="shared" si="2"/>
        <v>91.649645560495003</v>
      </c>
      <c r="O76" s="248">
        <f t="shared" si="3"/>
        <v>-6.0735144050281575E-2</v>
      </c>
      <c r="P76" s="247">
        <f t="shared" si="4"/>
        <v>-6.474801794192131E-3</v>
      </c>
      <c r="Q76" s="251">
        <f t="shared" si="11"/>
        <v>0.91056232270982818</v>
      </c>
      <c r="R76" s="251">
        <f t="shared" si="12"/>
        <v>1</v>
      </c>
      <c r="S76" s="251">
        <f t="shared" si="13"/>
        <v>-8.9437677290171824E-2</v>
      </c>
      <c r="T76" s="252">
        <f>C76*'1. Share_Price_Analysis'!$E$11+T75*(1-'1. Share_Price_Analysis'!$E$11)</f>
        <v>178.4403099066744</v>
      </c>
      <c r="U76" s="253">
        <f t="shared" si="14"/>
        <v>175.06418809833707</v>
      </c>
    </row>
    <row r="77" spans="2:21" x14ac:dyDescent="0.2">
      <c r="B77" s="245">
        <v>45008</v>
      </c>
      <c r="C77" s="246">
        <v>164.5</v>
      </c>
      <c r="D77" s="246">
        <v>393.17</v>
      </c>
      <c r="E77" s="246">
        <v>38.094999999999999</v>
      </c>
      <c r="F77" s="248">
        <f t="shared" si="5"/>
        <v>4.8256062549629775E-3</v>
      </c>
      <c r="G77" s="248">
        <f t="shared" si="6"/>
        <v>2.7033230471040781E-3</v>
      </c>
      <c r="H77" s="248">
        <f t="shared" si="7"/>
        <v>-1.1798636601992873E-3</v>
      </c>
      <c r="I77" s="249">
        <f t="shared" si="8"/>
        <v>-8.5043662050169666E-2</v>
      </c>
      <c r="J77" s="249">
        <f t="shared" si="9"/>
        <v>-2.7937795139317823E-2</v>
      </c>
      <c r="K77" s="249">
        <f t="shared" si="10"/>
        <v>-8.45848852577199E-2</v>
      </c>
      <c r="L77" s="250">
        <f t="shared" si="0"/>
        <v>91.49563379498305</v>
      </c>
      <c r="M77" s="250">
        <f t="shared" si="1"/>
        <v>97.20622048606819</v>
      </c>
      <c r="N77" s="250">
        <f t="shared" si="2"/>
        <v>91.541511474228031</v>
      </c>
      <c r="O77" s="248">
        <f t="shared" si="3"/>
        <v>-5.8747132256866563E-2</v>
      </c>
      <c r="P77" s="247">
        <f t="shared" si="4"/>
        <v>-5.011680330173629E-4</v>
      </c>
      <c r="Q77" s="251">
        <f t="shared" si="11"/>
        <v>0.91495633794983033</v>
      </c>
      <c r="R77" s="251">
        <f t="shared" si="12"/>
        <v>1</v>
      </c>
      <c r="S77" s="251">
        <f t="shared" si="13"/>
        <v>-8.5043662050169666E-2</v>
      </c>
      <c r="T77" s="252">
        <f>C77*'1. Share_Price_Analysis'!$E$11+T76*(1-'1. Share_Price_Analysis'!$E$11)</f>
        <v>178.30160035536423</v>
      </c>
      <c r="U77" s="253">
        <f t="shared" si="14"/>
        <v>174.64990621212777</v>
      </c>
    </row>
    <row r="78" spans="2:21" x14ac:dyDescent="0.2">
      <c r="B78" s="245">
        <v>45009</v>
      </c>
      <c r="C78" s="246">
        <v>166.2</v>
      </c>
      <c r="D78" s="246">
        <v>395.75</v>
      </c>
      <c r="E78" s="246">
        <v>38.405000000000001</v>
      </c>
      <c r="F78" s="248">
        <f t="shared" si="5"/>
        <v>1.0334346504559111E-2</v>
      </c>
      <c r="G78" s="248">
        <f t="shared" si="6"/>
        <v>6.5620469517002622E-3</v>
      </c>
      <c r="H78" s="248">
        <f t="shared" si="7"/>
        <v>8.1375508596930324E-3</v>
      </c>
      <c r="I78" s="249">
        <f t="shared" si="8"/>
        <v>-7.5588186217253606E-2</v>
      </c>
      <c r="J78" s="249">
        <f t="shared" si="9"/>
        <v>-2.155907731104878E-2</v>
      </c>
      <c r="K78" s="249">
        <f t="shared" si="10"/>
        <v>-7.7135648203772833E-2</v>
      </c>
      <c r="L78" s="250">
        <f t="shared" si="0"/>
        <v>92.441181378274649</v>
      </c>
      <c r="M78" s="250">
        <f t="shared" si="1"/>
        <v>97.844092268895082</v>
      </c>
      <c r="N78" s="250">
        <f t="shared" si="2"/>
        <v>92.286435179622728</v>
      </c>
      <c r="O78" s="248">
        <f t="shared" si="3"/>
        <v>-5.5219592367132475E-2</v>
      </c>
      <c r="P78" s="247">
        <f t="shared" si="4"/>
        <v>1.6768032956384626E-3</v>
      </c>
      <c r="Q78" s="251">
        <f t="shared" si="11"/>
        <v>0.92441181378274639</v>
      </c>
      <c r="R78" s="251">
        <f t="shared" si="12"/>
        <v>1</v>
      </c>
      <c r="S78" s="251">
        <f t="shared" si="13"/>
        <v>-7.5588186217253606E-2</v>
      </c>
      <c r="T78" s="252">
        <f>C78*'1. Share_Price_Analysis'!$E$11+T77*(1-'1. Share_Price_Analysis'!$E$11)</f>
        <v>178.18118642148002</v>
      </c>
      <c r="U78" s="253">
        <f t="shared" si="14"/>
        <v>174.31853734106394</v>
      </c>
    </row>
    <row r="79" spans="2:21" x14ac:dyDescent="0.2">
      <c r="B79" s="245">
        <v>45012</v>
      </c>
      <c r="C79" s="246">
        <v>165.8</v>
      </c>
      <c r="D79" s="246">
        <v>396.49</v>
      </c>
      <c r="E79" s="246">
        <v>38.69</v>
      </c>
      <c r="F79" s="248">
        <f t="shared" si="5"/>
        <v>-2.4067388688325808E-3</v>
      </c>
      <c r="G79" s="248">
        <f t="shared" si="6"/>
        <v>1.8698673404926591E-3</v>
      </c>
      <c r="H79" s="248">
        <f t="shared" si="7"/>
        <v>7.4209087358416692E-3</v>
      </c>
      <c r="I79" s="249">
        <f t="shared" si="8"/>
        <v>-7.7813004060292568E-2</v>
      </c>
      <c r="J79" s="249">
        <f t="shared" si="9"/>
        <v>-1.9729522585111181E-2</v>
      </c>
      <c r="K79" s="249">
        <f t="shared" si="10"/>
        <v>-7.0287156073531309E-2</v>
      </c>
      <c r="L79" s="250">
        <f t="shared" si="0"/>
        <v>92.218699593970754</v>
      </c>
      <c r="M79" s="250">
        <f t="shared" si="1"/>
        <v>98.027047741488857</v>
      </c>
      <c r="N79" s="250">
        <f t="shared" si="2"/>
        <v>92.971284392646865</v>
      </c>
      <c r="O79" s="248">
        <f t="shared" si="3"/>
        <v>-5.9252505113033371E-2</v>
      </c>
      <c r="P79" s="247">
        <f t="shared" si="4"/>
        <v>-8.0948090971586506E-3</v>
      </c>
      <c r="Q79" s="251">
        <f t="shared" si="11"/>
        <v>0.92218699593970743</v>
      </c>
      <c r="R79" s="251">
        <f t="shared" si="12"/>
        <v>1</v>
      </c>
      <c r="S79" s="251">
        <f t="shared" si="13"/>
        <v>-7.7813004060292568E-2</v>
      </c>
      <c r="T79" s="252">
        <f>C79*'1. Share_Price_Analysis'!$E$11+T78*(1-'1. Share_Price_Analysis'!$E$11)</f>
        <v>178.05799053668918</v>
      </c>
      <c r="U79" s="253">
        <f t="shared" si="14"/>
        <v>173.98447705317909</v>
      </c>
    </row>
    <row r="80" spans="2:21" x14ac:dyDescent="0.2">
      <c r="B80" s="245">
        <v>45013</v>
      </c>
      <c r="C80" s="246">
        <v>168.04</v>
      </c>
      <c r="D80" s="246">
        <v>395.6</v>
      </c>
      <c r="E80" s="246">
        <v>38.875</v>
      </c>
      <c r="F80" s="248">
        <f t="shared" si="5"/>
        <v>1.3510253317249532E-2</v>
      </c>
      <c r="G80" s="248">
        <f t="shared" si="6"/>
        <v>-2.2446972180887315E-3</v>
      </c>
      <c r="H80" s="248">
        <f t="shared" si="7"/>
        <v>4.7815973119669231E-3</v>
      </c>
      <c r="I80" s="249">
        <f t="shared" si="8"/>
        <v>-6.5354024139273714E-2</v>
      </c>
      <c r="J80" s="249">
        <f t="shared" si="9"/>
        <v>-2.192993299873891E-2</v>
      </c>
      <c r="K80" s="249">
        <f t="shared" si="10"/>
        <v>-6.5841643638111402E-2</v>
      </c>
      <c r="L80" s="250">
        <f t="shared" si="0"/>
        <v>93.464597586072642</v>
      </c>
      <c r="M80" s="250">
        <f t="shared" si="1"/>
        <v>97.807006700126081</v>
      </c>
      <c r="N80" s="250">
        <f t="shared" si="2"/>
        <v>93.415835636188874</v>
      </c>
      <c r="O80" s="248">
        <f t="shared" si="3"/>
        <v>-4.4397730393357149E-2</v>
      </c>
      <c r="P80" s="247">
        <f t="shared" si="4"/>
        <v>5.2198805000980286E-4</v>
      </c>
      <c r="Q80" s="251">
        <f t="shared" si="11"/>
        <v>0.93464597586072629</v>
      </c>
      <c r="R80" s="251">
        <f t="shared" si="12"/>
        <v>1</v>
      </c>
      <c r="S80" s="251">
        <f t="shared" si="13"/>
        <v>-6.5354024139273714E-2</v>
      </c>
      <c r="T80" s="252">
        <f>C80*'1. Share_Price_Analysis'!$E$11+T79*(1-'1. Share_Price_Analysis'!$E$11)</f>
        <v>177.95830903881168</v>
      </c>
      <c r="U80" s="253">
        <f t="shared" si="14"/>
        <v>173.7513603059956</v>
      </c>
    </row>
    <row r="81" spans="2:21" x14ac:dyDescent="0.2">
      <c r="B81" s="245">
        <v>45014</v>
      </c>
      <c r="C81" s="246">
        <v>169.99</v>
      </c>
      <c r="D81" s="246">
        <v>401.35</v>
      </c>
      <c r="E81" s="246">
        <v>39.414999999999999</v>
      </c>
      <c r="F81" s="248">
        <f t="shared" si="5"/>
        <v>1.1604379909545548E-2</v>
      </c>
      <c r="G81" s="248">
        <f t="shared" si="6"/>
        <v>1.4534883720930258E-2</v>
      </c>
      <c r="H81" s="248">
        <f t="shared" si="7"/>
        <v>1.3890675241157613E-2</v>
      </c>
      <c r="I81" s="249">
        <f t="shared" si="8"/>
        <v>-5.4508037154457956E-2</v>
      </c>
      <c r="J81" s="249">
        <f t="shared" si="9"/>
        <v>-7.7137983039531344E-3</v>
      </c>
      <c r="K81" s="249">
        <f t="shared" si="10"/>
        <v>-5.2865553286074785E-2</v>
      </c>
      <c r="L81" s="250">
        <f t="shared" si="0"/>
        <v>94.549196284554213</v>
      </c>
      <c r="M81" s="250">
        <f t="shared" si="1"/>
        <v>99.228620169604667</v>
      </c>
      <c r="N81" s="250">
        <f t="shared" si="2"/>
        <v>94.713444671392523</v>
      </c>
      <c r="O81" s="248">
        <f t="shared" si="3"/>
        <v>-4.7158006198738445E-2</v>
      </c>
      <c r="P81" s="247">
        <f t="shared" si="4"/>
        <v>-1.7341612630411563E-3</v>
      </c>
      <c r="Q81" s="251">
        <f t="shared" si="11"/>
        <v>0.94549196284554204</v>
      </c>
      <c r="R81" s="251">
        <f t="shared" si="12"/>
        <v>1</v>
      </c>
      <c r="S81" s="251">
        <f t="shared" si="13"/>
        <v>-5.4508037154457956E-2</v>
      </c>
      <c r="T81" s="252">
        <f>C81*'1. Share_Price_Analysis'!$E$11+T80*(1-'1. Share_Price_Analysis'!$E$11)</f>
        <v>177.87902238170906</v>
      </c>
      <c r="U81" s="253">
        <f t="shared" si="14"/>
        <v>173.60385598027028</v>
      </c>
    </row>
    <row r="82" spans="2:21" x14ac:dyDescent="0.2">
      <c r="B82" s="245">
        <v>45015</v>
      </c>
      <c r="C82" s="246">
        <v>170.14</v>
      </c>
      <c r="D82" s="246">
        <v>403.7</v>
      </c>
      <c r="E82" s="246">
        <v>39.685000000000002</v>
      </c>
      <c r="F82" s="248">
        <f t="shared" si="5"/>
        <v>8.8240484734392055E-4</v>
      </c>
      <c r="G82" s="248">
        <f t="shared" si="6"/>
        <v>5.8552385698267262E-3</v>
      </c>
      <c r="H82" s="248">
        <f t="shared" si="7"/>
        <v>6.8501839401244879E-3</v>
      </c>
      <c r="I82" s="249">
        <f t="shared" si="8"/>
        <v>-5.3673730463318359E-2</v>
      </c>
      <c r="J82" s="249">
        <f t="shared" si="9"/>
        <v>-1.9037258634755361E-3</v>
      </c>
      <c r="K82" s="249">
        <f t="shared" si="10"/>
        <v>-4.6377508110056365E-2</v>
      </c>
      <c r="L82" s="250">
        <f t="shared" si="0"/>
        <v>94.632626953668165</v>
      </c>
      <c r="M82" s="250">
        <f t="shared" si="1"/>
        <v>99.809627413652422</v>
      </c>
      <c r="N82" s="250">
        <f t="shared" si="2"/>
        <v>95.362249188994355</v>
      </c>
      <c r="O82" s="248">
        <f t="shared" si="3"/>
        <v>-5.1868748477826188E-2</v>
      </c>
      <c r="P82" s="247">
        <f t="shared" si="4"/>
        <v>-7.6510594237368945E-3</v>
      </c>
      <c r="Q82" s="251">
        <f t="shared" si="11"/>
        <v>0.94632626953668164</v>
      </c>
      <c r="R82" s="251">
        <f t="shared" si="12"/>
        <v>1</v>
      </c>
      <c r="S82" s="251">
        <f t="shared" si="13"/>
        <v>-5.3673730463318359E-2</v>
      </c>
      <c r="T82" s="252">
        <f>C82*'1. Share_Price_Analysis'!$E$11+T81*(1-'1. Share_Price_Analysis'!$E$11)</f>
        <v>177.80201718388113</v>
      </c>
      <c r="U82" s="253">
        <f t="shared" si="14"/>
        <v>173.4680184908479</v>
      </c>
    </row>
    <row r="83" spans="2:21" x14ac:dyDescent="0.2">
      <c r="B83" s="245">
        <v>45016</v>
      </c>
      <c r="C83" s="246">
        <v>171.56</v>
      </c>
      <c r="D83" s="246">
        <v>409.39</v>
      </c>
      <c r="E83" s="246">
        <v>40.33</v>
      </c>
      <c r="F83" s="248">
        <f t="shared" si="5"/>
        <v>8.3460679440461316E-3</v>
      </c>
      <c r="G83" s="248">
        <f t="shared" si="6"/>
        <v>1.4094624721327609E-2</v>
      </c>
      <c r="H83" s="248">
        <f t="shared" si="7"/>
        <v>1.62529923144763E-2</v>
      </c>
      <c r="I83" s="249">
        <f t="shared" si="8"/>
        <v>-4.5775627120529516E-2</v>
      </c>
      <c r="J83" s="249">
        <f t="shared" si="9"/>
        <v>1.2164066556234143E-2</v>
      </c>
      <c r="K83" s="249">
        <f t="shared" si="10"/>
        <v>-3.0878289078457355E-2</v>
      </c>
      <c r="L83" s="250">
        <f t="shared" si="0"/>
        <v>95.422437287947062</v>
      </c>
      <c r="M83" s="250">
        <f t="shared" si="1"/>
        <v>101.21640665562339</v>
      </c>
      <c r="N83" s="250">
        <f t="shared" si="2"/>
        <v>96.912171092154267</v>
      </c>
      <c r="O83" s="248">
        <f t="shared" si="3"/>
        <v>-5.7243381375804425E-2</v>
      </c>
      <c r="P83" s="247">
        <f t="shared" si="4"/>
        <v>-1.537199907316722E-2</v>
      </c>
      <c r="Q83" s="251">
        <f t="shared" si="11"/>
        <v>0.95422437287947048</v>
      </c>
      <c r="R83" s="251">
        <f t="shared" si="12"/>
        <v>1</v>
      </c>
      <c r="S83" s="251">
        <f t="shared" si="13"/>
        <v>-4.5775627120529516E-2</v>
      </c>
      <c r="T83" s="252">
        <f>C83*'1. Share_Price_Analysis'!$E$11+T82*(1-'1. Share_Price_Analysis'!$E$11)</f>
        <v>177.73990756016093</v>
      </c>
      <c r="U83" s="253">
        <f t="shared" si="14"/>
        <v>173.39319423630485</v>
      </c>
    </row>
    <row r="84" spans="2:21" x14ac:dyDescent="0.2">
      <c r="B84" s="245">
        <v>45019</v>
      </c>
      <c r="C84" s="246">
        <v>172.93</v>
      </c>
      <c r="D84" s="246">
        <v>410.95</v>
      </c>
      <c r="E84" s="246">
        <v>40.585000000000001</v>
      </c>
      <c r="F84" s="248">
        <f t="shared" si="5"/>
        <v>7.9855444159477873E-3</v>
      </c>
      <c r="G84" s="248">
        <f t="shared" si="6"/>
        <v>3.8105473997900319E-3</v>
      </c>
      <c r="H84" s="248">
        <f t="shared" si="7"/>
        <v>6.322836598066095E-3</v>
      </c>
      <c r="I84" s="249">
        <f t="shared" si="8"/>
        <v>-3.8155626008120613E-2</v>
      </c>
      <c r="J84" s="249">
        <f t="shared" si="9"/>
        <v>1.6020965708210877E-2</v>
      </c>
      <c r="K84" s="249">
        <f t="shared" si="10"/>
        <v>-2.475069085666215E-2</v>
      </c>
      <c r="L84" s="250">
        <f t="shared" si="0"/>
        <v>96.184437399187956</v>
      </c>
      <c r="M84" s="250">
        <f t="shared" si="1"/>
        <v>101.60209657082106</v>
      </c>
      <c r="N84" s="250">
        <f t="shared" si="2"/>
        <v>97.52493091433378</v>
      </c>
      <c r="O84" s="248">
        <f t="shared" si="3"/>
        <v>-5.3322316708856565E-2</v>
      </c>
      <c r="P84" s="247">
        <f t="shared" si="4"/>
        <v>-1.3745136782750911E-2</v>
      </c>
      <c r="Q84" s="251">
        <f t="shared" si="11"/>
        <v>0.96184437399187939</v>
      </c>
      <c r="R84" s="251">
        <f t="shared" si="12"/>
        <v>1</v>
      </c>
      <c r="S84" s="251">
        <f t="shared" si="13"/>
        <v>-3.8155626008120613E-2</v>
      </c>
      <c r="T84" s="252">
        <f>C84*'1. Share_Price_Analysis'!$E$11+T83*(1-'1. Share_Price_Analysis'!$E$11)</f>
        <v>177.69204778344292</v>
      </c>
      <c r="U84" s="253">
        <f t="shared" si="14"/>
        <v>173.37502975644978</v>
      </c>
    </row>
    <row r="85" spans="2:21" x14ac:dyDescent="0.2">
      <c r="B85" s="245">
        <v>45020</v>
      </c>
      <c r="C85" s="246">
        <v>168.86</v>
      </c>
      <c r="D85" s="246">
        <v>408.67</v>
      </c>
      <c r="E85" s="246">
        <v>40</v>
      </c>
      <c r="F85" s="248">
        <f t="shared" si="5"/>
        <v>-2.3535534609379516E-2</v>
      </c>
      <c r="G85" s="248">
        <f t="shared" si="6"/>
        <v>-5.5481202092710902E-3</v>
      </c>
      <c r="H85" s="248">
        <f t="shared" si="7"/>
        <v>-1.4414192435628914E-2</v>
      </c>
      <c r="I85" s="249">
        <f t="shared" si="8"/>
        <v>-6.0793147561043481E-2</v>
      </c>
      <c r="J85" s="249">
        <f t="shared" si="9"/>
        <v>1.0383959255322095E-2</v>
      </c>
      <c r="K85" s="249">
        <f t="shared" si="10"/>
        <v>-3.8808122071368412E-2</v>
      </c>
      <c r="L85" s="250">
        <f t="shared" si="0"/>
        <v>93.920685243895662</v>
      </c>
      <c r="M85" s="250">
        <f t="shared" si="1"/>
        <v>101.03839592553217</v>
      </c>
      <c r="N85" s="250">
        <f t="shared" si="2"/>
        <v>96.119187792863144</v>
      </c>
      <c r="O85" s="248">
        <f t="shared" si="3"/>
        <v>-7.0445602549772168E-2</v>
      </c>
      <c r="P85" s="247">
        <f t="shared" si="4"/>
        <v>-2.2872670893820723E-2</v>
      </c>
      <c r="Q85" s="251">
        <f t="shared" si="11"/>
        <v>0.93920685243895652</v>
      </c>
      <c r="R85" s="251">
        <f t="shared" si="12"/>
        <v>1</v>
      </c>
      <c r="S85" s="251">
        <f t="shared" si="13"/>
        <v>-6.0793147561043481E-2</v>
      </c>
      <c r="T85" s="252">
        <f>C85*'1. Share_Price_Analysis'!$E$11+T84*(1-'1. Share_Price_Analysis'!$E$11)</f>
        <v>177.60416671097084</v>
      </c>
      <c r="U85" s="253">
        <f t="shared" si="14"/>
        <v>173.19796976600077</v>
      </c>
    </row>
    <row r="86" spans="2:21" x14ac:dyDescent="0.2">
      <c r="B86" s="245">
        <v>45021</v>
      </c>
      <c r="C86" s="246">
        <v>164.06</v>
      </c>
      <c r="D86" s="246">
        <v>407.6</v>
      </c>
      <c r="E86" s="246">
        <v>39.909999999999997</v>
      </c>
      <c r="F86" s="248">
        <f t="shared" si="5"/>
        <v>-2.8425914959137821E-2</v>
      </c>
      <c r="G86" s="248">
        <f t="shared" si="6"/>
        <v>-2.618249443316123E-3</v>
      </c>
      <c r="H86" s="248">
        <f t="shared" si="7"/>
        <v>-2.2500000000000853E-3</v>
      </c>
      <c r="I86" s="249">
        <f t="shared" si="8"/>
        <v>-8.7490961677512802E-2</v>
      </c>
      <c r="J86" s="249">
        <f t="shared" si="9"/>
        <v>7.7385220164662982E-3</v>
      </c>
      <c r="K86" s="249">
        <f t="shared" si="10"/>
        <v>-4.0970803796707922E-2</v>
      </c>
      <c r="L86" s="250">
        <f t="shared" si="0"/>
        <v>91.250903832248738</v>
      </c>
      <c r="M86" s="250">
        <f t="shared" si="1"/>
        <v>100.7738522016466</v>
      </c>
      <c r="N86" s="250">
        <f t="shared" si="2"/>
        <v>95.9029196203292</v>
      </c>
      <c r="O86" s="248">
        <f t="shared" si="3"/>
        <v>-9.4498207236760834E-2</v>
      </c>
      <c r="P86" s="247">
        <f t="shared" si="4"/>
        <v>-4.8507551245544844E-2</v>
      </c>
      <c r="Q86" s="251">
        <f t="shared" si="11"/>
        <v>0.9125090383224872</v>
      </c>
      <c r="R86" s="251">
        <f t="shared" si="12"/>
        <v>1</v>
      </c>
      <c r="S86" s="251">
        <f t="shared" si="13"/>
        <v>-8.7490961677512802E-2</v>
      </c>
      <c r="T86" s="252">
        <f>C86*'1. Share_Price_Analysis'!$E$11+T85*(1-'1. Share_Price_Analysis'!$E$11)</f>
        <v>177.46939888300099</v>
      </c>
      <c r="U86" s="253">
        <f t="shared" si="14"/>
        <v>172.83961801047133</v>
      </c>
    </row>
    <row r="87" spans="2:21" x14ac:dyDescent="0.2">
      <c r="B87" s="245">
        <v>45022</v>
      </c>
      <c r="C87" s="246">
        <v>164.93</v>
      </c>
      <c r="D87" s="246">
        <v>409.19</v>
      </c>
      <c r="E87" s="246">
        <v>39.814999999999998</v>
      </c>
      <c r="F87" s="248">
        <f t="shared" si="5"/>
        <v>5.3029379495306284E-3</v>
      </c>
      <c r="G87" s="248">
        <f t="shared" si="6"/>
        <v>3.9008832188418552E-3</v>
      </c>
      <c r="H87" s="248">
        <f t="shared" si="7"/>
        <v>-2.3803558005511816E-3</v>
      </c>
      <c r="I87" s="249">
        <f t="shared" si="8"/>
        <v>-8.265198286890274E-2</v>
      </c>
      <c r="J87" s="249">
        <f t="shared" si="9"/>
        <v>1.1669592305980858E-2</v>
      </c>
      <c r="K87" s="249">
        <f t="shared" si="10"/>
        <v>-4.3253634506788319E-2</v>
      </c>
      <c r="L87" s="250">
        <f t="shared" si="0"/>
        <v>91.734801713109746</v>
      </c>
      <c r="M87" s="250">
        <f t="shared" si="1"/>
        <v>101.16695923059807</v>
      </c>
      <c r="N87" s="250">
        <f t="shared" si="2"/>
        <v>95.67463654932115</v>
      </c>
      <c r="O87" s="248">
        <f t="shared" si="3"/>
        <v>-9.3233577338119655E-2</v>
      </c>
      <c r="P87" s="247">
        <f t="shared" si="4"/>
        <v>-4.1179511919864131E-2</v>
      </c>
      <c r="Q87" s="251">
        <f t="shared" si="11"/>
        <v>0.91734801713109726</v>
      </c>
      <c r="R87" s="251">
        <f t="shared" si="12"/>
        <v>1</v>
      </c>
      <c r="S87" s="251">
        <f t="shared" si="13"/>
        <v>-8.265198286890274E-2</v>
      </c>
      <c r="T87" s="252">
        <f>C87*'1. Share_Price_Analysis'!$E$11+T86*(1-'1. Share_Price_Analysis'!$E$11)</f>
        <v>177.34462874486169</v>
      </c>
      <c r="U87" s="253">
        <f t="shared" si="14"/>
        <v>172.52943691202148</v>
      </c>
    </row>
    <row r="88" spans="2:21" x14ac:dyDescent="0.2">
      <c r="B88" s="245">
        <v>45026</v>
      </c>
      <c r="C88" s="246">
        <v>166.01</v>
      </c>
      <c r="D88" s="246">
        <v>409.61</v>
      </c>
      <c r="E88" s="246">
        <v>40.005000000000003</v>
      </c>
      <c r="F88" s="248">
        <f t="shared" si="5"/>
        <v>6.5482325835202193E-3</v>
      </c>
      <c r="G88" s="248">
        <f t="shared" si="6"/>
        <v>1.0264180454067073E-3</v>
      </c>
      <c r="H88" s="248">
        <f t="shared" si="7"/>
        <v>4.7720708275775792E-3</v>
      </c>
      <c r="I88" s="249">
        <f t="shared" si="8"/>
        <v>-7.6644974692697265E-2</v>
      </c>
      <c r="J88" s="249">
        <f t="shared" si="9"/>
        <v>1.2707988231512868E-2</v>
      </c>
      <c r="K88" s="249">
        <f t="shared" si="10"/>
        <v>-3.8687973086627303E-2</v>
      </c>
      <c r="L88" s="250">
        <f t="shared" si="0"/>
        <v>92.335502530730295</v>
      </c>
      <c r="M88" s="250">
        <f t="shared" si="1"/>
        <v>101.27079882315128</v>
      </c>
      <c r="N88" s="250">
        <f t="shared" si="2"/>
        <v>96.131202691337265</v>
      </c>
      <c r="O88" s="248">
        <f t="shared" si="3"/>
        <v>-8.8231715324223692E-2</v>
      </c>
      <c r="P88" s="247">
        <f t="shared" si="4"/>
        <v>-3.9484579973418366E-2</v>
      </c>
      <c r="Q88" s="251">
        <f t="shared" si="11"/>
        <v>0.92335502530730273</v>
      </c>
      <c r="R88" s="251">
        <f t="shared" si="12"/>
        <v>1</v>
      </c>
      <c r="S88" s="251">
        <f t="shared" si="13"/>
        <v>-7.6644974692697265E-2</v>
      </c>
      <c r="T88" s="252">
        <f>C88*'1. Share_Price_Analysis'!$E$11+T87*(1-'1. Share_Price_Analysis'!$E$11)</f>
        <v>177.23184636929096</v>
      </c>
      <c r="U88" s="253">
        <f t="shared" si="14"/>
        <v>172.27377271939318</v>
      </c>
    </row>
    <row r="89" spans="2:21" x14ac:dyDescent="0.2">
      <c r="B89" s="245">
        <v>45027</v>
      </c>
      <c r="C89" s="246">
        <v>166.57</v>
      </c>
      <c r="D89" s="246">
        <v>409.72</v>
      </c>
      <c r="E89" s="246">
        <v>40.314999999999998</v>
      </c>
      <c r="F89" s="248">
        <f t="shared" si="5"/>
        <v>3.3732907656165434E-3</v>
      </c>
      <c r="G89" s="248">
        <f t="shared" si="6"/>
        <v>2.6854813114907117E-4</v>
      </c>
      <c r="H89" s="248">
        <f t="shared" si="7"/>
        <v>7.7490313710784076E-3</v>
      </c>
      <c r="I89" s="249">
        <f t="shared" si="8"/>
        <v>-7.3530229712442496E-2</v>
      </c>
      <c r="J89" s="249">
        <f t="shared" si="9"/>
        <v>1.297994906915223E-2</v>
      </c>
      <c r="K89" s="249">
        <f t="shared" si="10"/>
        <v>-3.123873603268057E-2</v>
      </c>
      <c r="L89" s="250">
        <f t="shared" si="0"/>
        <v>92.646977028755771</v>
      </c>
      <c r="M89" s="250">
        <f t="shared" si="1"/>
        <v>101.29799490691522</v>
      </c>
      <c r="N89" s="250">
        <f t="shared" si="2"/>
        <v>96.876126396731948</v>
      </c>
      <c r="O89" s="248">
        <f t="shared" si="3"/>
        <v>-8.5401669461563023E-2</v>
      </c>
      <c r="P89" s="247">
        <f t="shared" si="4"/>
        <v>-4.3655227818015452E-2</v>
      </c>
      <c r="Q89" s="251">
        <f t="shared" si="11"/>
        <v>0.9264697702875575</v>
      </c>
      <c r="R89" s="251">
        <f t="shared" si="12"/>
        <v>1</v>
      </c>
      <c r="S89" s="251">
        <f t="shared" si="13"/>
        <v>-7.3530229712442496E-2</v>
      </c>
      <c r="T89" s="252">
        <f>C89*'1. Share_Price_Analysis'!$E$11+T88*(1-'1. Share_Price_Analysis'!$E$11)</f>
        <v>177.12575834571592</v>
      </c>
      <c r="U89" s="253">
        <f t="shared" si="14"/>
        <v>172.05009535784836</v>
      </c>
    </row>
    <row r="90" spans="2:21" x14ac:dyDescent="0.2">
      <c r="B90" s="245">
        <v>45028</v>
      </c>
      <c r="C90" s="246">
        <v>167.32</v>
      </c>
      <c r="D90" s="246">
        <v>408.05</v>
      </c>
      <c r="E90" s="246">
        <v>40.344999999999999</v>
      </c>
      <c r="F90" s="248">
        <f t="shared" si="5"/>
        <v>4.5026115146784562E-3</v>
      </c>
      <c r="G90" s="248">
        <f t="shared" si="6"/>
        <v>-4.0759543102607543E-3</v>
      </c>
      <c r="H90" s="248">
        <f t="shared" si="7"/>
        <v>7.4413989830079963E-4</v>
      </c>
      <c r="I90" s="249">
        <f t="shared" si="8"/>
        <v>-6.935869625674429E-2</v>
      </c>
      <c r="J90" s="249">
        <f t="shared" si="9"/>
        <v>8.8510890795361341E-3</v>
      </c>
      <c r="K90" s="249">
        <f t="shared" si="10"/>
        <v>-3.051784212423414E-2</v>
      </c>
      <c r="L90" s="250">
        <f t="shared" si="0"/>
        <v>93.0641303743256</v>
      </c>
      <c r="M90" s="250">
        <f t="shared" si="1"/>
        <v>100.88510890795361</v>
      </c>
      <c r="N90" s="250">
        <f t="shared" si="2"/>
        <v>96.948215787576586</v>
      </c>
      <c r="O90" s="248">
        <f t="shared" si="3"/>
        <v>-7.7523616897354097E-2</v>
      </c>
      <c r="P90" s="247">
        <f t="shared" si="4"/>
        <v>-4.0063505879896155E-2</v>
      </c>
      <c r="Q90" s="251">
        <f t="shared" si="11"/>
        <v>0.93064130374325571</v>
      </c>
      <c r="R90" s="251">
        <f t="shared" si="12"/>
        <v>1</v>
      </c>
      <c r="S90" s="251">
        <f t="shared" si="13"/>
        <v>-6.935869625674429E-2</v>
      </c>
      <c r="T90" s="252">
        <f>C90*'1. Share_Price_Analysis'!$E$11+T89*(1-'1. Share_Price_Analysis'!$E$11)</f>
        <v>177.02818861093269</v>
      </c>
      <c r="U90" s="253">
        <f t="shared" si="14"/>
        <v>171.86460142224647</v>
      </c>
    </row>
    <row r="91" spans="2:21" x14ac:dyDescent="0.2">
      <c r="B91" s="245">
        <v>45029</v>
      </c>
      <c r="C91" s="246">
        <v>169.46</v>
      </c>
      <c r="D91" s="246">
        <v>413.47</v>
      </c>
      <c r="E91" s="246">
        <v>40.76</v>
      </c>
      <c r="F91" s="248">
        <f t="shared" si="5"/>
        <v>1.2789863734162132E-2</v>
      </c>
      <c r="G91" s="248">
        <f t="shared" si="6"/>
        <v>1.328268594534987E-2</v>
      </c>
      <c r="H91" s="248">
        <f t="shared" si="7"/>
        <v>1.0286280827859651E-2</v>
      </c>
      <c r="I91" s="249">
        <f t="shared" si="8"/>
        <v>-5.7455920796485094E-2</v>
      </c>
      <c r="J91" s="249">
        <f t="shared" si="9"/>
        <v>2.2251341261403823E-2</v>
      </c>
      <c r="K91" s="249">
        <f t="shared" si="10"/>
        <v>-2.0545476390724682E-2</v>
      </c>
      <c r="L91" s="250">
        <f t="shared" si="0"/>
        <v>94.254407920351539</v>
      </c>
      <c r="M91" s="250">
        <f t="shared" si="1"/>
        <v>102.22513412614038</v>
      </c>
      <c r="N91" s="250">
        <f t="shared" si="2"/>
        <v>97.945452360927547</v>
      </c>
      <c r="O91" s="248">
        <f t="shared" si="3"/>
        <v>-7.7972274371911676E-2</v>
      </c>
      <c r="P91" s="247">
        <f t="shared" si="4"/>
        <v>-3.7684694404948926E-2</v>
      </c>
      <c r="Q91" s="251">
        <f t="shared" si="11"/>
        <v>0.94254407920351491</v>
      </c>
      <c r="R91" s="251">
        <f t="shared" si="12"/>
        <v>1</v>
      </c>
      <c r="S91" s="251">
        <f t="shared" si="13"/>
        <v>-5.7455920796485094E-2</v>
      </c>
      <c r="T91" s="252">
        <f>C91*'1. Share_Price_Analysis'!$E$11+T90*(1-'1. Share_Price_Analysis'!$E$11)</f>
        <v>176.95288325161994</v>
      </c>
      <c r="U91" s="253">
        <f t="shared" si="14"/>
        <v>171.77030332725641</v>
      </c>
    </row>
    <row r="92" spans="2:21" x14ac:dyDescent="0.2">
      <c r="B92" s="245">
        <v>45030</v>
      </c>
      <c r="C92" s="246">
        <v>169.08</v>
      </c>
      <c r="D92" s="246">
        <v>412.46</v>
      </c>
      <c r="E92" s="246">
        <v>40.465000000000003</v>
      </c>
      <c r="F92" s="248">
        <f t="shared" si="5"/>
        <v>-2.2424170895786188E-3</v>
      </c>
      <c r="G92" s="248">
        <f t="shared" si="6"/>
        <v>-2.442740706701918E-3</v>
      </c>
      <c r="H92" s="248">
        <f t="shared" si="7"/>
        <v>-7.2374877330715348E-3</v>
      </c>
      <c r="I92" s="249">
        <f t="shared" si="8"/>
        <v>-5.9569497747372191E-2</v>
      </c>
      <c r="J92" s="249">
        <f t="shared" si="9"/>
        <v>1.9754246297623901E-2</v>
      </c>
      <c r="K92" s="249">
        <f t="shared" si="10"/>
        <v>-2.76342664904482E-2</v>
      </c>
      <c r="L92" s="250">
        <f t="shared" si="0"/>
        <v>94.043050225262817</v>
      </c>
      <c r="M92" s="250">
        <f t="shared" si="1"/>
        <v>101.97542462976239</v>
      </c>
      <c r="N92" s="250">
        <f t="shared" si="2"/>
        <v>97.236573350955197</v>
      </c>
      <c r="O92" s="248">
        <f t="shared" si="3"/>
        <v>-7.77871181541957E-2</v>
      </c>
      <c r="P92" s="247">
        <f t="shared" si="4"/>
        <v>-3.2842818454389966E-2</v>
      </c>
      <c r="Q92" s="251">
        <f t="shared" si="11"/>
        <v>0.94043050225262781</v>
      </c>
      <c r="R92" s="251">
        <f t="shared" si="12"/>
        <v>1</v>
      </c>
      <c r="S92" s="251">
        <f t="shared" si="13"/>
        <v>-5.9569497747372191E-2</v>
      </c>
      <c r="T92" s="252">
        <f>C92*'1. Share_Price_Analysis'!$E$11+T91*(1-'1. Share_Price_Analysis'!$E$11)</f>
        <v>176.87454610483763</v>
      </c>
      <c r="U92" s="253">
        <f t="shared" si="14"/>
        <v>171.66480123599146</v>
      </c>
    </row>
    <row r="93" spans="2:21" x14ac:dyDescent="0.2">
      <c r="B93" s="245">
        <v>45033</v>
      </c>
      <c r="C93" s="246">
        <v>171.88</v>
      </c>
      <c r="D93" s="246">
        <v>413.94</v>
      </c>
      <c r="E93" s="246">
        <v>40.700000000000003</v>
      </c>
      <c r="F93" s="248">
        <f t="shared" si="5"/>
        <v>1.6560208185474323E-2</v>
      </c>
      <c r="G93" s="248">
        <f t="shared" si="6"/>
        <v>3.5882267371381005E-3</v>
      </c>
      <c r="H93" s="248">
        <f t="shared" si="7"/>
        <v>5.8074879525515932E-3</v>
      </c>
      <c r="I93" s="249">
        <f t="shared" si="8"/>
        <v>-4.3995772846098458E-2</v>
      </c>
      <c r="J93" s="249">
        <f t="shared" si="9"/>
        <v>2.3413355749499098E-2</v>
      </c>
      <c r="K93" s="249">
        <f t="shared" si="10"/>
        <v>-2.1987264207617541E-2</v>
      </c>
      <c r="L93" s="250">
        <f t="shared" si="0"/>
        <v>95.600422715390181</v>
      </c>
      <c r="M93" s="250">
        <f t="shared" si="1"/>
        <v>102.34133557494994</v>
      </c>
      <c r="N93" s="250">
        <f t="shared" si="2"/>
        <v>97.801273579238256</v>
      </c>
      <c r="O93" s="248">
        <f t="shared" si="3"/>
        <v>-6.5866961982561145E-2</v>
      </c>
      <c r="P93" s="247">
        <f t="shared" si="4"/>
        <v>-2.2503294520648254E-2</v>
      </c>
      <c r="Q93" s="251">
        <f t="shared" si="11"/>
        <v>0.95600422715390154</v>
      </c>
      <c r="R93" s="251">
        <f t="shared" si="12"/>
        <v>1</v>
      </c>
      <c r="S93" s="251">
        <f t="shared" si="13"/>
        <v>-4.3995772846098458E-2</v>
      </c>
      <c r="T93" s="252">
        <f>C93*'1. Share_Price_Analysis'!$E$11+T92*(1-'1. Share_Price_Analysis'!$E$11)</f>
        <v>176.82484912867011</v>
      </c>
      <c r="U93" s="253">
        <f t="shared" si="14"/>
        <v>171.6732404032075</v>
      </c>
    </row>
    <row r="94" spans="2:21" x14ac:dyDescent="0.2">
      <c r="B94" s="245">
        <v>45034</v>
      </c>
      <c r="C94" s="246">
        <v>172.36</v>
      </c>
      <c r="D94" s="246">
        <v>414.21</v>
      </c>
      <c r="E94" s="246">
        <v>40.869999999999997</v>
      </c>
      <c r="F94" s="248">
        <f t="shared" si="5"/>
        <v>2.7926460321154867E-3</v>
      </c>
      <c r="G94" s="248">
        <f t="shared" si="6"/>
        <v>6.5226844470211987E-4</v>
      </c>
      <c r="H94" s="248">
        <f t="shared" si="7"/>
        <v>4.1769041769039728E-3</v>
      </c>
      <c r="I94" s="249">
        <f t="shared" si="8"/>
        <v>-4.1325991434451481E-2</v>
      </c>
      <c r="J94" s="249">
        <f t="shared" si="9"/>
        <v>2.4080895987341311E-2</v>
      </c>
      <c r="K94" s="249">
        <f t="shared" si="10"/>
        <v>-1.790219872642107E-2</v>
      </c>
      <c r="L94" s="250">
        <f t="shared" si="0"/>
        <v>95.86740085655488</v>
      </c>
      <c r="M94" s="250">
        <f t="shared" si="1"/>
        <v>102.40808959873414</v>
      </c>
      <c r="N94" s="250">
        <f t="shared" si="2"/>
        <v>98.209780127357917</v>
      </c>
      <c r="O94" s="248">
        <f t="shared" si="3"/>
        <v>-6.386886785807333E-2</v>
      </c>
      <c r="P94" s="247">
        <f t="shared" si="4"/>
        <v>-2.3850774004029462E-2</v>
      </c>
      <c r="Q94" s="251">
        <f t="shared" si="11"/>
        <v>0.95867400856554852</v>
      </c>
      <c r="R94" s="251">
        <f t="shared" si="12"/>
        <v>1</v>
      </c>
      <c r="S94" s="251">
        <f t="shared" si="13"/>
        <v>-4.1325991434451481E-2</v>
      </c>
      <c r="T94" s="252">
        <f>C94*'1. Share_Price_Analysis'!$E$11+T93*(1-'1. Share_Price_Analysis'!$E$11)</f>
        <v>176.78042276918086</v>
      </c>
      <c r="U94" s="253">
        <f t="shared" si="14"/>
        <v>171.70017215210132</v>
      </c>
    </row>
    <row r="95" spans="2:21" x14ac:dyDescent="0.2">
      <c r="B95" s="245">
        <v>45035</v>
      </c>
      <c r="C95" s="246">
        <v>173.54</v>
      </c>
      <c r="D95" s="246">
        <v>414.14</v>
      </c>
      <c r="E95" s="246">
        <v>40.755000000000003</v>
      </c>
      <c r="F95" s="248">
        <f t="shared" si="5"/>
        <v>6.8461359944300693E-3</v>
      </c>
      <c r="G95" s="248">
        <f t="shared" si="6"/>
        <v>-1.6899640279088857E-4</v>
      </c>
      <c r="H95" s="248">
        <f t="shared" si="7"/>
        <v>-2.8137998531929664E-3</v>
      </c>
      <c r="I95" s="249">
        <f t="shared" si="8"/>
        <v>-3.4762778797486349E-2</v>
      </c>
      <c r="J95" s="249">
        <f t="shared" si="9"/>
        <v>2.3907829999752606E-2</v>
      </c>
      <c r="K95" s="249">
        <f t="shared" si="10"/>
        <v>-2.066562537546579E-2</v>
      </c>
      <c r="L95" s="250">
        <f t="shared" si="0"/>
        <v>96.523722120251406</v>
      </c>
      <c r="M95" s="250">
        <f t="shared" si="1"/>
        <v>102.39078299997526</v>
      </c>
      <c r="N95" s="250">
        <f t="shared" si="2"/>
        <v>97.933437462453441</v>
      </c>
      <c r="O95" s="248">
        <f t="shared" si="3"/>
        <v>-5.7300674023806564E-2</v>
      </c>
      <c r="P95" s="247">
        <f t="shared" si="4"/>
        <v>-1.439462739927333E-2</v>
      </c>
      <c r="Q95" s="251">
        <f t="shared" si="11"/>
        <v>0.96523722120251365</v>
      </c>
      <c r="R95" s="251">
        <f t="shared" si="12"/>
        <v>1</v>
      </c>
      <c r="S95" s="251">
        <f t="shared" si="13"/>
        <v>-3.4762778797486349E-2</v>
      </c>
      <c r="T95" s="252">
        <f>C95*'1. Share_Price_Analysis'!$E$11+T94*(1-'1. Share_Price_Analysis'!$E$11)</f>
        <v>176.74817975655219</v>
      </c>
      <c r="U95" s="253">
        <f t="shared" si="14"/>
        <v>171.77232226378362</v>
      </c>
    </row>
    <row r="96" spans="2:21" x14ac:dyDescent="0.2">
      <c r="B96" s="245">
        <v>45036</v>
      </c>
      <c r="C96" s="246">
        <v>172.44</v>
      </c>
      <c r="D96" s="246">
        <v>411.88</v>
      </c>
      <c r="E96" s="246">
        <v>40.71</v>
      </c>
      <c r="F96" s="248">
        <f t="shared" si="5"/>
        <v>-6.3385962890399883E-3</v>
      </c>
      <c r="G96" s="248">
        <f t="shared" si="6"/>
        <v>-5.4570918047036621E-3</v>
      </c>
      <c r="H96" s="248">
        <f t="shared" si="7"/>
        <v>-1.1041589988959322E-3</v>
      </c>
      <c r="I96" s="249">
        <f t="shared" si="8"/>
        <v>-4.0881027865843911E-2</v>
      </c>
      <c r="J96" s="249">
        <f t="shared" si="9"/>
        <v>1.8320270971889041E-2</v>
      </c>
      <c r="K96" s="249">
        <f t="shared" si="10"/>
        <v>-2.1746966238135546E-2</v>
      </c>
      <c r="L96" s="250">
        <f t="shared" si="0"/>
        <v>95.911897213415656</v>
      </c>
      <c r="M96" s="250">
        <f t="shared" si="1"/>
        <v>101.8320270971889</v>
      </c>
      <c r="N96" s="250">
        <f t="shared" si="2"/>
        <v>97.825303376186469</v>
      </c>
      <c r="O96" s="248">
        <f t="shared" si="3"/>
        <v>-5.8136227398508877E-2</v>
      </c>
      <c r="P96" s="247">
        <f t="shared" si="4"/>
        <v>-1.9559419666840716E-2</v>
      </c>
      <c r="Q96" s="251">
        <f t="shared" si="11"/>
        <v>0.95911897213415609</v>
      </c>
      <c r="R96" s="251">
        <f t="shared" si="12"/>
        <v>1</v>
      </c>
      <c r="S96" s="251">
        <f t="shared" si="13"/>
        <v>-4.0881027865843911E-2</v>
      </c>
      <c r="T96" s="252">
        <f>C96*'1. Share_Price_Analysis'!$E$11+T95*(1-'1. Share_Price_Analysis'!$E$11)</f>
        <v>176.70531229628801</v>
      </c>
      <c r="U96" s="253">
        <f t="shared" si="14"/>
        <v>171.79850570441954</v>
      </c>
    </row>
    <row r="97" spans="2:21" x14ac:dyDescent="0.2">
      <c r="B97" s="245">
        <v>45037</v>
      </c>
      <c r="C97" s="246">
        <v>171.14</v>
      </c>
      <c r="D97" s="246">
        <v>412.2</v>
      </c>
      <c r="E97" s="246">
        <v>40.35</v>
      </c>
      <c r="F97" s="248">
        <f t="shared" si="5"/>
        <v>-7.5388540941777604E-3</v>
      </c>
      <c r="G97" s="248">
        <f t="shared" si="6"/>
        <v>7.769253180538449E-4</v>
      </c>
      <c r="H97" s="248">
        <f t="shared" si="7"/>
        <v>-8.8430361090641174E-3</v>
      </c>
      <c r="I97" s="249">
        <f t="shared" si="8"/>
        <v>-4.8111685855721009E-2</v>
      </c>
      <c r="J97" s="249">
        <f t="shared" si="9"/>
        <v>1.9111429772294519E-2</v>
      </c>
      <c r="K97" s="249">
        <f t="shared" si="10"/>
        <v>-3.0397693139493254E-2</v>
      </c>
      <c r="L97" s="250">
        <f t="shared" si="0"/>
        <v>95.188831414427938</v>
      </c>
      <c r="M97" s="250">
        <f t="shared" si="1"/>
        <v>101.91114297722945</v>
      </c>
      <c r="N97" s="250">
        <f t="shared" si="2"/>
        <v>96.960230686050693</v>
      </c>
      <c r="O97" s="248">
        <f t="shared" si="3"/>
        <v>-6.5962478355321319E-2</v>
      </c>
      <c r="P97" s="247">
        <f t="shared" si="4"/>
        <v>-1.826933846061507E-2</v>
      </c>
      <c r="Q97" s="251">
        <f t="shared" si="11"/>
        <v>0.95188831414427899</v>
      </c>
      <c r="R97" s="251">
        <f t="shared" si="12"/>
        <v>1</v>
      </c>
      <c r="S97" s="251">
        <f t="shared" si="13"/>
        <v>-4.8111685855721009E-2</v>
      </c>
      <c r="T97" s="252">
        <f>C97*'1. Share_Price_Analysis'!$E$11+T96*(1-'1. Share_Price_Analysis'!$E$11)</f>
        <v>176.64993605453392</v>
      </c>
      <c r="U97" s="253">
        <f t="shared" si="14"/>
        <v>171.77268195130506</v>
      </c>
    </row>
    <row r="98" spans="2:21" x14ac:dyDescent="0.2">
      <c r="B98" s="245">
        <v>45040</v>
      </c>
      <c r="C98" s="246">
        <v>171.41</v>
      </c>
      <c r="D98" s="246">
        <v>412.63</v>
      </c>
      <c r="E98" s="246">
        <v>40.625</v>
      </c>
      <c r="F98" s="248">
        <f t="shared" si="5"/>
        <v>1.5776557204627562E-3</v>
      </c>
      <c r="G98" s="248">
        <f t="shared" si="6"/>
        <v>1.0431829209121002E-3</v>
      </c>
      <c r="H98" s="248">
        <f t="shared" si="7"/>
        <v>6.8153655514249234E-3</v>
      </c>
      <c r="I98" s="249">
        <f t="shared" si="8"/>
        <v>-4.6609933811669668E-2</v>
      </c>
      <c r="J98" s="249">
        <f t="shared" si="9"/>
        <v>2.017454941033936E-2</v>
      </c>
      <c r="K98" s="249">
        <f t="shared" si="10"/>
        <v>-2.3789498978734058E-2</v>
      </c>
      <c r="L98" s="250">
        <f t="shared" si="0"/>
        <v>95.339006618833082</v>
      </c>
      <c r="M98" s="250">
        <f t="shared" si="1"/>
        <v>102.01745494103393</v>
      </c>
      <c r="N98" s="250">
        <f t="shared" si="2"/>
        <v>97.621050102126631</v>
      </c>
      <c r="O98" s="248">
        <f t="shared" si="3"/>
        <v>-6.5463780938870175E-2</v>
      </c>
      <c r="P98" s="247">
        <f t="shared" si="4"/>
        <v>-2.337655127563365E-2</v>
      </c>
      <c r="Q98" s="251">
        <f t="shared" si="11"/>
        <v>0.95339006618833033</v>
      </c>
      <c r="R98" s="251">
        <f t="shared" si="12"/>
        <v>1</v>
      </c>
      <c r="S98" s="251">
        <f t="shared" si="13"/>
        <v>-4.6609933811669668E-2</v>
      </c>
      <c r="T98" s="252">
        <f>C98*'1. Share_Price_Analysis'!$E$11+T97*(1-'1. Share_Price_Analysis'!$E$11)</f>
        <v>176.59779738732465</v>
      </c>
      <c r="U98" s="253">
        <f t="shared" si="14"/>
        <v>171.75845912968526</v>
      </c>
    </row>
    <row r="99" spans="2:21" x14ac:dyDescent="0.2">
      <c r="B99" s="245">
        <v>45041</v>
      </c>
      <c r="C99" s="246">
        <v>169.67</v>
      </c>
      <c r="D99" s="246">
        <v>406.08</v>
      </c>
      <c r="E99" s="246">
        <v>39.744999999999997</v>
      </c>
      <c r="F99" s="248">
        <f t="shared" si="5"/>
        <v>-1.0151099702467858E-2</v>
      </c>
      <c r="G99" s="248">
        <f t="shared" si="6"/>
        <v>-1.5873785231321103E-2</v>
      </c>
      <c r="H99" s="248">
        <f t="shared" si="7"/>
        <v>-2.166153846153851E-2</v>
      </c>
      <c r="I99" s="249">
        <f t="shared" si="8"/>
        <v>-5.6287891428889791E-2</v>
      </c>
      <c r="J99" s="249">
        <f t="shared" si="9"/>
        <v>3.9805177145397774E-3</v>
      </c>
      <c r="K99" s="249">
        <f t="shared" si="10"/>
        <v>-4.493572029316395E-2</v>
      </c>
      <c r="L99" s="250">
        <f t="shared" si="0"/>
        <v>94.37121085711108</v>
      </c>
      <c r="M99" s="250">
        <f t="shared" si="1"/>
        <v>100.39805177145399</v>
      </c>
      <c r="N99" s="250">
        <f t="shared" si="2"/>
        <v>95.506427970683632</v>
      </c>
      <c r="O99" s="248">
        <f t="shared" si="3"/>
        <v>-6.0029460811276025E-2</v>
      </c>
      <c r="P99" s="247">
        <f t="shared" si="4"/>
        <v>-1.1886290145005196E-2</v>
      </c>
      <c r="Q99" s="251">
        <f t="shared" si="11"/>
        <v>0.94371210857111021</v>
      </c>
      <c r="R99" s="251">
        <f t="shared" si="12"/>
        <v>1</v>
      </c>
      <c r="S99" s="251">
        <f t="shared" si="13"/>
        <v>-5.6287891428889791E-2</v>
      </c>
      <c r="T99" s="252">
        <f>C99*'1. Share_Price_Analysis'!$E$11+T98*(1-'1. Share_Price_Analysis'!$E$11)</f>
        <v>176.52886407998807</v>
      </c>
      <c r="U99" s="253">
        <f t="shared" si="14"/>
        <v>171.67655877165839</v>
      </c>
    </row>
    <row r="100" spans="2:21" x14ac:dyDescent="0.2">
      <c r="B100" s="245">
        <v>45042</v>
      </c>
      <c r="C100" s="246">
        <v>166.65</v>
      </c>
      <c r="D100" s="246">
        <v>404.36</v>
      </c>
      <c r="E100" s="246">
        <v>39.274999999999999</v>
      </c>
      <c r="F100" s="248">
        <f t="shared" si="5"/>
        <v>-1.779925738197663E-2</v>
      </c>
      <c r="G100" s="248">
        <f t="shared" si="6"/>
        <v>-4.2356185973206895E-3</v>
      </c>
      <c r="H100" s="248">
        <f t="shared" si="7"/>
        <v>-1.1825386841112007E-2</v>
      </c>
      <c r="I100" s="249">
        <f t="shared" si="8"/>
        <v>-7.3085266143834815E-2</v>
      </c>
      <c r="J100" s="249">
        <f t="shared" si="9"/>
        <v>-2.7196083763958434E-4</v>
      </c>
      <c r="K100" s="249">
        <f t="shared" si="10"/>
        <v>-5.622972485882527E-2</v>
      </c>
      <c r="L100" s="250">
        <f t="shared" si="0"/>
        <v>92.691473385616561</v>
      </c>
      <c r="M100" s="250">
        <f t="shared" si="1"/>
        <v>99.97280391623606</v>
      </c>
      <c r="N100" s="250">
        <f t="shared" si="2"/>
        <v>94.377027514117501</v>
      </c>
      <c r="O100" s="248">
        <f t="shared" si="3"/>
        <v>-7.2833113060631116E-2</v>
      </c>
      <c r="P100" s="247">
        <f t="shared" si="4"/>
        <v>-1.7859792503518102E-2</v>
      </c>
      <c r="Q100" s="251">
        <f t="shared" si="11"/>
        <v>0.92691473385616518</v>
      </c>
      <c r="R100" s="251">
        <f t="shared" si="12"/>
        <v>1</v>
      </c>
      <c r="S100" s="251">
        <f t="shared" si="13"/>
        <v>-7.3085266143834815E-2</v>
      </c>
      <c r="T100" s="252">
        <f>C100*'1. Share_Price_Analysis'!$E$11+T99*(1-'1. Share_Price_Analysis'!$E$11)</f>
        <v>176.4305669249633</v>
      </c>
      <c r="U100" s="253">
        <f t="shared" si="14"/>
        <v>171.47943881982866</v>
      </c>
    </row>
    <row r="101" spans="2:21" x14ac:dyDescent="0.2">
      <c r="B101" s="245">
        <v>45043</v>
      </c>
      <c r="C101" s="246">
        <v>172.98</v>
      </c>
      <c r="D101" s="246">
        <v>412.41</v>
      </c>
      <c r="E101" s="246">
        <v>39.81</v>
      </c>
      <c r="F101" s="248">
        <f t="shared" si="5"/>
        <v>3.7983798379837896E-2</v>
      </c>
      <c r="G101" s="248">
        <f t="shared" si="6"/>
        <v>1.9908002769809086E-2</v>
      </c>
      <c r="H101" s="248">
        <f t="shared" si="7"/>
        <v>1.3621896880967599E-2</v>
      </c>
      <c r="I101" s="249">
        <f t="shared" si="8"/>
        <v>-3.7877523777741118E-2</v>
      </c>
      <c r="J101" s="249">
        <f t="shared" si="9"/>
        <v>1.9630627735060413E-2</v>
      </c>
      <c r="K101" s="249">
        <f t="shared" si="10"/>
        <v>-4.337378349152976E-2</v>
      </c>
      <c r="L101" s="250">
        <f t="shared" si="0"/>
        <v>96.212247622225931</v>
      </c>
      <c r="M101" s="250">
        <f t="shared" si="1"/>
        <v>101.96306277350607</v>
      </c>
      <c r="N101" s="250">
        <f t="shared" si="2"/>
        <v>95.662621650847043</v>
      </c>
      <c r="O101" s="248">
        <f t="shared" si="3"/>
        <v>-5.6400965161811922E-2</v>
      </c>
      <c r="P101" s="247">
        <f t="shared" si="4"/>
        <v>5.7454621449213317E-3</v>
      </c>
      <c r="Q101" s="251">
        <f t="shared" si="11"/>
        <v>0.96212247622225888</v>
      </c>
      <c r="R101" s="251">
        <f t="shared" si="12"/>
        <v>1</v>
      </c>
      <c r="S101" s="251">
        <f t="shared" si="13"/>
        <v>-3.7877523777741118E-2</v>
      </c>
      <c r="T101" s="252">
        <f>C101*'1. Share_Price_Analysis'!$E$11+T100*(1-'1. Share_Price_Analysis'!$E$11)</f>
        <v>176.39623292570994</v>
      </c>
      <c r="U101" s="253">
        <f t="shared" si="14"/>
        <v>171.53828435630598</v>
      </c>
    </row>
    <row r="102" spans="2:21" x14ac:dyDescent="0.2">
      <c r="B102" s="245">
        <v>45044</v>
      </c>
      <c r="C102" s="246">
        <v>175.12</v>
      </c>
      <c r="D102" s="246">
        <v>415.93</v>
      </c>
      <c r="E102" s="246">
        <v>40.274999999999999</v>
      </c>
      <c r="F102" s="248">
        <f t="shared" si="5"/>
        <v>1.2371372412995907E-2</v>
      </c>
      <c r="G102" s="248">
        <f t="shared" si="6"/>
        <v>8.5351955578185645E-3</v>
      </c>
      <c r="H102" s="248">
        <f t="shared" si="7"/>
        <v>1.1680482290881589E-2</v>
      </c>
      <c r="I102" s="249">
        <f t="shared" si="8"/>
        <v>-2.59747483174817E-2</v>
      </c>
      <c r="J102" s="249">
        <f t="shared" si="9"/>
        <v>2.8333374539520451E-2</v>
      </c>
      <c r="K102" s="249">
        <f t="shared" si="10"/>
        <v>-3.2199927910609549E-2</v>
      </c>
      <c r="L102" s="250">
        <f t="shared" si="0"/>
        <v>97.402525168251856</v>
      </c>
      <c r="M102" s="250">
        <f t="shared" si="1"/>
        <v>102.83333745395208</v>
      </c>
      <c r="N102" s="250">
        <f t="shared" si="2"/>
        <v>96.780007208939082</v>
      </c>
      <c r="O102" s="248">
        <f t="shared" si="3"/>
        <v>-5.2811786723659382E-2</v>
      </c>
      <c r="P102" s="247">
        <f t="shared" si="4"/>
        <v>6.4322991624585768E-3</v>
      </c>
      <c r="Q102" s="251">
        <f t="shared" si="11"/>
        <v>0.9740252516825183</v>
      </c>
      <c r="R102" s="251">
        <f t="shared" si="12"/>
        <v>1</v>
      </c>
      <c r="S102" s="251">
        <f t="shared" si="13"/>
        <v>-2.59747483174817E-2</v>
      </c>
      <c r="T102" s="252">
        <f>C102*'1. Share_Price_Analysis'!$E$11+T101*(1-'1. Share_Price_Analysis'!$E$11)</f>
        <v>176.38353409062825</v>
      </c>
      <c r="U102" s="253">
        <f t="shared" si="14"/>
        <v>171.6787437933136</v>
      </c>
    </row>
    <row r="103" spans="2:21" x14ac:dyDescent="0.2">
      <c r="B103" s="245">
        <v>45047</v>
      </c>
      <c r="C103" s="246">
        <v>177.51</v>
      </c>
      <c r="D103" s="246">
        <v>415.51</v>
      </c>
      <c r="E103" s="246">
        <v>40.255000000000003</v>
      </c>
      <c r="F103" s="248">
        <f t="shared" si="5"/>
        <v>1.3647784376427552E-2</v>
      </c>
      <c r="G103" s="248">
        <f t="shared" si="6"/>
        <v>-1.0097853004111812E-3</v>
      </c>
      <c r="H103" s="248">
        <f t="shared" si="7"/>
        <v>-4.965859714461951E-4</v>
      </c>
      <c r="I103" s="249">
        <f t="shared" si="8"/>
        <v>-1.2681461705323138E-2</v>
      </c>
      <c r="J103" s="249">
        <f t="shared" si="9"/>
        <v>2.7294978613988219E-2</v>
      </c>
      <c r="K103" s="249">
        <f t="shared" si="10"/>
        <v>-3.2680523849573762E-2</v>
      </c>
      <c r="L103" s="250">
        <f t="shared" si="0"/>
        <v>98.73185382946771</v>
      </c>
      <c r="M103" s="250">
        <f t="shared" si="1"/>
        <v>102.72949786139887</v>
      </c>
      <c r="N103" s="250">
        <f t="shared" si="2"/>
        <v>96.731947615042657</v>
      </c>
      <c r="O103" s="248">
        <f t="shared" si="3"/>
        <v>-3.8914275988428337E-2</v>
      </c>
      <c r="P103" s="247">
        <f t="shared" si="4"/>
        <v>2.0674722919711508E-2</v>
      </c>
      <c r="Q103" s="251">
        <f t="shared" si="11"/>
        <v>0.98731853829467686</v>
      </c>
      <c r="R103" s="251">
        <f t="shared" si="12"/>
        <v>1</v>
      </c>
      <c r="S103" s="251">
        <f t="shared" si="13"/>
        <v>-1.2681461705323138E-2</v>
      </c>
      <c r="T103" s="252">
        <f>C103*'1. Share_Price_Analysis'!$E$11+T102*(1-'1. Share_Price_Analysis'!$E$11)</f>
        <v>176.39474270664189</v>
      </c>
      <c r="U103" s="253">
        <f t="shared" si="14"/>
        <v>171.90742050730131</v>
      </c>
    </row>
    <row r="104" spans="2:21" x14ac:dyDescent="0.2">
      <c r="B104" s="245">
        <v>45048</v>
      </c>
      <c r="C104" s="246">
        <v>179.27</v>
      </c>
      <c r="D104" s="246">
        <v>410.84</v>
      </c>
      <c r="E104" s="246">
        <v>39.865000000000002</v>
      </c>
      <c r="F104" s="248">
        <f t="shared" si="5"/>
        <v>9.9149343698947678E-3</v>
      </c>
      <c r="G104" s="248">
        <f t="shared" si="6"/>
        <v>-1.1239200019253492E-2</v>
      </c>
      <c r="H104" s="248">
        <f t="shared" si="7"/>
        <v>-9.6882374860265408E-3</v>
      </c>
      <c r="I104" s="249">
        <f t="shared" si="8"/>
        <v>-2.8922631959509282E-3</v>
      </c>
      <c r="J104" s="249">
        <f t="shared" si="9"/>
        <v>1.5749004870570849E-2</v>
      </c>
      <c r="K104" s="249">
        <f t="shared" si="10"/>
        <v>-4.2052144659377899E-2</v>
      </c>
      <c r="L104" s="250">
        <f t="shared" si="0"/>
        <v>99.710773680404927</v>
      </c>
      <c r="M104" s="250">
        <f t="shared" si="1"/>
        <v>101.57490048705714</v>
      </c>
      <c r="N104" s="250">
        <f t="shared" si="2"/>
        <v>95.794785534062228</v>
      </c>
      <c r="O104" s="248">
        <f t="shared" si="3"/>
        <v>-1.8352238571867519E-2</v>
      </c>
      <c r="P104" s="247">
        <f t="shared" si="4"/>
        <v>4.0878928059714381E-2</v>
      </c>
      <c r="Q104" s="251">
        <f t="shared" si="11"/>
        <v>0.99710773680404907</v>
      </c>
      <c r="R104" s="251">
        <f t="shared" si="12"/>
        <v>1</v>
      </c>
      <c r="S104" s="251">
        <f t="shared" si="13"/>
        <v>-2.8922631959509282E-3</v>
      </c>
      <c r="T104" s="252">
        <f>C104*'1. Share_Price_Analysis'!$E$11+T103*(1-'1. Share_Price_Analysis'!$E$11)</f>
        <v>176.42335223194894</v>
      </c>
      <c r="U104" s="253">
        <f t="shared" si="14"/>
        <v>172.19614911485812</v>
      </c>
    </row>
    <row r="105" spans="2:21" x14ac:dyDescent="0.2">
      <c r="B105" s="245">
        <v>45049</v>
      </c>
      <c r="C105" s="246">
        <v>178.62</v>
      </c>
      <c r="D105" s="246">
        <v>408.02</v>
      </c>
      <c r="E105" s="246">
        <v>39.424999999999997</v>
      </c>
      <c r="F105" s="248">
        <f t="shared" si="5"/>
        <v>-3.6258158085569203E-3</v>
      </c>
      <c r="G105" s="248">
        <f t="shared" si="6"/>
        <v>-6.8639859799435321E-3</v>
      </c>
      <c r="H105" s="248">
        <f t="shared" si="7"/>
        <v>-1.1037250721184111E-2</v>
      </c>
      <c r="I105" s="249">
        <f t="shared" si="8"/>
        <v>-6.5075921908894774E-3</v>
      </c>
      <c r="J105" s="249">
        <f t="shared" si="9"/>
        <v>8.7769179419976417E-3</v>
      </c>
      <c r="K105" s="249">
        <f t="shared" si="10"/>
        <v>-5.26252553165929E-2</v>
      </c>
      <c r="L105" s="250">
        <f t="shared" si="0"/>
        <v>99.349240780911074</v>
      </c>
      <c r="M105" s="250">
        <f t="shared" si="1"/>
        <v>100.87769179419981</v>
      </c>
      <c r="N105" s="250">
        <f t="shared" si="2"/>
        <v>94.737474468340736</v>
      </c>
      <c r="O105" s="248">
        <f t="shared" si="3"/>
        <v>-1.5151526428726192E-2</v>
      </c>
      <c r="P105" s="247">
        <f t="shared" si="4"/>
        <v>4.8679430589122274E-2</v>
      </c>
      <c r="Q105" s="251">
        <f t="shared" si="11"/>
        <v>0.99349240780911052</v>
      </c>
      <c r="R105" s="251">
        <f t="shared" si="12"/>
        <v>1</v>
      </c>
      <c r="S105" s="251">
        <f t="shared" si="13"/>
        <v>-6.5075921908894774E-3</v>
      </c>
      <c r="T105" s="252">
        <f>C105*'1. Share_Price_Analysis'!$E$11+T104*(1-'1. Share_Price_Analysis'!$E$11)</f>
        <v>176.44520942367086</v>
      </c>
      <c r="U105" s="253">
        <f t="shared" si="14"/>
        <v>172.44806483584406</v>
      </c>
    </row>
    <row r="106" spans="2:21" x14ac:dyDescent="0.2">
      <c r="B106" s="245">
        <v>45050</v>
      </c>
      <c r="C106" s="246">
        <v>190.23</v>
      </c>
      <c r="D106" s="246">
        <v>405.13</v>
      </c>
      <c r="E106" s="246">
        <v>39.17</v>
      </c>
      <c r="F106" s="248">
        <f t="shared" si="5"/>
        <v>6.4998320456835623E-2</v>
      </c>
      <c r="G106" s="248">
        <f t="shared" si="6"/>
        <v>-7.0829861281309636E-3</v>
      </c>
      <c r="H106" s="248">
        <f t="shared" si="7"/>
        <v>-6.4679771718451073E-3</v>
      </c>
      <c r="I106" s="249">
        <f t="shared" si="8"/>
        <v>5.8067745703320295E-2</v>
      </c>
      <c r="J106" s="249">
        <f t="shared" si="9"/>
        <v>1.6317650258357297E-3</v>
      </c>
      <c r="K106" s="249">
        <f t="shared" si="10"/>
        <v>-5.8752853538387773E-2</v>
      </c>
      <c r="L106" s="250">
        <f t="shared" si="0"/>
        <v>105.80677457033205</v>
      </c>
      <c r="M106" s="250">
        <f t="shared" si="1"/>
        <v>100.16317650258361</v>
      </c>
      <c r="N106" s="250">
        <f t="shared" si="2"/>
        <v>94.124714646161252</v>
      </c>
      <c r="O106" s="248">
        <f t="shared" si="3"/>
        <v>5.6344040442875665E-2</v>
      </c>
      <c r="P106" s="247">
        <f t="shared" si="4"/>
        <v>0.12411256669501358</v>
      </c>
      <c r="Q106" s="251">
        <f t="shared" si="11"/>
        <v>1.0580677457033203</v>
      </c>
      <c r="R106" s="251">
        <f t="shared" si="12"/>
        <v>1.0580677457033203</v>
      </c>
      <c r="S106" s="251">
        <f t="shared" si="13"/>
        <v>0</v>
      </c>
      <c r="T106" s="252">
        <f>C106*'1. Share_Price_Analysis'!$E$11+T105*(1-'1. Share_Price_Analysis'!$E$11)</f>
        <v>176.58237151895773</v>
      </c>
      <c r="U106" s="253">
        <f t="shared" si="14"/>
        <v>173.1453956265953</v>
      </c>
    </row>
    <row r="107" spans="2:21" x14ac:dyDescent="0.2">
      <c r="B107" s="245">
        <v>45051</v>
      </c>
      <c r="C107" s="246">
        <v>193.57</v>
      </c>
      <c r="D107" s="246">
        <v>412.63</v>
      </c>
      <c r="E107" s="246">
        <v>39.83</v>
      </c>
      <c r="F107" s="248">
        <f t="shared" si="5"/>
        <v>1.7557693318614342E-2</v>
      </c>
      <c r="G107" s="248">
        <f t="shared" si="6"/>
        <v>1.8512576210105491E-2</v>
      </c>
      <c r="H107" s="248">
        <f t="shared" si="7"/>
        <v>1.6849629818738832E-2</v>
      </c>
      <c r="I107" s="249">
        <f t="shared" si="8"/>
        <v>7.664497469269671E-2</v>
      </c>
      <c r="J107" s="249">
        <f t="shared" si="9"/>
        <v>2.0174549410338916E-2</v>
      </c>
      <c r="K107" s="249">
        <f t="shared" si="10"/>
        <v>-4.2893187552565326E-2</v>
      </c>
      <c r="L107" s="250">
        <f t="shared" si="0"/>
        <v>107.66449746926972</v>
      </c>
      <c r="M107" s="250">
        <f t="shared" si="1"/>
        <v>102.01745494103393</v>
      </c>
      <c r="N107" s="250">
        <f t="shared" si="2"/>
        <v>95.710681244743483</v>
      </c>
      <c r="O107" s="248">
        <f t="shared" si="3"/>
        <v>5.535368953773423E-2</v>
      </c>
      <c r="P107" s="247">
        <f t="shared" si="4"/>
        <v>0.124895320658714</v>
      </c>
      <c r="Q107" s="251">
        <f t="shared" si="11"/>
        <v>1.0766449746926967</v>
      </c>
      <c r="R107" s="251">
        <f t="shared" si="12"/>
        <v>1.0766449746926967</v>
      </c>
      <c r="S107" s="251">
        <f t="shared" si="13"/>
        <v>0</v>
      </c>
      <c r="T107" s="252">
        <f>C107*'1. Share_Price_Analysis'!$E$11+T106*(1-'1. Share_Price_Analysis'!$E$11)</f>
        <v>176.75140264812234</v>
      </c>
      <c r="U107" s="253">
        <f t="shared" si="14"/>
        <v>173.94636050398373</v>
      </c>
    </row>
    <row r="108" spans="2:21" x14ac:dyDescent="0.2">
      <c r="B108" s="245">
        <v>45054</v>
      </c>
      <c r="C108" s="246">
        <v>192.83</v>
      </c>
      <c r="D108" s="246">
        <v>412.74</v>
      </c>
      <c r="E108" s="246">
        <v>39.700000000000003</v>
      </c>
      <c r="F108" s="248">
        <f t="shared" si="5"/>
        <v>-3.8229064421139158E-3</v>
      </c>
      <c r="G108" s="248">
        <f t="shared" si="6"/>
        <v>2.6658265273971082E-4</v>
      </c>
      <c r="H108" s="248">
        <f t="shared" si="7"/>
        <v>-3.2638714536780133E-3</v>
      </c>
      <c r="I108" s="249">
        <f t="shared" si="8"/>
        <v>7.2529061683074492E-2</v>
      </c>
      <c r="J108" s="249">
        <f t="shared" si="9"/>
        <v>2.0446510247978278E-2</v>
      </c>
      <c r="K108" s="249">
        <f t="shared" si="10"/>
        <v>-4.6017061155833261E-2</v>
      </c>
      <c r="L108" s="250">
        <f t="shared" si="0"/>
        <v>107.25290616830748</v>
      </c>
      <c r="M108" s="250">
        <f t="shared" si="1"/>
        <v>102.04465102479787</v>
      </c>
      <c r="N108" s="250">
        <f t="shared" si="2"/>
        <v>95.398293884416674</v>
      </c>
      <c r="O108" s="248">
        <f t="shared" si="3"/>
        <v>5.1038982359241647E-2</v>
      </c>
      <c r="P108" s="247">
        <f t="shared" si="4"/>
        <v>0.12426440559045715</v>
      </c>
      <c r="Q108" s="251">
        <f t="shared" si="11"/>
        <v>1.0725290616830745</v>
      </c>
      <c r="R108" s="251">
        <f t="shared" si="12"/>
        <v>1.0766449746926967</v>
      </c>
      <c r="S108" s="251">
        <f t="shared" si="13"/>
        <v>-3.8229064421138048E-3</v>
      </c>
      <c r="T108" s="252">
        <f>C108*'1. Share_Price_Analysis'!$E$11+T107*(1-'1. Share_Price_Analysis'!$E$11)</f>
        <v>176.91138869142461</v>
      </c>
      <c r="U108" s="253">
        <f t="shared" si="14"/>
        <v>174.68689538618045</v>
      </c>
    </row>
    <row r="109" spans="2:21" x14ac:dyDescent="0.2">
      <c r="B109" s="245">
        <v>45055</v>
      </c>
      <c r="C109" s="246">
        <v>193.11</v>
      </c>
      <c r="D109" s="246">
        <v>410.93</v>
      </c>
      <c r="E109" s="246">
        <v>39.340000000000003</v>
      </c>
      <c r="F109" s="248">
        <f t="shared" si="5"/>
        <v>1.4520562153192973E-3</v>
      </c>
      <c r="G109" s="248">
        <f t="shared" si="6"/>
        <v>-4.3853273247080882E-3</v>
      </c>
      <c r="H109" s="248">
        <f t="shared" si="7"/>
        <v>-9.0680100755667903E-3</v>
      </c>
      <c r="I109" s="249">
        <f t="shared" si="8"/>
        <v>7.4086434173201932E-2</v>
      </c>
      <c r="J109" s="249">
        <f t="shared" si="9"/>
        <v>1.5971518283184771E-2</v>
      </c>
      <c r="K109" s="249">
        <f t="shared" si="10"/>
        <v>-5.4667788057190969E-2</v>
      </c>
      <c r="L109" s="250">
        <f t="shared" si="0"/>
        <v>107.40864341732022</v>
      </c>
      <c r="M109" s="250">
        <f t="shared" si="1"/>
        <v>101.59715182831854</v>
      </c>
      <c r="N109" s="250">
        <f t="shared" si="2"/>
        <v>94.533221194280912</v>
      </c>
      <c r="O109" s="248">
        <f t="shared" si="3"/>
        <v>5.7201323899533474E-2</v>
      </c>
      <c r="P109" s="247">
        <f t="shared" si="4"/>
        <v>0.13619997351595825</v>
      </c>
      <c r="Q109" s="251">
        <f t="shared" si="11"/>
        <v>1.0740864341732019</v>
      </c>
      <c r="R109" s="251">
        <f t="shared" si="12"/>
        <v>1.0766449746926967</v>
      </c>
      <c r="S109" s="251">
        <f t="shared" si="13"/>
        <v>-2.3764013018544583E-3</v>
      </c>
      <c r="T109" s="252">
        <f>C109*'1. Share_Price_Analysis'!$E$11+T108*(1-'1. Share_Price_Analysis'!$E$11)</f>
        <v>177.07256890345025</v>
      </c>
      <c r="U109" s="253">
        <f t="shared" si="14"/>
        <v>175.40937007691846</v>
      </c>
    </row>
    <row r="110" spans="2:21" x14ac:dyDescent="0.2">
      <c r="B110" s="245">
        <v>45056</v>
      </c>
      <c r="C110" s="246">
        <v>196.09</v>
      </c>
      <c r="D110" s="246">
        <v>412.85</v>
      </c>
      <c r="E110" s="246">
        <v>39.365000000000002</v>
      </c>
      <c r="F110" s="248">
        <f t="shared" si="5"/>
        <v>1.5431619284345555E-2</v>
      </c>
      <c r="G110" s="248">
        <f t="shared" si="6"/>
        <v>4.6723286204464198E-3</v>
      </c>
      <c r="H110" s="248">
        <f t="shared" si="7"/>
        <v>6.3548551093028927E-4</v>
      </c>
      <c r="I110" s="249">
        <f t="shared" si="8"/>
        <v>9.0661327103843004E-2</v>
      </c>
      <c r="J110" s="249">
        <f t="shared" si="9"/>
        <v>2.071847108561764E-2</v>
      </c>
      <c r="K110" s="249">
        <f t="shared" si="10"/>
        <v>-5.4067043133485648E-2</v>
      </c>
      <c r="L110" s="250">
        <f t="shared" si="0"/>
        <v>109.06613271038435</v>
      </c>
      <c r="M110" s="250">
        <f t="shared" si="1"/>
        <v>102.07184710856183</v>
      </c>
      <c r="N110" s="250">
        <f t="shared" si="2"/>
        <v>94.593295686651444</v>
      </c>
      <c r="O110" s="248">
        <f t="shared" si="3"/>
        <v>6.8523160890618051E-2</v>
      </c>
      <c r="P110" s="247">
        <f t="shared" si="4"/>
        <v>0.15300066372225163</v>
      </c>
      <c r="Q110" s="251">
        <f t="shared" si="11"/>
        <v>1.090661327103843</v>
      </c>
      <c r="R110" s="251">
        <f t="shared" si="12"/>
        <v>1.090661327103843</v>
      </c>
      <c r="S110" s="251">
        <f t="shared" si="13"/>
        <v>0</v>
      </c>
      <c r="T110" s="252">
        <f>C110*'1. Share_Price_Analysis'!$E$11+T109*(1-'1. Share_Price_Analysis'!$E$11)</f>
        <v>177.26179707356516</v>
      </c>
      <c r="U110" s="253">
        <f t="shared" si="14"/>
        <v>176.22037517194127</v>
      </c>
    </row>
    <row r="111" spans="2:21" x14ac:dyDescent="0.2">
      <c r="B111" s="245">
        <v>45057</v>
      </c>
      <c r="C111" s="246">
        <v>194.83</v>
      </c>
      <c r="D111" s="246">
        <v>412.13</v>
      </c>
      <c r="E111" s="246">
        <v>38.979999999999997</v>
      </c>
      <c r="F111" s="248">
        <f t="shared" si="5"/>
        <v>-6.4256208883675114E-3</v>
      </c>
      <c r="G111" s="248">
        <f t="shared" si="6"/>
        <v>-1.7439748092528129E-3</v>
      </c>
      <c r="H111" s="248">
        <f t="shared" si="7"/>
        <v>-9.7802616537534526E-3</v>
      </c>
      <c r="I111" s="249">
        <f t="shared" si="8"/>
        <v>8.3653150898269857E-2</v>
      </c>
      <c r="J111" s="249">
        <f t="shared" si="9"/>
        <v>1.893836378470537E-2</v>
      </c>
      <c r="K111" s="249">
        <f t="shared" si="10"/>
        <v>-6.3318514958548788E-2</v>
      </c>
      <c r="L111" s="250">
        <f t="shared" si="0"/>
        <v>108.36531508982704</v>
      </c>
      <c r="M111" s="250">
        <f t="shared" si="1"/>
        <v>101.89383637847058</v>
      </c>
      <c r="N111" s="250">
        <f t="shared" si="2"/>
        <v>93.668148504145137</v>
      </c>
      <c r="O111" s="248">
        <f t="shared" si="3"/>
        <v>6.351197424070909E-2</v>
      </c>
      <c r="P111" s="247">
        <f t="shared" si="4"/>
        <v>0.15690676948772464</v>
      </c>
      <c r="Q111" s="251">
        <f t="shared" si="11"/>
        <v>1.0836531508982699</v>
      </c>
      <c r="R111" s="251">
        <f t="shared" si="12"/>
        <v>1.090661327103843</v>
      </c>
      <c r="S111" s="251">
        <f t="shared" si="13"/>
        <v>-6.4256208883676225E-3</v>
      </c>
      <c r="T111" s="252">
        <f>C111*'1. Share_Price_Analysis'!$E$11+T110*(1-'1. Share_Price_Analysis'!$E$11)</f>
        <v>177.43660506288293</v>
      </c>
      <c r="U111" s="253">
        <f t="shared" si="14"/>
        <v>176.95016438088476</v>
      </c>
    </row>
    <row r="112" spans="2:21" x14ac:dyDescent="0.2">
      <c r="B112" s="245">
        <v>45058</v>
      </c>
      <c r="C112" s="246">
        <v>195.38</v>
      </c>
      <c r="D112" s="246">
        <v>411.59</v>
      </c>
      <c r="E112" s="246">
        <v>39.049999999999997</v>
      </c>
      <c r="F112" s="248">
        <f t="shared" si="5"/>
        <v>2.8229738746599065E-3</v>
      </c>
      <c r="G112" s="248">
        <f t="shared" si="6"/>
        <v>-1.3102661781476677E-3</v>
      </c>
      <c r="H112" s="248">
        <f t="shared" si="7"/>
        <v>1.7957927142124852E-3</v>
      </c>
      <c r="I112" s="249">
        <f t="shared" si="8"/>
        <v>8.6712275432448527E-2</v>
      </c>
      <c r="J112" s="249">
        <f t="shared" si="9"/>
        <v>1.7603283309021167E-2</v>
      </c>
      <c r="K112" s="249">
        <f t="shared" si="10"/>
        <v>-6.1636429172173601E-2</v>
      </c>
      <c r="L112" s="250">
        <f t="shared" si="0"/>
        <v>108.6712275432449</v>
      </c>
      <c r="M112" s="250">
        <f t="shared" si="1"/>
        <v>101.76032833090215</v>
      </c>
      <c r="N112" s="250">
        <f t="shared" si="2"/>
        <v>93.836357082782641</v>
      </c>
      <c r="O112" s="248">
        <f t="shared" si="3"/>
        <v>6.7913491688725847E-2</v>
      </c>
      <c r="P112" s="247">
        <f t="shared" si="4"/>
        <v>0.15809299211578365</v>
      </c>
      <c r="Q112" s="251">
        <f t="shared" si="11"/>
        <v>1.0867122754324485</v>
      </c>
      <c r="R112" s="251">
        <f t="shared" si="12"/>
        <v>1.090661327103843</v>
      </c>
      <c r="S112" s="251">
        <f t="shared" si="13"/>
        <v>-3.6207863736040791E-3</v>
      </c>
      <c r="T112" s="252">
        <f>C112*'1. Share_Price_Analysis'!$E$11+T111*(1-'1. Share_Price_Analysis'!$E$11)</f>
        <v>177.61514630603833</v>
      </c>
      <c r="U112" s="253">
        <f t="shared" si="14"/>
        <v>177.67290303261476</v>
      </c>
    </row>
    <row r="113" spans="2:21" x14ac:dyDescent="0.2">
      <c r="B113" s="245">
        <v>45061</v>
      </c>
      <c r="C113" s="246">
        <v>196.17</v>
      </c>
      <c r="D113" s="246">
        <v>413.01</v>
      </c>
      <c r="E113" s="246">
        <v>39.380000000000003</v>
      </c>
      <c r="F113" s="248">
        <f t="shared" si="5"/>
        <v>4.0434026000613077E-3</v>
      </c>
      <c r="G113" s="248">
        <f t="shared" si="6"/>
        <v>3.4500352292330394E-3</v>
      </c>
      <c r="H113" s="248">
        <f t="shared" si="7"/>
        <v>8.4507042253523235E-3</v>
      </c>
      <c r="I113" s="249">
        <f t="shared" si="8"/>
        <v>9.1106290672450685E-2</v>
      </c>
      <c r="J113" s="249">
        <f t="shared" si="9"/>
        <v>2.111405048582049E-2</v>
      </c>
      <c r="K113" s="249">
        <f t="shared" si="10"/>
        <v>-5.3706596179262212E-2</v>
      </c>
      <c r="L113" s="250">
        <f t="shared" si="0"/>
        <v>109.11062906724511</v>
      </c>
      <c r="M113" s="250">
        <f t="shared" si="1"/>
        <v>102.1114050485821</v>
      </c>
      <c r="N113" s="250">
        <f t="shared" si="2"/>
        <v>94.629340382073764</v>
      </c>
      <c r="O113" s="248">
        <f t="shared" si="3"/>
        <v>6.8544978059335904E-2</v>
      </c>
      <c r="P113" s="247">
        <f t="shared" si="4"/>
        <v>0.15303169848486631</v>
      </c>
      <c r="Q113" s="251">
        <f t="shared" si="11"/>
        <v>1.0911062906724507</v>
      </c>
      <c r="R113" s="251">
        <f t="shared" si="12"/>
        <v>1.0911062906724507</v>
      </c>
      <c r="S113" s="251">
        <f t="shared" si="13"/>
        <v>0</v>
      </c>
      <c r="T113" s="252">
        <f>C113*'1. Share_Price_Analysis'!$E$11+T112*(1-'1. Share_Price_Analysis'!$E$11)</f>
        <v>177.7997717159285</v>
      </c>
      <c r="U113" s="253">
        <f t="shared" si="14"/>
        <v>178.39827938427692</v>
      </c>
    </row>
    <row r="114" spans="2:21" x14ac:dyDescent="0.2">
      <c r="B114" s="245">
        <v>45062</v>
      </c>
      <c r="C114" s="246">
        <v>195.01</v>
      </c>
      <c r="D114" s="246">
        <v>410.25</v>
      </c>
      <c r="E114" s="246">
        <v>38.729999999999997</v>
      </c>
      <c r="F114" s="248">
        <f t="shared" si="5"/>
        <v>-5.9132385176122737E-3</v>
      </c>
      <c r="G114" s="248">
        <f t="shared" si="6"/>
        <v>-6.6826469092757801E-3</v>
      </c>
      <c r="H114" s="248">
        <f t="shared" si="7"/>
        <v>-1.6505840528187044E-2</v>
      </c>
      <c r="I114" s="249">
        <f t="shared" si="8"/>
        <v>8.4654318927637195E-2</v>
      </c>
      <c r="J114" s="249">
        <f t="shared" si="9"/>
        <v>1.429030583232338E-2</v>
      </c>
      <c r="K114" s="249">
        <f t="shared" si="10"/>
        <v>-6.9325964195602663E-2</v>
      </c>
      <c r="L114" s="250">
        <f t="shared" si="0"/>
        <v>108.46543189276379</v>
      </c>
      <c r="M114" s="250">
        <f t="shared" si="1"/>
        <v>101.42903058323239</v>
      </c>
      <c r="N114" s="250">
        <f t="shared" si="2"/>
        <v>93.067403580439731</v>
      </c>
      <c r="O114" s="248">
        <f t="shared" si="3"/>
        <v>6.937265661587233E-2</v>
      </c>
      <c r="P114" s="247">
        <f t="shared" si="4"/>
        <v>0.16545028355728442</v>
      </c>
      <c r="Q114" s="251">
        <f t="shared" si="11"/>
        <v>1.0846543189276372</v>
      </c>
      <c r="R114" s="251">
        <f t="shared" si="12"/>
        <v>1.0911062906724507</v>
      </c>
      <c r="S114" s="251">
        <f t="shared" si="13"/>
        <v>-5.9132385176123847E-3</v>
      </c>
      <c r="T114" s="252">
        <f>C114*'1. Share_Price_Analysis'!$E$11+T113*(1-'1. Share_Price_Analysis'!$E$11)</f>
        <v>177.97101776850636</v>
      </c>
      <c r="U114" s="253">
        <f t="shared" si="14"/>
        <v>179.04971940842293</v>
      </c>
    </row>
    <row r="115" spans="2:21" x14ac:dyDescent="0.2">
      <c r="B115" s="245">
        <v>45063</v>
      </c>
      <c r="C115" s="246">
        <v>196.51</v>
      </c>
      <c r="D115" s="246">
        <v>415.23</v>
      </c>
      <c r="E115" s="246">
        <v>38.984999999999999</v>
      </c>
      <c r="F115" s="248">
        <f t="shared" si="5"/>
        <v>7.6919132352186725E-3</v>
      </c>
      <c r="G115" s="248">
        <f t="shared" si="6"/>
        <v>1.213893967093238E-2</v>
      </c>
      <c r="H115" s="248">
        <f t="shared" si="7"/>
        <v>6.5840433772270668E-3</v>
      </c>
      <c r="I115" s="249">
        <f t="shared" si="8"/>
        <v>9.299738583903383E-2</v>
      </c>
      <c r="J115" s="249">
        <f t="shared" si="9"/>
        <v>2.6602714663633398E-2</v>
      </c>
      <c r="K115" s="249">
        <f t="shared" si="10"/>
        <v>-6.3198365973807569E-2</v>
      </c>
      <c r="L115" s="250">
        <f t="shared" si="0"/>
        <v>109.29973858390345</v>
      </c>
      <c r="M115" s="250">
        <f t="shared" si="1"/>
        <v>102.66027146636338</v>
      </c>
      <c r="N115" s="250">
        <f t="shared" si="2"/>
        <v>93.680163402619243</v>
      </c>
      <c r="O115" s="248">
        <f t="shared" si="3"/>
        <v>6.4674162874344798E-2</v>
      </c>
      <c r="P115" s="247">
        <f t="shared" si="4"/>
        <v>0.16673300530181856</v>
      </c>
      <c r="Q115" s="251">
        <f t="shared" si="11"/>
        <v>1.0929973858390338</v>
      </c>
      <c r="R115" s="251">
        <f t="shared" si="12"/>
        <v>1.0929973858390338</v>
      </c>
      <c r="S115" s="251">
        <f t="shared" si="13"/>
        <v>0</v>
      </c>
      <c r="T115" s="252">
        <f>C115*'1. Share_Price_Analysis'!$E$11+T114*(1-'1. Share_Price_Analysis'!$E$11)</f>
        <v>178.15548525339688</v>
      </c>
      <c r="U115" s="253">
        <f t="shared" si="14"/>
        <v>179.73443629436716</v>
      </c>
    </row>
    <row r="116" spans="2:21" x14ac:dyDescent="0.2">
      <c r="B116" s="245">
        <v>45064</v>
      </c>
      <c r="C116" s="246">
        <v>196.41</v>
      </c>
      <c r="D116" s="246">
        <v>419.23</v>
      </c>
      <c r="E116" s="246">
        <v>39.215000000000003</v>
      </c>
      <c r="F116" s="248">
        <f t="shared" si="5"/>
        <v>-5.0887995521853302E-4</v>
      </c>
      <c r="G116" s="248">
        <f t="shared" si="6"/>
        <v>9.6332153264455656E-3</v>
      </c>
      <c r="H116" s="248">
        <f t="shared" si="7"/>
        <v>5.8997050147493457E-3</v>
      </c>
      <c r="I116" s="249">
        <f t="shared" si="8"/>
        <v>9.2441181378274173E-2</v>
      </c>
      <c r="J116" s="249">
        <f t="shared" si="9"/>
        <v>3.6492199668701764E-2</v>
      </c>
      <c r="K116" s="249">
        <f t="shared" si="10"/>
        <v>-5.7671512675717906E-2</v>
      </c>
      <c r="L116" s="250">
        <f t="shared" si="0"/>
        <v>109.24411813782746</v>
      </c>
      <c r="M116" s="250">
        <f t="shared" si="1"/>
        <v>103.64921996687022</v>
      </c>
      <c r="N116" s="250">
        <f t="shared" si="2"/>
        <v>94.232848732428209</v>
      </c>
      <c r="O116" s="248">
        <f t="shared" si="3"/>
        <v>5.397916330432162E-2</v>
      </c>
      <c r="P116" s="247">
        <f t="shared" si="4"/>
        <v>0.15929975170360522</v>
      </c>
      <c r="Q116" s="251">
        <f t="shared" si="11"/>
        <v>1.0924411813782742</v>
      </c>
      <c r="R116" s="251">
        <f t="shared" si="12"/>
        <v>1.0929973858390338</v>
      </c>
      <c r="S116" s="251">
        <f t="shared" si="13"/>
        <v>-5.08879955218422E-4</v>
      </c>
      <c r="T116" s="252">
        <f>C116*'1. Share_Price_Analysis'!$E$11+T115*(1-'1. Share_Price_Analysis'!$E$11)</f>
        <v>178.33712221604966</v>
      </c>
      <c r="U116" s="253">
        <f t="shared" si="14"/>
        <v>180.38837996909785</v>
      </c>
    </row>
    <row r="117" spans="2:21" x14ac:dyDescent="0.2">
      <c r="B117" s="245">
        <v>45065</v>
      </c>
      <c r="C117" s="246">
        <v>197.22</v>
      </c>
      <c r="D117" s="246">
        <v>418.62</v>
      </c>
      <c r="E117" s="246">
        <v>39.314999999999998</v>
      </c>
      <c r="F117" s="248">
        <f t="shared" si="5"/>
        <v>4.12402627157471E-3</v>
      </c>
      <c r="G117" s="248">
        <f t="shared" si="6"/>
        <v>-1.4550485413734604E-3</v>
      </c>
      <c r="H117" s="248">
        <f t="shared" si="7"/>
        <v>2.5500446257809006E-3</v>
      </c>
      <c r="I117" s="249">
        <f t="shared" si="8"/>
        <v>9.6946437510428307E-2</v>
      </c>
      <c r="J117" s="249">
        <f t="shared" si="9"/>
        <v>3.4984053205428856E-2</v>
      </c>
      <c r="K117" s="249">
        <f t="shared" si="10"/>
        <v>-5.5268532980896401E-2</v>
      </c>
      <c r="L117" s="250">
        <f t="shared" si="0"/>
        <v>109.6946437510429</v>
      </c>
      <c r="M117" s="250">
        <f t="shared" si="1"/>
        <v>103.49840532054293</v>
      </c>
      <c r="N117" s="250">
        <f t="shared" si="2"/>
        <v>94.473146701910366</v>
      </c>
      <c r="O117" s="248">
        <f t="shared" si="3"/>
        <v>5.9867960393299668E-2</v>
      </c>
      <c r="P117" s="247">
        <f t="shared" si="4"/>
        <v>0.16111982696162985</v>
      </c>
      <c r="Q117" s="251">
        <f t="shared" si="11"/>
        <v>1.0969464375104283</v>
      </c>
      <c r="R117" s="251">
        <f t="shared" si="12"/>
        <v>1.0969464375104283</v>
      </c>
      <c r="S117" s="251">
        <f t="shared" si="13"/>
        <v>0</v>
      </c>
      <c r="T117" s="252">
        <f>C117*'1. Share_Price_Analysis'!$E$11+T116*(1-'1. Share_Price_Analysis'!$E$11)</f>
        <v>178.52501154723325</v>
      </c>
      <c r="U117" s="253">
        <f t="shared" si="14"/>
        <v>181.04844349972149</v>
      </c>
    </row>
    <row r="118" spans="2:21" x14ac:dyDescent="0.2">
      <c r="B118" s="245">
        <v>45068</v>
      </c>
      <c r="C118" s="246">
        <v>197.26</v>
      </c>
      <c r="D118" s="246">
        <v>418.79</v>
      </c>
      <c r="E118" s="246">
        <v>39.11</v>
      </c>
      <c r="F118" s="248">
        <f t="shared" si="5"/>
        <v>2.0281918669495802E-4</v>
      </c>
      <c r="G118" s="248">
        <f t="shared" si="6"/>
        <v>4.0609622091647424E-4</v>
      </c>
      <c r="H118" s="248">
        <f t="shared" si="7"/>
        <v>-5.2142947984229471E-3</v>
      </c>
      <c r="I118" s="249">
        <f t="shared" si="8"/>
        <v>9.7168919294732037E-2</v>
      </c>
      <c r="J118" s="249">
        <f t="shared" si="9"/>
        <v>3.5404356318144314E-2</v>
      </c>
      <c r="K118" s="249">
        <f t="shared" si="10"/>
        <v>-6.0194641355280631E-2</v>
      </c>
      <c r="L118" s="250">
        <f t="shared" si="0"/>
        <v>109.71689192947326</v>
      </c>
      <c r="M118" s="250">
        <f t="shared" si="1"/>
        <v>103.54043563181447</v>
      </c>
      <c r="N118" s="250">
        <f t="shared" si="2"/>
        <v>93.980535864471932</v>
      </c>
      <c r="O118" s="248">
        <f t="shared" si="3"/>
        <v>5.9652601034266395E-2</v>
      </c>
      <c r="P118" s="247">
        <f t="shared" si="4"/>
        <v>0.167442714815911</v>
      </c>
      <c r="Q118" s="251">
        <f t="shared" si="11"/>
        <v>1.097168919294732</v>
      </c>
      <c r="R118" s="251">
        <f t="shared" si="12"/>
        <v>1.097168919294732</v>
      </c>
      <c r="S118" s="251">
        <f t="shared" si="13"/>
        <v>0</v>
      </c>
      <c r="T118" s="252">
        <f>C118*'1. Share_Price_Analysis'!$E$11+T117*(1-'1. Share_Price_Analysis'!$E$11)</f>
        <v>178.71142934278316</v>
      </c>
      <c r="U118" s="253">
        <f t="shared" si="14"/>
        <v>181.68419081345792</v>
      </c>
    </row>
    <row r="119" spans="2:21" x14ac:dyDescent="0.2">
      <c r="B119" s="245">
        <v>45069</v>
      </c>
      <c r="C119" s="246">
        <v>195.2</v>
      </c>
      <c r="D119" s="246">
        <v>414.09</v>
      </c>
      <c r="E119" s="246">
        <v>38.505000000000003</v>
      </c>
      <c r="F119" s="248">
        <f t="shared" si="5"/>
        <v>-1.0443070059819592E-2</v>
      </c>
      <c r="G119" s="248">
        <f t="shared" si="6"/>
        <v>-1.1222808567539877E-2</v>
      </c>
      <c r="H119" s="248">
        <f t="shared" si="7"/>
        <v>-1.5469189465609712E-2</v>
      </c>
      <c r="I119" s="249">
        <f t="shared" si="8"/>
        <v>8.5711107403080522E-2</v>
      </c>
      <c r="J119" s="249">
        <f t="shared" si="9"/>
        <v>2.3784211437188896E-2</v>
      </c>
      <c r="K119" s="249">
        <f t="shared" si="10"/>
        <v>-7.4732668508951106E-2</v>
      </c>
      <c r="L119" s="250">
        <f t="shared" si="0"/>
        <v>108.57111074030814</v>
      </c>
      <c r="M119" s="250">
        <f t="shared" si="1"/>
        <v>102.37842114371894</v>
      </c>
      <c r="N119" s="250">
        <f t="shared" si="2"/>
        <v>92.526733149104885</v>
      </c>
      <c r="O119" s="248">
        <f t="shared" si="3"/>
        <v>6.0488231088227762E-2</v>
      </c>
      <c r="P119" s="247">
        <f t="shared" si="4"/>
        <v>0.17340261614281771</v>
      </c>
      <c r="Q119" s="251">
        <f t="shared" si="11"/>
        <v>1.0857111074030805</v>
      </c>
      <c r="R119" s="251">
        <f t="shared" si="12"/>
        <v>1.097168919294732</v>
      </c>
      <c r="S119" s="251">
        <f t="shared" si="13"/>
        <v>-1.0443070059819703E-2</v>
      </c>
      <c r="T119" s="252">
        <f>C119*'1. Share_Price_Analysis'!$E$11+T118*(1-'1. Share_Price_Analysis'!$E$11)</f>
        <v>178.87549472245698</v>
      </c>
      <c r="U119" s="253">
        <f t="shared" si="14"/>
        <v>182.2142225462635</v>
      </c>
    </row>
    <row r="120" spans="2:21" x14ac:dyDescent="0.2">
      <c r="B120" s="245">
        <v>45070</v>
      </c>
      <c r="C120" s="246">
        <v>194.1</v>
      </c>
      <c r="D120" s="246">
        <v>411.09</v>
      </c>
      <c r="E120" s="246">
        <v>38.064999999999998</v>
      </c>
      <c r="F120" s="248">
        <f t="shared" si="5"/>
        <v>-5.6352459016393297E-3</v>
      </c>
      <c r="G120" s="248">
        <f t="shared" si="6"/>
        <v>-7.2448018546692472E-3</v>
      </c>
      <c r="H120" s="248">
        <f t="shared" si="7"/>
        <v>-1.1427087391247981E-2</v>
      </c>
      <c r="I120" s="249">
        <f t="shared" si="8"/>
        <v>7.959285833472296E-2</v>
      </c>
      <c r="J120" s="249">
        <f t="shared" si="9"/>
        <v>1.6367097683387621E-2</v>
      </c>
      <c r="K120" s="249">
        <f t="shared" si="10"/>
        <v>-8.5305779166166107E-2</v>
      </c>
      <c r="L120" s="250">
        <f t="shared" si="0"/>
        <v>107.95928583347238</v>
      </c>
      <c r="M120" s="250">
        <f t="shared" si="1"/>
        <v>101.6367097683388</v>
      </c>
      <c r="N120" s="250">
        <f t="shared" si="2"/>
        <v>91.469422083383392</v>
      </c>
      <c r="O120" s="248">
        <f t="shared" si="3"/>
        <v>6.2207602740629975E-2</v>
      </c>
      <c r="P120" s="247">
        <f t="shared" si="4"/>
        <v>0.18027733612503605</v>
      </c>
      <c r="Q120" s="251">
        <f t="shared" si="11"/>
        <v>1.079592858334723</v>
      </c>
      <c r="R120" s="251">
        <f t="shared" si="12"/>
        <v>1.097168919294732</v>
      </c>
      <c r="S120" s="251">
        <f t="shared" si="13"/>
        <v>-1.601946669370391E-2</v>
      </c>
      <c r="T120" s="252">
        <f>C120*'1. Share_Price_Analysis'!$E$11+T119*(1-'1. Share_Price_Analysis'!$E$11)</f>
        <v>179.0269823371589</v>
      </c>
      <c r="U120" s="253">
        <f t="shared" si="14"/>
        <v>182.68033146601789</v>
      </c>
    </row>
    <row r="121" spans="2:21" x14ac:dyDescent="0.2">
      <c r="B121" s="245">
        <v>45071</v>
      </c>
      <c r="C121" s="246">
        <v>195.1</v>
      </c>
      <c r="D121" s="246">
        <v>414.65</v>
      </c>
      <c r="E121" s="246">
        <v>37.93</v>
      </c>
      <c r="F121" s="248">
        <f t="shared" si="5"/>
        <v>5.1519835136526471E-3</v>
      </c>
      <c r="G121" s="248">
        <f t="shared" si="6"/>
        <v>8.6599041572406055E-3</v>
      </c>
      <c r="H121" s="248">
        <f t="shared" si="7"/>
        <v>-3.5465650860370124E-3</v>
      </c>
      <c r="I121" s="249">
        <f t="shared" si="8"/>
        <v>8.5154902942320643E-2</v>
      </c>
      <c r="J121" s="249">
        <f t="shared" si="9"/>
        <v>2.5168739337898538E-2</v>
      </c>
      <c r="K121" s="249">
        <f t="shared" si="10"/>
        <v>-8.8549801754175261E-2</v>
      </c>
      <c r="L121" s="250">
        <f t="shared" si="0"/>
        <v>108.51549029423215</v>
      </c>
      <c r="M121" s="250">
        <f t="shared" si="1"/>
        <v>102.51687393378988</v>
      </c>
      <c r="N121" s="250">
        <f t="shared" si="2"/>
        <v>91.145019824582477</v>
      </c>
      <c r="O121" s="248">
        <f t="shared" si="3"/>
        <v>5.8513453739492682E-2</v>
      </c>
      <c r="P121" s="247">
        <f t="shared" si="4"/>
        <v>0.19058057700882358</v>
      </c>
      <c r="Q121" s="251">
        <f t="shared" si="11"/>
        <v>1.0851549029423206</v>
      </c>
      <c r="R121" s="251">
        <f t="shared" si="12"/>
        <v>1.097168919294732</v>
      </c>
      <c r="S121" s="251">
        <f t="shared" si="13"/>
        <v>-1.0950015208354702E-2</v>
      </c>
      <c r="T121" s="252">
        <f>C121*'1. Share_Price_Analysis'!$E$11+T120*(1-'1. Share_Price_Analysis'!$E$11)</f>
        <v>179.18691286116729</v>
      </c>
      <c r="U121" s="253">
        <f t="shared" si="14"/>
        <v>183.16737729087995</v>
      </c>
    </row>
    <row r="122" spans="2:21" x14ac:dyDescent="0.2">
      <c r="B122" s="245">
        <v>45072</v>
      </c>
      <c r="C122" s="246">
        <v>196</v>
      </c>
      <c r="D122" s="246">
        <v>420.02</v>
      </c>
      <c r="E122" s="246">
        <v>38.119999999999997</v>
      </c>
      <c r="F122" s="248">
        <f t="shared" si="5"/>
        <v>4.6130189646336195E-3</v>
      </c>
      <c r="G122" s="248">
        <f t="shared" si="6"/>
        <v>1.2950681297479782E-2</v>
      </c>
      <c r="H122" s="248">
        <f t="shared" si="7"/>
        <v>5.0092275243869278E-3</v>
      </c>
      <c r="I122" s="249">
        <f t="shared" si="8"/>
        <v>9.0160743089158668E-2</v>
      </c>
      <c r="J122" s="249">
        <f t="shared" si="9"/>
        <v>3.8445372957202739E-2</v>
      </c>
      <c r="K122" s="249">
        <f t="shared" si="10"/>
        <v>-8.3984140334014357E-2</v>
      </c>
      <c r="L122" s="250">
        <f t="shared" si="0"/>
        <v>109.01607430891596</v>
      </c>
      <c r="M122" s="250">
        <f t="shared" si="1"/>
        <v>103.84453729572031</v>
      </c>
      <c r="N122" s="250">
        <f t="shared" si="2"/>
        <v>91.601585966598577</v>
      </c>
      <c r="O122" s="248">
        <f t="shared" si="3"/>
        <v>4.9800761290586637E-2</v>
      </c>
      <c r="P122" s="247">
        <f t="shared" si="4"/>
        <v>0.19011120995947928</v>
      </c>
      <c r="Q122" s="251">
        <f t="shared" si="11"/>
        <v>1.0901607430891587</v>
      </c>
      <c r="R122" s="251">
        <f t="shared" si="12"/>
        <v>1.097168919294732</v>
      </c>
      <c r="S122" s="251">
        <f t="shared" si="13"/>
        <v>-6.3875088715402706E-3</v>
      </c>
      <c r="T122" s="252">
        <f>C122*'1. Share_Price_Analysis'!$E$11+T121*(1-'1. Share_Price_Analysis'!$E$11)</f>
        <v>179.35420726055867</v>
      </c>
      <c r="U122" s="253">
        <f t="shared" si="14"/>
        <v>183.67061739711997</v>
      </c>
    </row>
    <row r="123" spans="2:21" x14ac:dyDescent="0.2">
      <c r="B123" s="245">
        <v>45076</v>
      </c>
      <c r="C123" s="246">
        <v>196.05</v>
      </c>
      <c r="D123" s="246">
        <v>420.18</v>
      </c>
      <c r="E123" s="246">
        <v>37.914999999999999</v>
      </c>
      <c r="F123" s="248">
        <f t="shared" si="5"/>
        <v>2.5510204081635734E-4</v>
      </c>
      <c r="G123" s="248">
        <f t="shared" si="6"/>
        <v>3.8093424122664921E-4</v>
      </c>
      <c r="H123" s="248">
        <f t="shared" si="7"/>
        <v>-5.3777544596012028E-3</v>
      </c>
      <c r="I123" s="249">
        <f t="shared" si="8"/>
        <v>9.0438845319538608E-2</v>
      </c>
      <c r="J123" s="249">
        <f t="shared" si="9"/>
        <v>3.8840952357405589E-2</v>
      </c>
      <c r="K123" s="249">
        <f t="shared" si="10"/>
        <v>-8.8910248708398587E-2</v>
      </c>
      <c r="L123" s="250">
        <f t="shared" si="0"/>
        <v>109.04388453195395</v>
      </c>
      <c r="M123" s="250">
        <f t="shared" si="1"/>
        <v>103.8840952357406</v>
      </c>
      <c r="N123" s="250">
        <f t="shared" si="2"/>
        <v>91.108975129160157</v>
      </c>
      <c r="O123" s="248">
        <f t="shared" si="3"/>
        <v>4.9668712852572572E-2</v>
      </c>
      <c r="P123" s="247">
        <f t="shared" si="4"/>
        <v>0.1968511815369276</v>
      </c>
      <c r="Q123" s="251">
        <f t="shared" si="11"/>
        <v>1.0904388453195386</v>
      </c>
      <c r="R123" s="251">
        <f t="shared" si="12"/>
        <v>1.097168919294732</v>
      </c>
      <c r="S123" s="251">
        <f t="shared" si="13"/>
        <v>-6.1340362972728268E-3</v>
      </c>
      <c r="T123" s="252">
        <f>C123*'1. Share_Price_Analysis'!$E$11+T122*(1-'1. Share_Price_Analysis'!$E$11)</f>
        <v>179.52033455149839</v>
      </c>
      <c r="U123" s="253">
        <f t="shared" si="14"/>
        <v>184.15608338154664</v>
      </c>
    </row>
    <row r="124" spans="2:21" x14ac:dyDescent="0.2">
      <c r="B124" s="245">
        <v>45077</v>
      </c>
      <c r="C124" s="246">
        <v>195.5</v>
      </c>
      <c r="D124" s="246">
        <v>417.85</v>
      </c>
      <c r="E124" s="246">
        <v>37.51</v>
      </c>
      <c r="F124" s="248">
        <f t="shared" si="5"/>
        <v>-2.8054067839837771E-3</v>
      </c>
      <c r="G124" s="248">
        <f t="shared" si="6"/>
        <v>-5.5452425151125695E-3</v>
      </c>
      <c r="H124" s="248">
        <f t="shared" si="7"/>
        <v>-1.0681788210470833E-2</v>
      </c>
      <c r="I124" s="249">
        <f t="shared" si="8"/>
        <v>8.7379720785359716E-2</v>
      </c>
      <c r="J124" s="249">
        <f t="shared" si="9"/>
        <v>3.3080327341953319E-2</v>
      </c>
      <c r="K124" s="249">
        <f t="shared" si="10"/>
        <v>-9.864231647242605E-2</v>
      </c>
      <c r="L124" s="250">
        <f t="shared" si="0"/>
        <v>108.73797207853609</v>
      </c>
      <c r="M124" s="250">
        <f t="shared" si="1"/>
        <v>103.30803273419538</v>
      </c>
      <c r="N124" s="250">
        <f t="shared" si="2"/>
        <v>90.13576835275741</v>
      </c>
      <c r="O124" s="248">
        <f t="shared" si="3"/>
        <v>5.2560669297725404E-2</v>
      </c>
      <c r="P124" s="247">
        <f t="shared" si="4"/>
        <v>0.20637982086064399</v>
      </c>
      <c r="Q124" s="251">
        <f t="shared" si="11"/>
        <v>1.0873797207853597</v>
      </c>
      <c r="R124" s="251">
        <f t="shared" si="12"/>
        <v>1.097168919294732</v>
      </c>
      <c r="S124" s="251">
        <f t="shared" si="13"/>
        <v>-8.922234614215041E-3</v>
      </c>
      <c r="T124" s="252">
        <f>C124*'1. Share_Price_Analysis'!$E$11+T123*(1-'1. Share_Price_Analysis'!$E$11)</f>
        <v>179.67933619775215</v>
      </c>
      <c r="U124" s="253">
        <f t="shared" si="14"/>
        <v>184.60094285678011</v>
      </c>
    </row>
    <row r="125" spans="2:21" x14ac:dyDescent="0.2">
      <c r="B125" s="245">
        <v>45078</v>
      </c>
      <c r="C125" s="246">
        <v>198.8</v>
      </c>
      <c r="D125" s="246">
        <v>421.82</v>
      </c>
      <c r="E125" s="246">
        <v>38.01</v>
      </c>
      <c r="F125" s="248">
        <f t="shared" si="5"/>
        <v>1.6879795396419484E-2</v>
      </c>
      <c r="G125" s="248">
        <f t="shared" si="6"/>
        <v>9.5010171114036091E-3</v>
      </c>
      <c r="H125" s="248">
        <f t="shared" si="7"/>
        <v>1.3329778725673203E-2</v>
      </c>
      <c r="I125" s="249">
        <f t="shared" si="8"/>
        <v>0.1057344679904324</v>
      </c>
      <c r="J125" s="249">
        <f t="shared" si="9"/>
        <v>4.2895641209483637E-2</v>
      </c>
      <c r="K125" s="249">
        <f t="shared" si="10"/>
        <v>-8.6627417998318079E-2</v>
      </c>
      <c r="L125" s="250">
        <f t="shared" si="0"/>
        <v>110.57344679904332</v>
      </c>
      <c r="M125" s="250">
        <f t="shared" si="1"/>
        <v>104.28956412094838</v>
      </c>
      <c r="N125" s="250">
        <f t="shared" si="2"/>
        <v>91.337258200168208</v>
      </c>
      <c r="O125" s="248">
        <f t="shared" si="3"/>
        <v>6.0254184884762196E-2</v>
      </c>
      <c r="P125" s="247">
        <f t="shared" si="4"/>
        <v>0.21060615326024346</v>
      </c>
      <c r="Q125" s="251">
        <f t="shared" si="11"/>
        <v>1.1057344679904324</v>
      </c>
      <c r="R125" s="251">
        <f t="shared" si="12"/>
        <v>1.1057344679904324</v>
      </c>
      <c r="S125" s="251">
        <f t="shared" si="13"/>
        <v>0</v>
      </c>
      <c r="T125" s="252">
        <f>C125*'1. Share_Price_Analysis'!$E$11+T124*(1-'1. Share_Price_Analysis'!$E$11)</f>
        <v>179.86959155896855</v>
      </c>
      <c r="U125" s="253">
        <f t="shared" si="14"/>
        <v>185.15776862710248</v>
      </c>
    </row>
    <row r="126" spans="2:21" x14ac:dyDescent="0.2">
      <c r="B126" s="245">
        <v>45079</v>
      </c>
      <c r="C126" s="246">
        <v>202.73</v>
      </c>
      <c r="D126" s="246">
        <v>427.92</v>
      </c>
      <c r="E126" s="246">
        <v>39.284999999999997</v>
      </c>
      <c r="F126" s="248">
        <f t="shared" si="5"/>
        <v>1.9768611670019975E-2</v>
      </c>
      <c r="G126" s="248">
        <f t="shared" si="6"/>
        <v>1.4461144564032136E-2</v>
      </c>
      <c r="H126" s="248">
        <f t="shared" si="7"/>
        <v>3.3543804262036181E-2</v>
      </c>
      <c r="I126" s="249">
        <f t="shared" si="8"/>
        <v>0.12759330329829144</v>
      </c>
      <c r="J126" s="249">
        <f t="shared" si="9"/>
        <v>5.7977105842212939E-2</v>
      </c>
      <c r="K126" s="249">
        <f t="shared" si="10"/>
        <v>-5.5989426889343052E-2</v>
      </c>
      <c r="L126" s="250">
        <f t="shared" si="0"/>
        <v>112.75933032982925</v>
      </c>
      <c r="M126" s="250">
        <f t="shared" si="1"/>
        <v>105.79771058422132</v>
      </c>
      <c r="N126" s="250">
        <f t="shared" si="2"/>
        <v>94.401057311065699</v>
      </c>
      <c r="O126" s="248">
        <f t="shared" si="3"/>
        <v>6.5801232438446711E-2</v>
      </c>
      <c r="P126" s="247">
        <f t="shared" si="4"/>
        <v>0.19447105299117751</v>
      </c>
      <c r="Q126" s="251">
        <f t="shared" si="11"/>
        <v>1.1275933032982914</v>
      </c>
      <c r="R126" s="251">
        <f t="shared" si="12"/>
        <v>1.1275933032982914</v>
      </c>
      <c r="S126" s="251">
        <f t="shared" si="13"/>
        <v>0</v>
      </c>
      <c r="T126" s="252">
        <f>C126*'1. Share_Price_Analysis'!$E$11+T125*(1-'1. Share_Price_Analysis'!$E$11)</f>
        <v>180.09705830962557</v>
      </c>
      <c r="U126" s="253">
        <f t="shared" si="14"/>
        <v>185.84687573976512</v>
      </c>
    </row>
    <row r="127" spans="2:21" x14ac:dyDescent="0.2">
      <c r="B127" s="245">
        <v>45082</v>
      </c>
      <c r="C127" s="246">
        <v>202.24</v>
      </c>
      <c r="D127" s="246">
        <v>427.1</v>
      </c>
      <c r="E127" s="246">
        <v>39.255000000000003</v>
      </c>
      <c r="F127" s="248">
        <f t="shared" si="5"/>
        <v>-2.4170078429437414E-3</v>
      </c>
      <c r="G127" s="248">
        <f t="shared" si="6"/>
        <v>-1.9162460272947879E-3</v>
      </c>
      <c r="H127" s="248">
        <f t="shared" si="7"/>
        <v>-7.6365024818614291E-4</v>
      </c>
      <c r="I127" s="249">
        <f t="shared" si="8"/>
        <v>0.1248679014405687</v>
      </c>
      <c r="J127" s="249">
        <f t="shared" si="9"/>
        <v>5.5949761416173915E-2</v>
      </c>
      <c r="K127" s="249">
        <f t="shared" si="10"/>
        <v>-5.6710320797789371E-2</v>
      </c>
      <c r="L127" s="250">
        <f t="shared" si="0"/>
        <v>112.48679014405695</v>
      </c>
      <c r="M127" s="250">
        <f t="shared" si="1"/>
        <v>105.59497614161741</v>
      </c>
      <c r="N127" s="250">
        <f t="shared" si="2"/>
        <v>94.328967920221075</v>
      </c>
      <c r="O127" s="248">
        <f t="shared" si="3"/>
        <v>6.5266495190042129E-2</v>
      </c>
      <c r="P127" s="247">
        <f t="shared" si="4"/>
        <v>0.19249465592788861</v>
      </c>
      <c r="Q127" s="251">
        <f t="shared" si="11"/>
        <v>1.1248679014405687</v>
      </c>
      <c r="R127" s="251">
        <f t="shared" si="12"/>
        <v>1.1275933032982914</v>
      </c>
      <c r="S127" s="251">
        <f t="shared" si="13"/>
        <v>-2.4170078429436304E-3</v>
      </c>
      <c r="T127" s="252">
        <f>C127*'1. Share_Price_Analysis'!$E$11+T126*(1-'1. Share_Price_Analysis'!$E$11)</f>
        <v>180.31738608763925</v>
      </c>
      <c r="U127" s="253">
        <f t="shared" si="14"/>
        <v>186.48974335781355</v>
      </c>
    </row>
    <row r="128" spans="2:21" x14ac:dyDescent="0.2">
      <c r="B128" s="245">
        <v>45083</v>
      </c>
      <c r="C128" s="246">
        <v>203.12</v>
      </c>
      <c r="D128" s="246">
        <v>428.03</v>
      </c>
      <c r="E128" s="246">
        <v>39.505000000000003</v>
      </c>
      <c r="F128" s="248">
        <f t="shared" si="5"/>
        <v>4.3512658227848888E-3</v>
      </c>
      <c r="G128" s="248">
        <f t="shared" si="6"/>
        <v>2.1774760009365401E-3</v>
      </c>
      <c r="H128" s="248">
        <f t="shared" si="7"/>
        <v>6.3686154629982727E-3</v>
      </c>
      <c r="I128" s="249">
        <f t="shared" si="8"/>
        <v>0.12976250069525475</v>
      </c>
      <c r="J128" s="249">
        <f t="shared" si="9"/>
        <v>5.8249066679852302E-2</v>
      </c>
      <c r="K128" s="249">
        <f t="shared" si="10"/>
        <v>-5.0702871560735496E-2</v>
      </c>
      <c r="L128" s="250">
        <f t="shared" ref="L128:L191" si="15">(C128/$C$64)*100</f>
        <v>112.97625006952556</v>
      </c>
      <c r="M128" s="250">
        <f t="shared" ref="M128:M191" si="16">(D128/$D$64)*100</f>
        <v>105.82490666798525</v>
      </c>
      <c r="N128" s="250">
        <f t="shared" ref="N128:N191" si="17">(E128/$E$64)*100</f>
        <v>94.929712843926467</v>
      </c>
      <c r="O128" s="248">
        <f t="shared" ref="O128:O191" si="18">(1+I128)/(1+J128)-1</f>
        <v>6.7577129304510875E-2</v>
      </c>
      <c r="P128" s="247">
        <f t="shared" ref="P128:P191" si="19">(1+I128)/(1+K128)-1</f>
        <v>0.19010420115005777</v>
      </c>
      <c r="Q128" s="251">
        <f t="shared" si="11"/>
        <v>1.1297625006952547</v>
      </c>
      <c r="R128" s="251">
        <f t="shared" si="12"/>
        <v>1.1297625006952547</v>
      </c>
      <c r="S128" s="251">
        <f t="shared" si="13"/>
        <v>0</v>
      </c>
      <c r="T128" s="252">
        <f>C128*'1. Share_Price_Analysis'!$E$11+T127*(1-'1. Share_Price_Analysis'!$E$11)</f>
        <v>180.54427776835925</v>
      </c>
      <c r="U128" s="253">
        <f t="shared" si="14"/>
        <v>187.14191028495813</v>
      </c>
    </row>
    <row r="129" spans="2:21" x14ac:dyDescent="0.2">
      <c r="B129" s="245">
        <v>45084</v>
      </c>
      <c r="C129" s="246">
        <v>204.99</v>
      </c>
      <c r="D129" s="246">
        <v>426.55</v>
      </c>
      <c r="E129" s="246">
        <v>39.975000000000001</v>
      </c>
      <c r="F129" s="248">
        <f t="shared" ref="F129:F192" si="20">C129/C128-1</f>
        <v>9.2063804647499747E-3</v>
      </c>
      <c r="G129" s="248">
        <f t="shared" ref="G129:G192" si="21">D129/D128 - 1</f>
        <v>-3.4577015629744245E-3</v>
      </c>
      <c r="H129" s="248">
        <f t="shared" ref="H129:H192" si="22">E129/E128 - 1</f>
        <v>1.1897228198962218E-2</v>
      </c>
      <c r="I129" s="249">
        <f t="shared" ref="I129:I192" si="23">(1+F129)*(1+I128)-1</f>
        <v>0.14016352411146271</v>
      </c>
      <c r="J129" s="249">
        <f t="shared" ref="J129:J192" si="24">(1+G129)*(1+J128)-1</f>
        <v>5.4589957227977104E-2</v>
      </c>
      <c r="K129" s="249">
        <f t="shared" ref="K129:K192" si="25">(1+H129)*(1+K128)-1</f>
        <v>-3.9408866995074066E-2</v>
      </c>
      <c r="L129" s="250">
        <f t="shared" si="15"/>
        <v>114.01635241114634</v>
      </c>
      <c r="M129" s="250">
        <f t="shared" si="16"/>
        <v>105.45899572279774</v>
      </c>
      <c r="N129" s="250">
        <f t="shared" si="17"/>
        <v>96.059113300492598</v>
      </c>
      <c r="O129" s="248">
        <f t="shared" si="18"/>
        <v>8.1143923566670884E-2</v>
      </c>
      <c r="P129" s="247">
        <f t="shared" si="19"/>
        <v>0.18693946356218971</v>
      </c>
      <c r="Q129" s="251">
        <f t="shared" ref="Q129:Q192" si="26">Q128*(1+F129)</f>
        <v>1.1401635241114627</v>
      </c>
      <c r="R129" s="251">
        <f t="shared" ref="R129:R192" si="27">MAX(Q129,R128)</f>
        <v>1.1401635241114627</v>
      </c>
      <c r="S129" s="251">
        <f t="shared" ref="S129:S192" si="28">Q129/R129-1</f>
        <v>0</v>
      </c>
      <c r="T129" s="252">
        <f>C129*'1. Share_Price_Analysis'!$E$11+T128*(1-'1. Share_Price_Analysis'!$E$11)</f>
        <v>180.78751878558953</v>
      </c>
      <c r="U129" s="253">
        <f t="shared" ref="U129:U192" si="29">C129*$L$5+U128*(1-$L$5)</f>
        <v>187.84183537182253</v>
      </c>
    </row>
    <row r="130" spans="2:21" x14ac:dyDescent="0.2">
      <c r="B130" s="245">
        <v>45085</v>
      </c>
      <c r="C130" s="246">
        <v>206.18</v>
      </c>
      <c r="D130" s="246">
        <v>429.13</v>
      </c>
      <c r="E130" s="246">
        <v>39.83</v>
      </c>
      <c r="F130" s="248">
        <f t="shared" si="20"/>
        <v>5.8051612273768427E-3</v>
      </c>
      <c r="G130" s="248">
        <f t="shared" si="21"/>
        <v>6.0485288946194871E-3</v>
      </c>
      <c r="H130" s="248">
        <f t="shared" si="22"/>
        <v>-3.6272670419013053E-3</v>
      </c>
      <c r="I130" s="249">
        <f t="shared" si="23"/>
        <v>0.14678235719450394</v>
      </c>
      <c r="J130" s="249">
        <f t="shared" si="24"/>
        <v>6.0968675056246147E-2</v>
      </c>
      <c r="K130" s="249">
        <f t="shared" si="25"/>
        <v>-4.2893187552565437E-2</v>
      </c>
      <c r="L130" s="250">
        <f t="shared" si="15"/>
        <v>114.67823571945048</v>
      </c>
      <c r="M130" s="250">
        <f t="shared" si="16"/>
        <v>106.09686750562463</v>
      </c>
      <c r="N130" s="250">
        <f t="shared" si="17"/>
        <v>95.710681244743483</v>
      </c>
      <c r="O130" s="248">
        <f t="shared" si="18"/>
        <v>8.08823899854616E-2</v>
      </c>
      <c r="P130" s="247">
        <f t="shared" si="19"/>
        <v>0.19817594262237748</v>
      </c>
      <c r="Q130" s="251">
        <f t="shared" si="26"/>
        <v>1.1467823571945039</v>
      </c>
      <c r="R130" s="251">
        <f t="shared" si="27"/>
        <v>1.1467823571945039</v>
      </c>
      <c r="S130" s="251">
        <f t="shared" si="28"/>
        <v>0</v>
      </c>
      <c r="T130" s="252">
        <f>C130*'1. Share_Price_Analysis'!$E$11+T129*(1-'1. Share_Price_Analysis'!$E$11)</f>
        <v>181.04018029021054</v>
      </c>
      <c r="U130" s="253">
        <f t="shared" si="29"/>
        <v>188.56097908273145</v>
      </c>
    </row>
    <row r="131" spans="2:21" x14ac:dyDescent="0.2">
      <c r="B131" s="245">
        <v>45086</v>
      </c>
      <c r="C131" s="246">
        <v>206.64</v>
      </c>
      <c r="D131" s="246">
        <v>429.9</v>
      </c>
      <c r="E131" s="246">
        <v>39.5</v>
      </c>
      <c r="F131" s="248">
        <f t="shared" si="20"/>
        <v>2.2310602386264033E-3</v>
      </c>
      <c r="G131" s="248">
        <f t="shared" si="21"/>
        <v>1.7943280590961841E-3</v>
      </c>
      <c r="H131" s="248">
        <f t="shared" si="22"/>
        <v>-8.285212151644461E-3</v>
      </c>
      <c r="I131" s="249">
        <f t="shared" si="23"/>
        <v>0.14934089771399894</v>
      </c>
      <c r="J131" s="249">
        <f t="shared" si="24"/>
        <v>6.2872400919721683E-2</v>
      </c>
      <c r="K131" s="249">
        <f t="shared" si="25"/>
        <v>-5.0823020545476605E-2</v>
      </c>
      <c r="L131" s="250">
        <f t="shared" si="15"/>
        <v>114.93408977139995</v>
      </c>
      <c r="M131" s="250">
        <f t="shared" si="16"/>
        <v>106.28724009197219</v>
      </c>
      <c r="N131" s="250">
        <f t="shared" si="17"/>
        <v>94.91769794545236</v>
      </c>
      <c r="O131" s="248">
        <f t="shared" si="18"/>
        <v>8.1353600601026699E-2</v>
      </c>
      <c r="P131" s="247">
        <f t="shared" si="19"/>
        <v>0.21088155590805258</v>
      </c>
      <c r="Q131" s="251">
        <f t="shared" si="26"/>
        <v>1.1493408977139989</v>
      </c>
      <c r="R131" s="251">
        <f t="shared" si="27"/>
        <v>1.1493408977139989</v>
      </c>
      <c r="S131" s="251">
        <f t="shared" si="28"/>
        <v>0</v>
      </c>
      <c r="T131" s="252">
        <f>C131*'1. Share_Price_Analysis'!$E$11+T130*(1-'1. Share_Price_Analysis'!$E$11)</f>
        <v>181.29490486443731</v>
      </c>
      <c r="U131" s="253">
        <f t="shared" si="29"/>
        <v>189.26996029517335</v>
      </c>
    </row>
    <row r="132" spans="2:21" x14ac:dyDescent="0.2">
      <c r="B132" s="245">
        <v>45089</v>
      </c>
      <c r="C132" s="246">
        <v>205.89</v>
      </c>
      <c r="D132" s="246">
        <v>433.8</v>
      </c>
      <c r="E132" s="246">
        <v>39.68</v>
      </c>
      <c r="F132" s="248">
        <f t="shared" si="20"/>
        <v>-3.6295005807200909E-3</v>
      </c>
      <c r="G132" s="248">
        <f t="shared" si="21"/>
        <v>9.0718771807398735E-3</v>
      </c>
      <c r="H132" s="248">
        <f t="shared" si="22"/>
        <v>4.5569620253165244E-3</v>
      </c>
      <c r="I132" s="249">
        <f t="shared" si="23"/>
        <v>0.14516936425830074</v>
      </c>
      <c r="J132" s="249">
        <f t="shared" si="24"/>
        <v>7.2514648799663517E-2</v>
      </c>
      <c r="K132" s="249">
        <f t="shared" si="25"/>
        <v>-4.6497657094797695E-2</v>
      </c>
      <c r="L132" s="250">
        <f t="shared" si="15"/>
        <v>114.51693642583014</v>
      </c>
      <c r="M132" s="250">
        <f t="shared" si="16"/>
        <v>107.25146487996638</v>
      </c>
      <c r="N132" s="250">
        <f t="shared" si="17"/>
        <v>95.350234290520248</v>
      </c>
      <c r="O132" s="248">
        <f t="shared" si="18"/>
        <v>6.7742399173709167E-2</v>
      </c>
      <c r="P132" s="247">
        <f t="shared" si="19"/>
        <v>0.20101368683490906</v>
      </c>
      <c r="Q132" s="251">
        <f t="shared" si="26"/>
        <v>1.1451693642583007</v>
      </c>
      <c r="R132" s="251">
        <f t="shared" si="27"/>
        <v>1.1493408977139989</v>
      </c>
      <c r="S132" s="251">
        <f t="shared" si="28"/>
        <v>-3.6295005807199798E-3</v>
      </c>
      <c r="T132" s="252">
        <f>C132*'1. Share_Price_Analysis'!$E$11+T131*(1-'1. Share_Price_Analysis'!$E$11)</f>
        <v>181.53963217921904</v>
      </c>
      <c r="U132" s="253">
        <f t="shared" si="29"/>
        <v>189.92172655810774</v>
      </c>
    </row>
    <row r="133" spans="2:21" x14ac:dyDescent="0.2">
      <c r="B133" s="245">
        <v>45090</v>
      </c>
      <c r="C133" s="246">
        <v>207.7</v>
      </c>
      <c r="D133" s="246">
        <v>436.66</v>
      </c>
      <c r="E133" s="246">
        <v>40.6</v>
      </c>
      <c r="F133" s="248">
        <f t="shared" si="20"/>
        <v>8.7911020447812849E-3</v>
      </c>
      <c r="G133" s="248">
        <f t="shared" si="21"/>
        <v>6.5928999538957811E-3</v>
      </c>
      <c r="H133" s="248">
        <f t="shared" si="22"/>
        <v>2.3185483870967749E-2</v>
      </c>
      <c r="I133" s="249">
        <f t="shared" si="23"/>
        <v>0.15523666499805278</v>
      </c>
      <c r="J133" s="249">
        <f t="shared" si="24"/>
        <v>7.9585630578287381E-2</v>
      </c>
      <c r="K133" s="249">
        <f t="shared" si="25"/>
        <v>-2.4390243902439157E-2</v>
      </c>
      <c r="L133" s="250">
        <f t="shared" si="15"/>
        <v>115.52366649980532</v>
      </c>
      <c r="M133" s="250">
        <f t="shared" si="16"/>
        <v>107.95856305782875</v>
      </c>
      <c r="N133" s="250">
        <f t="shared" si="17"/>
        <v>97.560975609756099</v>
      </c>
      <c r="O133" s="248">
        <f t="shared" si="18"/>
        <v>7.0074139815331282E-2</v>
      </c>
      <c r="P133" s="247">
        <f t="shared" si="19"/>
        <v>0.18411758162300429</v>
      </c>
      <c r="Q133" s="251">
        <f t="shared" si="26"/>
        <v>1.1552366649980528</v>
      </c>
      <c r="R133" s="251">
        <f t="shared" si="27"/>
        <v>1.1552366649980528</v>
      </c>
      <c r="S133" s="251">
        <f t="shared" si="28"/>
        <v>0</v>
      </c>
      <c r="T133" s="252">
        <f>C133*'1. Share_Price_Analysis'!$E$11+T132*(1-'1. Share_Price_Analysis'!$E$11)</f>
        <v>181.79993434658999</v>
      </c>
      <c r="U133" s="253">
        <f t="shared" si="29"/>
        <v>190.61891375190746</v>
      </c>
    </row>
    <row r="134" spans="2:21" x14ac:dyDescent="0.2">
      <c r="B134" s="245">
        <v>45091</v>
      </c>
      <c r="C134" s="246">
        <v>207.39</v>
      </c>
      <c r="D134" s="246">
        <v>437.18</v>
      </c>
      <c r="E134" s="246">
        <v>40.43</v>
      </c>
      <c r="F134" s="248">
        <f t="shared" si="20"/>
        <v>-1.4925373134327957E-3</v>
      </c>
      <c r="G134" s="248">
        <f t="shared" si="21"/>
        <v>1.1908578756927302E-3</v>
      </c>
      <c r="H134" s="248">
        <f t="shared" si="22"/>
        <v>-4.1871921182266014E-3</v>
      </c>
      <c r="I134" s="249">
        <f t="shared" si="23"/>
        <v>0.15351243116969759</v>
      </c>
      <c r="J134" s="249">
        <f t="shared" si="24"/>
        <v>8.0871263628946144E-2</v>
      </c>
      <c r="K134" s="249">
        <f t="shared" si="25"/>
        <v>-2.847530938363585E-2</v>
      </c>
      <c r="L134" s="250">
        <f t="shared" si="15"/>
        <v>115.3512431169698</v>
      </c>
      <c r="M134" s="250">
        <f t="shared" si="16"/>
        <v>108.08712636289464</v>
      </c>
      <c r="N134" s="250">
        <f t="shared" si="17"/>
        <v>97.152469061636424</v>
      </c>
      <c r="O134" s="248">
        <f t="shared" si="18"/>
        <v>6.7206123416459373E-2</v>
      </c>
      <c r="P134" s="247">
        <f t="shared" si="19"/>
        <v>0.1873217863746468</v>
      </c>
      <c r="Q134" s="251">
        <f t="shared" si="26"/>
        <v>1.1535124311696976</v>
      </c>
      <c r="R134" s="251">
        <f t="shared" si="27"/>
        <v>1.1552366649980528</v>
      </c>
      <c r="S134" s="251">
        <f t="shared" si="28"/>
        <v>-1.4925373134326847E-3</v>
      </c>
      <c r="T134" s="252">
        <f>C134*'1. Share_Price_Analysis'!$E$11+T133*(1-'1. Share_Price_Analysis'!$E$11)</f>
        <v>182.05456186552939</v>
      </c>
      <c r="U134" s="253">
        <f t="shared" si="29"/>
        <v>191.27660340869539</v>
      </c>
    </row>
    <row r="135" spans="2:21" x14ac:dyDescent="0.2">
      <c r="B135" s="245">
        <v>45092</v>
      </c>
      <c r="C135" s="246">
        <v>208.94</v>
      </c>
      <c r="D135" s="246">
        <v>442.6</v>
      </c>
      <c r="E135" s="246">
        <v>40.774999999999999</v>
      </c>
      <c r="F135" s="248">
        <f t="shared" si="20"/>
        <v>7.4738415545589909E-3</v>
      </c>
      <c r="G135" s="248">
        <f t="shared" si="21"/>
        <v>1.2397639416258821E-2</v>
      </c>
      <c r="H135" s="248">
        <f t="shared" si="22"/>
        <v>8.5332673757110289E-3</v>
      </c>
      <c r="I135" s="249">
        <f t="shared" si="23"/>
        <v>0.16213360031147395</v>
      </c>
      <c r="J135" s="249">
        <f t="shared" si="24"/>
        <v>9.4271515810813833E-2</v>
      </c>
      <c r="K135" s="249">
        <f t="shared" si="25"/>
        <v>-2.0185029436501467E-2</v>
      </c>
      <c r="L135" s="250">
        <f t="shared" si="15"/>
        <v>116.21336003114746</v>
      </c>
      <c r="M135" s="250">
        <f t="shared" si="16"/>
        <v>109.4271515810814</v>
      </c>
      <c r="N135" s="250">
        <f t="shared" si="17"/>
        <v>97.981497056349866</v>
      </c>
      <c r="O135" s="248">
        <f t="shared" si="18"/>
        <v>6.2015764387668426E-2</v>
      </c>
      <c r="P135" s="247">
        <f t="shared" si="19"/>
        <v>0.18607455001746165</v>
      </c>
      <c r="Q135" s="251">
        <f t="shared" si="26"/>
        <v>1.1621336003114739</v>
      </c>
      <c r="R135" s="251">
        <f t="shared" si="27"/>
        <v>1.1621336003114739</v>
      </c>
      <c r="S135" s="251">
        <f t="shared" si="28"/>
        <v>0</v>
      </c>
      <c r="T135" s="252">
        <f>C135*'1. Share_Price_Analysis'!$E$11+T134*(1-'1. Share_Price_Analysis'!$E$11)</f>
        <v>182.32207866288732</v>
      </c>
      <c r="U135" s="253">
        <f t="shared" si="29"/>
        <v>191.96928562796225</v>
      </c>
    </row>
    <row r="136" spans="2:21" x14ac:dyDescent="0.2">
      <c r="B136" s="245">
        <v>45093</v>
      </c>
      <c r="C136" s="246">
        <v>207.31</v>
      </c>
      <c r="D136" s="246">
        <v>439.46</v>
      </c>
      <c r="E136" s="246">
        <v>40.875</v>
      </c>
      <c r="F136" s="248">
        <f t="shared" si="20"/>
        <v>-7.8012826648798939E-3</v>
      </c>
      <c r="G136" s="248">
        <f t="shared" si="21"/>
        <v>-7.0944419340263076E-3</v>
      </c>
      <c r="H136" s="248">
        <f t="shared" si="22"/>
        <v>2.4524831391785629E-3</v>
      </c>
      <c r="I136" s="249">
        <f t="shared" si="23"/>
        <v>0.15306746760108969</v>
      </c>
      <c r="J136" s="249">
        <f t="shared" si="24"/>
        <v>8.6508270081835148E-2</v>
      </c>
      <c r="K136" s="249">
        <f t="shared" si="25"/>
        <v>-1.778204974167974E-2</v>
      </c>
      <c r="L136" s="250">
        <f t="shared" si="15"/>
        <v>115.30674676010901</v>
      </c>
      <c r="M136" s="250">
        <f t="shared" si="16"/>
        <v>108.65082700818354</v>
      </c>
      <c r="N136" s="250">
        <f t="shared" si="17"/>
        <v>98.221795025832023</v>
      </c>
      <c r="O136" s="248">
        <f t="shared" si="18"/>
        <v>6.1259724708990326E-2</v>
      </c>
      <c r="P136" s="247">
        <f t="shared" si="19"/>
        <v>0.17394257282493819</v>
      </c>
      <c r="Q136" s="251">
        <f t="shared" si="26"/>
        <v>1.1530674676010897</v>
      </c>
      <c r="R136" s="251">
        <f t="shared" si="27"/>
        <v>1.1621336003114739</v>
      </c>
      <c r="S136" s="251">
        <f t="shared" si="28"/>
        <v>-7.8012826648797828E-3</v>
      </c>
      <c r="T136" s="252">
        <f>C136*'1. Share_Price_Analysis'!$E$11+T135*(1-'1. Share_Price_Analysis'!$E$11)</f>
        <v>182.57071469609244</v>
      </c>
      <c r="U136" s="253">
        <f t="shared" si="29"/>
        <v>192.57088227000295</v>
      </c>
    </row>
    <row r="137" spans="2:21" x14ac:dyDescent="0.2">
      <c r="B137" s="245">
        <v>45097</v>
      </c>
      <c r="C137" s="246">
        <v>208.68</v>
      </c>
      <c r="D137" s="246">
        <v>437.18</v>
      </c>
      <c r="E137" s="246">
        <v>40.125</v>
      </c>
      <c r="F137" s="248">
        <f t="shared" si="20"/>
        <v>6.6084607592493683E-3</v>
      </c>
      <c r="G137" s="248">
        <f t="shared" si="21"/>
        <v>-5.1881855003867994E-3</v>
      </c>
      <c r="H137" s="248">
        <f t="shared" si="22"/>
        <v>-1.834862385321101E-2</v>
      </c>
      <c r="I137" s="249">
        <f t="shared" si="23"/>
        <v>0.16068746871349848</v>
      </c>
      <c r="J137" s="249">
        <f t="shared" si="24"/>
        <v>8.0871263628946144E-2</v>
      </c>
      <c r="K137" s="249">
        <f t="shared" si="25"/>
        <v>-3.5804397452841585E-2</v>
      </c>
      <c r="L137" s="250">
        <f t="shared" si="15"/>
        <v>116.06874687134992</v>
      </c>
      <c r="M137" s="250">
        <f t="shared" si="16"/>
        <v>108.08712636289464</v>
      </c>
      <c r="N137" s="250">
        <f t="shared" si="17"/>
        <v>96.419560254715847</v>
      </c>
      <c r="O137" s="248">
        <f t="shared" si="18"/>
        <v>7.3844321493547138E-2</v>
      </c>
      <c r="P137" s="247">
        <f t="shared" si="19"/>
        <v>0.20378838655482223</v>
      </c>
      <c r="Q137" s="251">
        <f t="shared" si="26"/>
        <v>1.1606874687134985</v>
      </c>
      <c r="R137" s="251">
        <f t="shared" si="27"/>
        <v>1.1621336003114739</v>
      </c>
      <c r="S137" s="251">
        <f t="shared" si="28"/>
        <v>-1.2443763759931725E-3</v>
      </c>
      <c r="T137" s="252">
        <f>C137*'1. Share_Price_Analysis'!$E$11+T136*(1-'1. Share_Price_Analysis'!$E$11)</f>
        <v>182.83050857971341</v>
      </c>
      <c r="U137" s="253">
        <f t="shared" si="29"/>
        <v>193.20261237706168</v>
      </c>
    </row>
    <row r="138" spans="2:21" x14ac:dyDescent="0.2">
      <c r="B138" s="245">
        <v>45098</v>
      </c>
      <c r="C138" s="246">
        <v>210.57</v>
      </c>
      <c r="D138" s="246">
        <v>434.94</v>
      </c>
      <c r="E138" s="246">
        <v>40.255000000000003</v>
      </c>
      <c r="F138" s="248">
        <f t="shared" si="20"/>
        <v>9.0569292696951464E-3</v>
      </c>
      <c r="G138" s="248">
        <f t="shared" si="21"/>
        <v>-5.1237476554280015E-3</v>
      </c>
      <c r="H138" s="248">
        <f t="shared" si="22"/>
        <v>3.2398753894080645E-3</v>
      </c>
      <c r="I138" s="249">
        <f t="shared" si="23"/>
        <v>0.1711997330218582</v>
      </c>
      <c r="J138" s="249">
        <f t="shared" si="24"/>
        <v>7.5333152026107797E-2</v>
      </c>
      <c r="K138" s="249">
        <f t="shared" si="25"/>
        <v>-3.268052384957354E-2</v>
      </c>
      <c r="L138" s="250">
        <f t="shared" si="15"/>
        <v>117.11997330218588</v>
      </c>
      <c r="M138" s="250">
        <f t="shared" si="16"/>
        <v>107.53331520261082</v>
      </c>
      <c r="N138" s="250">
        <f t="shared" si="17"/>
        <v>96.731947615042657</v>
      </c>
      <c r="O138" s="248">
        <f t="shared" si="18"/>
        <v>8.9150586323058834E-2</v>
      </c>
      <c r="P138" s="247">
        <f t="shared" si="19"/>
        <v>0.21076827449272462</v>
      </c>
      <c r="Q138" s="251">
        <f t="shared" si="26"/>
        <v>1.1711997330218582</v>
      </c>
      <c r="R138" s="251">
        <f t="shared" si="27"/>
        <v>1.1711997330218582</v>
      </c>
      <c r="S138" s="251">
        <f t="shared" si="28"/>
        <v>0</v>
      </c>
      <c r="T138" s="252">
        <f>C138*'1. Share_Price_Analysis'!$E$11+T137*(1-'1. Share_Price_Analysis'!$E$11)</f>
        <v>183.10652341971627</v>
      </c>
      <c r="U138" s="253">
        <f t="shared" si="29"/>
        <v>193.88368640149065</v>
      </c>
    </row>
    <row r="139" spans="2:21" x14ac:dyDescent="0.2">
      <c r="B139" s="245">
        <v>45099</v>
      </c>
      <c r="C139" s="246">
        <v>213.45</v>
      </c>
      <c r="D139" s="246">
        <v>436.51</v>
      </c>
      <c r="E139" s="246">
        <v>40.159999999999997</v>
      </c>
      <c r="F139" s="248">
        <f t="shared" si="20"/>
        <v>1.3677161988887354E-2</v>
      </c>
      <c r="G139" s="248">
        <f t="shared" si="21"/>
        <v>3.6096932910285595E-3</v>
      </c>
      <c r="H139" s="248">
        <f t="shared" si="22"/>
        <v>-2.3599552850579464E-3</v>
      </c>
      <c r="I139" s="249">
        <f t="shared" si="23"/>
        <v>0.18721842149173984</v>
      </c>
      <c r="J139" s="249">
        <f t="shared" si="24"/>
        <v>7.9214774890597139E-2</v>
      </c>
      <c r="K139" s="249">
        <f t="shared" si="25"/>
        <v>-3.4963354559654269E-2</v>
      </c>
      <c r="L139" s="250">
        <f t="shared" si="15"/>
        <v>118.72184214917402</v>
      </c>
      <c r="M139" s="250">
        <f t="shared" si="16"/>
        <v>107.92147748905975</v>
      </c>
      <c r="N139" s="250">
        <f t="shared" si="17"/>
        <v>96.503664544034592</v>
      </c>
      <c r="O139" s="248">
        <f t="shared" si="18"/>
        <v>0.10007613786800817</v>
      </c>
      <c r="P139" s="247">
        <f t="shared" si="19"/>
        <v>0.2302314395014633</v>
      </c>
      <c r="Q139" s="251">
        <f t="shared" si="26"/>
        <v>1.1872184214917398</v>
      </c>
      <c r="R139" s="251">
        <f t="shared" si="27"/>
        <v>1.1872184214917398</v>
      </c>
      <c r="S139" s="251">
        <f t="shared" si="28"/>
        <v>0</v>
      </c>
      <c r="T139" s="252">
        <f>C139*'1. Share_Price_Analysis'!$E$11+T138*(1-'1. Share_Price_Analysis'!$E$11)</f>
        <v>183.40844855981859</v>
      </c>
      <c r="U139" s="253">
        <f t="shared" si="29"/>
        <v>194.65099281711846</v>
      </c>
    </row>
    <row r="140" spans="2:21" x14ac:dyDescent="0.2">
      <c r="B140" s="245">
        <v>45100</v>
      </c>
      <c r="C140" s="246">
        <v>214.43</v>
      </c>
      <c r="D140" s="246">
        <v>433.21</v>
      </c>
      <c r="E140" s="246">
        <v>39.835000000000001</v>
      </c>
      <c r="F140" s="248">
        <f t="shared" si="20"/>
        <v>4.5912391660811736E-3</v>
      </c>
      <c r="G140" s="248">
        <f t="shared" si="21"/>
        <v>-7.5599642619871288E-3</v>
      </c>
      <c r="H140" s="248">
        <f t="shared" si="22"/>
        <v>-8.0926294820715672E-3</v>
      </c>
      <c r="I140" s="249">
        <f t="shared" si="23"/>
        <v>0.19266922520718577</v>
      </c>
      <c r="J140" s="249">
        <f t="shared" si="24"/>
        <v>7.1055949761415826E-2</v>
      </c>
      <c r="K140" s="249">
        <f t="shared" si="25"/>
        <v>-4.2773038567824218E-2</v>
      </c>
      <c r="L140" s="250">
        <f t="shared" si="15"/>
        <v>119.26692252071862</v>
      </c>
      <c r="M140" s="250">
        <f t="shared" si="16"/>
        <v>107.1055949761416</v>
      </c>
      <c r="N140" s="250">
        <f t="shared" si="17"/>
        <v>95.72269614321759</v>
      </c>
      <c r="O140" s="248">
        <f t="shared" si="18"/>
        <v>0.11354521252868266</v>
      </c>
      <c r="P140" s="247">
        <f t="shared" si="19"/>
        <v>0.24596284189775419</v>
      </c>
      <c r="Q140" s="251">
        <f t="shared" si="26"/>
        <v>1.1926692252071858</v>
      </c>
      <c r="R140" s="251">
        <f t="shared" si="27"/>
        <v>1.1926692252071858</v>
      </c>
      <c r="S140" s="251">
        <f t="shared" si="28"/>
        <v>0</v>
      </c>
      <c r="T140" s="252">
        <f>C140*'1. Share_Price_Analysis'!$E$11+T139*(1-'1. Share_Price_Analysis'!$E$11)</f>
        <v>183.71712071345226</v>
      </c>
      <c r="U140" s="253">
        <f t="shared" si="29"/>
        <v>195.42664015762364</v>
      </c>
    </row>
    <row r="141" spans="2:21" x14ac:dyDescent="0.2">
      <c r="B141" s="245">
        <v>45103</v>
      </c>
      <c r="C141" s="246">
        <v>214.77</v>
      </c>
      <c r="D141" s="246">
        <v>431.44</v>
      </c>
      <c r="E141" s="246">
        <v>40.25</v>
      </c>
      <c r="F141" s="248">
        <f t="shared" si="20"/>
        <v>1.5855990299864509E-3</v>
      </c>
      <c r="G141" s="248">
        <f t="shared" si="21"/>
        <v>-4.0857782599662551E-3</v>
      </c>
      <c r="H141" s="248">
        <f t="shared" si="22"/>
        <v>1.0417974143341224E-2</v>
      </c>
      <c r="I141" s="249">
        <f t="shared" si="23"/>
        <v>0.19456032037376891</v>
      </c>
      <c r="J141" s="249">
        <f t="shared" si="24"/>
        <v>6.6679852646673199E-2</v>
      </c>
      <c r="K141" s="249">
        <f t="shared" si="25"/>
        <v>-3.2800672834314759E-2</v>
      </c>
      <c r="L141" s="250">
        <f t="shared" si="15"/>
        <v>119.45603203737696</v>
      </c>
      <c r="M141" s="250">
        <f t="shared" si="16"/>
        <v>106.66798526466734</v>
      </c>
      <c r="N141" s="250">
        <f t="shared" si="17"/>
        <v>96.719932716568536</v>
      </c>
      <c r="O141" s="248">
        <f t="shared" si="18"/>
        <v>0.11988645647501017</v>
      </c>
      <c r="P141" s="247">
        <f t="shared" si="19"/>
        <v>0.23507149645601011</v>
      </c>
      <c r="Q141" s="251">
        <f t="shared" si="26"/>
        <v>1.1945603203737689</v>
      </c>
      <c r="R141" s="251">
        <f t="shared" si="27"/>
        <v>1.1945603203737689</v>
      </c>
      <c r="S141" s="251">
        <f t="shared" si="28"/>
        <v>0</v>
      </c>
      <c r="T141" s="252">
        <f>C141*'1. Share_Price_Analysis'!$E$11+T140*(1-'1. Share_Price_Analysis'!$E$11)</f>
        <v>184.02610458695025</v>
      </c>
      <c r="U141" s="253">
        <f t="shared" si="29"/>
        <v>196.18520328869721</v>
      </c>
    </row>
    <row r="142" spans="2:21" x14ac:dyDescent="0.2">
      <c r="B142" s="245">
        <v>45104</v>
      </c>
      <c r="C142" s="246">
        <v>220.42</v>
      </c>
      <c r="D142" s="246">
        <v>436.17</v>
      </c>
      <c r="E142" s="246">
        <v>40.82</v>
      </c>
      <c r="F142" s="248">
        <f t="shared" si="20"/>
        <v>2.6307212366717847E-2</v>
      </c>
      <c r="G142" s="248">
        <f t="shared" si="21"/>
        <v>1.0963285740775097E-2</v>
      </c>
      <c r="H142" s="248">
        <f t="shared" si="22"/>
        <v>1.4161490683229916E-2</v>
      </c>
      <c r="I142" s="249">
        <f t="shared" si="23"/>
        <v>0.2259858724066961</v>
      </c>
      <c r="J142" s="249">
        <f t="shared" si="24"/>
        <v>7.8374168665166444E-2</v>
      </c>
      <c r="K142" s="249">
        <f t="shared" si="25"/>
        <v>-1.9103688573831712E-2</v>
      </c>
      <c r="L142" s="250">
        <f t="shared" si="15"/>
        <v>122.59858724066967</v>
      </c>
      <c r="M142" s="250">
        <f t="shared" si="16"/>
        <v>107.83741686651666</v>
      </c>
      <c r="N142" s="250">
        <f t="shared" si="17"/>
        <v>98.089631142616838</v>
      </c>
      <c r="O142" s="248">
        <f t="shared" si="18"/>
        <v>0.136883567903195</v>
      </c>
      <c r="P142" s="247">
        <f t="shared" si="19"/>
        <v>0.24986286330731677</v>
      </c>
      <c r="Q142" s="251">
        <f t="shared" si="26"/>
        <v>1.2259858724066961</v>
      </c>
      <c r="R142" s="251">
        <f t="shared" si="27"/>
        <v>1.2259858724066961</v>
      </c>
      <c r="S142" s="251">
        <f t="shared" si="28"/>
        <v>0</v>
      </c>
      <c r="T142" s="252">
        <f>C142*'1. Share_Price_Analysis'!$E$11+T141*(1-'1. Share_Price_Analysis'!$E$11)</f>
        <v>184.38823289951793</v>
      </c>
      <c r="U142" s="253">
        <f t="shared" si="29"/>
        <v>197.13558747345419</v>
      </c>
    </row>
    <row r="143" spans="2:21" x14ac:dyDescent="0.2">
      <c r="B143" s="245">
        <v>45105</v>
      </c>
      <c r="C143" s="246">
        <v>220.86</v>
      </c>
      <c r="D143" s="246">
        <v>436.39</v>
      </c>
      <c r="E143" s="246">
        <v>40.54</v>
      </c>
      <c r="F143" s="248">
        <f t="shared" si="20"/>
        <v>1.9961890935487059E-3</v>
      </c>
      <c r="G143" s="248">
        <f t="shared" si="21"/>
        <v>5.0439048994643798E-4</v>
      </c>
      <c r="H143" s="248">
        <f t="shared" si="22"/>
        <v>-6.8593826555610748E-3</v>
      </c>
      <c r="I143" s="249">
        <f t="shared" si="23"/>
        <v>0.22843317203403912</v>
      </c>
      <c r="J143" s="249">
        <f t="shared" si="24"/>
        <v>7.8918090340444946E-2</v>
      </c>
      <c r="K143" s="249">
        <f t="shared" si="25"/>
        <v>-2.5832031719332238E-2</v>
      </c>
      <c r="L143" s="250">
        <f t="shared" si="15"/>
        <v>122.84331720340398</v>
      </c>
      <c r="M143" s="250">
        <f t="shared" si="16"/>
        <v>107.89180903404454</v>
      </c>
      <c r="N143" s="250">
        <f t="shared" si="17"/>
        <v>97.416796828066794</v>
      </c>
      <c r="O143" s="248">
        <f t="shared" si="18"/>
        <v>0.13857871420657686</v>
      </c>
      <c r="P143" s="247">
        <f t="shared" si="19"/>
        <v>0.26100755930430575</v>
      </c>
      <c r="Q143" s="251">
        <f t="shared" si="26"/>
        <v>1.2284331720340391</v>
      </c>
      <c r="R143" s="251">
        <f t="shared" si="27"/>
        <v>1.2284331720340391</v>
      </c>
      <c r="S143" s="251">
        <f t="shared" si="28"/>
        <v>0</v>
      </c>
      <c r="T143" s="252">
        <f>C143*'1. Share_Price_Analysis'!$E$11+T142*(1-'1. Share_Price_Analysis'!$E$11)</f>
        <v>184.75113605474661</v>
      </c>
      <c r="U143" s="253">
        <f t="shared" si="29"/>
        <v>198.06595659214227</v>
      </c>
    </row>
    <row r="144" spans="2:21" x14ac:dyDescent="0.2">
      <c r="B144" s="245">
        <v>45106</v>
      </c>
      <c r="C144" s="246">
        <v>224.84</v>
      </c>
      <c r="D144" s="246">
        <v>438.11</v>
      </c>
      <c r="E144" s="246">
        <v>41.05</v>
      </c>
      <c r="F144" s="248">
        <f t="shared" si="20"/>
        <v>1.8020465453228329E-2</v>
      </c>
      <c r="G144" s="248">
        <f t="shared" si="21"/>
        <v>3.9414285386925041E-3</v>
      </c>
      <c r="H144" s="248">
        <f t="shared" si="22"/>
        <v>1.2580167735569692E-2</v>
      </c>
      <c r="I144" s="249">
        <f t="shared" si="23"/>
        <v>0.25057010957227832</v>
      </c>
      <c r="J144" s="249">
        <f t="shared" si="24"/>
        <v>8.3170568892624308E-2</v>
      </c>
      <c r="K144" s="249">
        <f t="shared" si="25"/>
        <v>-1.3576835275742272E-2</v>
      </c>
      <c r="L144" s="250">
        <f t="shared" si="15"/>
        <v>125.05701095722787</v>
      </c>
      <c r="M144" s="250">
        <f t="shared" si="16"/>
        <v>108.3170568892625</v>
      </c>
      <c r="N144" s="250">
        <f t="shared" si="17"/>
        <v>98.64231647242579</v>
      </c>
      <c r="O144" s="248">
        <f t="shared" si="18"/>
        <v>0.15454587254045715</v>
      </c>
      <c r="P144" s="247">
        <f t="shared" si="19"/>
        <v>0.26778258489282303</v>
      </c>
      <c r="Q144" s="251">
        <f t="shared" si="26"/>
        <v>1.2505701095722783</v>
      </c>
      <c r="R144" s="251">
        <f t="shared" si="27"/>
        <v>1.2505701095722783</v>
      </c>
      <c r="S144" s="251">
        <f t="shared" si="28"/>
        <v>0</v>
      </c>
      <c r="T144" s="252">
        <f>C144*'1. Share_Price_Analysis'!$E$11+T143*(1-'1. Share_Price_Analysis'!$E$11)</f>
        <v>185.15003022335608</v>
      </c>
      <c r="U144" s="253">
        <f t="shared" si="29"/>
        <v>199.11591907872491</v>
      </c>
    </row>
    <row r="145" spans="2:21" x14ac:dyDescent="0.2">
      <c r="B145" s="245">
        <v>45107</v>
      </c>
      <c r="C145" s="246">
        <v>225.44</v>
      </c>
      <c r="D145" s="246">
        <v>443.28</v>
      </c>
      <c r="E145" s="246">
        <v>41.435000000000002</v>
      </c>
      <c r="F145" s="248">
        <f t="shared" si="20"/>
        <v>2.6685643123998126E-3</v>
      </c>
      <c r="G145" s="248">
        <f t="shared" si="21"/>
        <v>1.1800689324598768E-2</v>
      </c>
      <c r="H145" s="248">
        <f t="shared" si="22"/>
        <v>9.3788063337394423E-3</v>
      </c>
      <c r="I145" s="249">
        <f t="shared" si="23"/>
        <v>0.25390733633683693</v>
      </c>
      <c r="J145" s="249">
        <f t="shared" si="24"/>
        <v>9.5952728261675002E-2</v>
      </c>
      <c r="K145" s="249">
        <f t="shared" si="25"/>
        <v>-4.3253634506791316E-3</v>
      </c>
      <c r="L145" s="250">
        <f t="shared" si="15"/>
        <v>125.39073363368374</v>
      </c>
      <c r="M145" s="250">
        <f t="shared" si="16"/>
        <v>109.59527282616757</v>
      </c>
      <c r="N145" s="250">
        <f t="shared" si="17"/>
        <v>99.567463654932126</v>
      </c>
      <c r="O145" s="248">
        <f t="shared" si="18"/>
        <v>0.14412538424508381</v>
      </c>
      <c r="P145" s="247">
        <f t="shared" si="19"/>
        <v>0.25935450227241419</v>
      </c>
      <c r="Q145" s="251">
        <f t="shared" si="26"/>
        <v>1.2539073363368369</v>
      </c>
      <c r="R145" s="251">
        <f t="shared" si="27"/>
        <v>1.2539073363368369</v>
      </c>
      <c r="S145" s="251">
        <f t="shared" si="28"/>
        <v>0</v>
      </c>
      <c r="T145" s="252">
        <f>C145*'1. Share_Price_Analysis'!$E$11+T144*(1-'1. Share_Price_Analysis'!$E$11)</f>
        <v>185.55092544501426</v>
      </c>
      <c r="U145" s="253">
        <f t="shared" si="29"/>
        <v>200.14823597759846</v>
      </c>
    </row>
    <row r="146" spans="2:21" x14ac:dyDescent="0.2">
      <c r="B146" s="245">
        <v>45110</v>
      </c>
      <c r="C146" s="246">
        <v>223.34</v>
      </c>
      <c r="D146" s="246">
        <v>443.79</v>
      </c>
      <c r="E146" s="246">
        <v>41.59</v>
      </c>
      <c r="F146" s="248">
        <f t="shared" si="20"/>
        <v>-9.3151171043293068E-3</v>
      </c>
      <c r="G146" s="248">
        <f t="shared" si="21"/>
        <v>1.1505143475907254E-3</v>
      </c>
      <c r="H146" s="248">
        <f t="shared" si="22"/>
        <v>3.7407988415592008E-3</v>
      </c>
      <c r="I146" s="249">
        <f t="shared" si="23"/>
        <v>0.24222704266088169</v>
      </c>
      <c r="J146" s="249">
        <f t="shared" si="24"/>
        <v>9.7213637599821157E-2</v>
      </c>
      <c r="K146" s="249">
        <f t="shared" si="25"/>
        <v>-6.0074492370554289E-4</v>
      </c>
      <c r="L146" s="250">
        <f t="shared" si="15"/>
        <v>124.22270426608821</v>
      </c>
      <c r="M146" s="250">
        <f t="shared" si="16"/>
        <v>109.72136375998221</v>
      </c>
      <c r="N146" s="250">
        <f t="shared" si="17"/>
        <v>99.939925507629468</v>
      </c>
      <c r="O146" s="248">
        <f t="shared" si="18"/>
        <v>0.13216515005981933</v>
      </c>
      <c r="P146" s="247">
        <f t="shared" si="19"/>
        <v>0.24297375283319544</v>
      </c>
      <c r="Q146" s="251">
        <f t="shared" si="26"/>
        <v>1.2422270426608817</v>
      </c>
      <c r="R146" s="251">
        <f t="shared" si="27"/>
        <v>1.2539073363368369</v>
      </c>
      <c r="S146" s="251">
        <f t="shared" si="28"/>
        <v>-9.3151171043293068E-3</v>
      </c>
      <c r="T146" s="252">
        <f>C146*'1. Share_Price_Analysis'!$E$11+T145*(1-'1. Share_Price_Analysis'!$E$11)</f>
        <v>185.9269361371037</v>
      </c>
      <c r="U146" s="253">
        <f t="shared" si="29"/>
        <v>201.05771691965342</v>
      </c>
    </row>
    <row r="147" spans="2:21" x14ac:dyDescent="0.2">
      <c r="B147" s="245">
        <v>45112</v>
      </c>
      <c r="C147" s="246">
        <v>220.63</v>
      </c>
      <c r="D147" s="246">
        <v>443.13</v>
      </c>
      <c r="E147" s="246">
        <v>40.564999999999998</v>
      </c>
      <c r="F147" s="248">
        <f t="shared" si="20"/>
        <v>-1.2133966150264186E-2</v>
      </c>
      <c r="G147" s="248">
        <f t="shared" si="21"/>
        <v>-1.4871898871088307E-3</v>
      </c>
      <c r="H147" s="248">
        <f t="shared" si="22"/>
        <v>-2.4645347439288479E-2</v>
      </c>
      <c r="I147" s="249">
        <f t="shared" si="23"/>
        <v>0.22715390177429184</v>
      </c>
      <c r="J147" s="249">
        <f t="shared" si="24"/>
        <v>9.5581872573984761E-2</v>
      </c>
      <c r="K147" s="249">
        <f t="shared" si="25"/>
        <v>-2.5231286795626917E-2</v>
      </c>
      <c r="L147" s="250">
        <f t="shared" si="15"/>
        <v>122.71539017742923</v>
      </c>
      <c r="M147" s="250">
        <f t="shared" si="16"/>
        <v>109.55818725739857</v>
      </c>
      <c r="N147" s="250">
        <f t="shared" si="17"/>
        <v>97.476871320437326</v>
      </c>
      <c r="O147" s="248">
        <f t="shared" si="18"/>
        <v>0.12009328786281293</v>
      </c>
      <c r="P147" s="247">
        <f t="shared" si="19"/>
        <v>0.25891802347681936</v>
      </c>
      <c r="Q147" s="251">
        <f t="shared" si="26"/>
        <v>1.2271539017742918</v>
      </c>
      <c r="R147" s="251">
        <f t="shared" si="27"/>
        <v>1.2539073363368369</v>
      </c>
      <c r="S147" s="251">
        <f t="shared" si="28"/>
        <v>-2.1336053938963762E-2</v>
      </c>
      <c r="T147" s="252">
        <f>C147*'1. Share_Price_Analysis'!$E$11+T146*(1-'1. Share_Price_Analysis'!$E$11)</f>
        <v>186.27224025514246</v>
      </c>
      <c r="U147" s="253">
        <f t="shared" si="29"/>
        <v>201.8252574326082</v>
      </c>
    </row>
    <row r="148" spans="2:21" x14ac:dyDescent="0.2">
      <c r="B148" s="245">
        <v>45113</v>
      </c>
      <c r="C148" s="246">
        <v>217.99</v>
      </c>
      <c r="D148" s="246">
        <v>439.66</v>
      </c>
      <c r="E148" s="246">
        <v>40.270000000000003</v>
      </c>
      <c r="F148" s="248">
        <f t="shared" si="20"/>
        <v>-1.196573448760363E-2</v>
      </c>
      <c r="G148" s="248">
        <f t="shared" si="21"/>
        <v>-7.8306591745085363E-3</v>
      </c>
      <c r="H148" s="248">
        <f t="shared" si="22"/>
        <v>-7.2722790583014119E-3</v>
      </c>
      <c r="I148" s="249">
        <f t="shared" si="23"/>
        <v>0.21247010401023392</v>
      </c>
      <c r="J148" s="249">
        <f t="shared" si="24"/>
        <v>8.7002744332087989E-2</v>
      </c>
      <c r="K148" s="249">
        <f t="shared" si="25"/>
        <v>-3.2320076895350547E-2</v>
      </c>
      <c r="L148" s="250">
        <f t="shared" si="15"/>
        <v>121.24701040102343</v>
      </c>
      <c r="M148" s="250">
        <f t="shared" si="16"/>
        <v>108.70027443320889</v>
      </c>
      <c r="N148" s="250">
        <f t="shared" si="17"/>
        <v>96.767992310464976</v>
      </c>
      <c r="O148" s="248">
        <f t="shared" si="18"/>
        <v>0.11542506247786855</v>
      </c>
      <c r="P148" s="247">
        <f t="shared" si="19"/>
        <v>0.25296606353081441</v>
      </c>
      <c r="Q148" s="251">
        <f t="shared" si="26"/>
        <v>1.2124701040102339</v>
      </c>
      <c r="R148" s="251">
        <f t="shared" si="27"/>
        <v>1.2539073363368369</v>
      </c>
      <c r="S148" s="251">
        <f t="shared" si="28"/>
        <v>-3.3046486870120462E-2</v>
      </c>
      <c r="T148" s="252">
        <f>C148*'1. Share_Price_Analysis'!$E$11+T147*(1-'1. Share_Price_Analysis'!$E$11)</f>
        <v>186.5878398545938</v>
      </c>
      <c r="U148" s="253">
        <f t="shared" si="29"/>
        <v>202.45916890583928</v>
      </c>
    </row>
    <row r="149" spans="2:21" x14ac:dyDescent="0.2">
      <c r="B149" s="245">
        <v>45114</v>
      </c>
      <c r="C149" s="246">
        <v>217.38</v>
      </c>
      <c r="D149" s="246">
        <v>438.55</v>
      </c>
      <c r="E149" s="246">
        <v>40.619999999999997</v>
      </c>
      <c r="F149" s="248">
        <f t="shared" si="20"/>
        <v>-2.7982934997018427E-3</v>
      </c>
      <c r="G149" s="248">
        <f t="shared" si="21"/>
        <v>-2.5246781603966983E-3</v>
      </c>
      <c r="H149" s="248">
        <f t="shared" si="22"/>
        <v>8.6913334988822921E-3</v>
      </c>
      <c r="I149" s="249">
        <f t="shared" si="23"/>
        <v>0.20907725679959932</v>
      </c>
      <c r="J149" s="249">
        <f t="shared" si="24"/>
        <v>8.4258412243181535E-2</v>
      </c>
      <c r="K149" s="249">
        <f t="shared" si="25"/>
        <v>-2.3909647963475278E-2</v>
      </c>
      <c r="L149" s="250">
        <f t="shared" si="15"/>
        <v>120.90772567995995</v>
      </c>
      <c r="M149" s="250">
        <f t="shared" si="16"/>
        <v>108.42584122431825</v>
      </c>
      <c r="N149" s="250">
        <f t="shared" si="17"/>
        <v>97.60903520365251</v>
      </c>
      <c r="O149" s="248">
        <f t="shared" si="18"/>
        <v>0.1151190925954495</v>
      </c>
      <c r="P149" s="247">
        <f t="shared" si="19"/>
        <v>0.23869399413380976</v>
      </c>
      <c r="Q149" s="251">
        <f t="shared" si="26"/>
        <v>1.2090772567995993</v>
      </c>
      <c r="R149" s="251">
        <f t="shared" si="27"/>
        <v>1.2539073363368369</v>
      </c>
      <c r="S149" s="251">
        <f t="shared" si="28"/>
        <v>-3.575230660042561E-2</v>
      </c>
      <c r="T149" s="252">
        <f>C149*'1. Share_Price_Analysis'!$E$11+T148*(1-'1. Share_Price_Analysis'!$E$11)</f>
        <v>186.89422950778194</v>
      </c>
      <c r="U149" s="253">
        <f t="shared" si="29"/>
        <v>203.04429953698283</v>
      </c>
    </row>
    <row r="150" spans="2:21" x14ac:dyDescent="0.2">
      <c r="B150" s="245">
        <v>45117</v>
      </c>
      <c r="C150" s="246">
        <v>219.39</v>
      </c>
      <c r="D150" s="246">
        <v>439.66</v>
      </c>
      <c r="E150" s="246">
        <v>40.61</v>
      </c>
      <c r="F150" s="248">
        <f t="shared" si="20"/>
        <v>9.2464808170025226E-3</v>
      </c>
      <c r="G150" s="248">
        <f t="shared" si="21"/>
        <v>2.5310682932391249E-3</v>
      </c>
      <c r="H150" s="248">
        <f t="shared" si="22"/>
        <v>-2.4618414574095748E-4</v>
      </c>
      <c r="I150" s="249">
        <f t="shared" si="23"/>
        <v>0.2202569664608709</v>
      </c>
      <c r="J150" s="249">
        <f t="shared" si="24"/>
        <v>8.7002744332087989E-2</v>
      </c>
      <c r="K150" s="249">
        <f t="shared" si="25"/>
        <v>-2.4149945932957384E-2</v>
      </c>
      <c r="L150" s="250">
        <f t="shared" si="15"/>
        <v>122.02569664608708</v>
      </c>
      <c r="M150" s="250">
        <f t="shared" si="16"/>
        <v>108.70027443320889</v>
      </c>
      <c r="N150" s="250">
        <f t="shared" si="17"/>
        <v>97.585005406704312</v>
      </c>
      <c r="O150" s="248">
        <f t="shared" si="18"/>
        <v>0.12258867130152584</v>
      </c>
      <c r="P150" s="247">
        <f t="shared" si="19"/>
        <v>0.25045539668232375</v>
      </c>
      <c r="Q150" s="251">
        <f t="shared" si="26"/>
        <v>1.2202569664608709</v>
      </c>
      <c r="R150" s="251">
        <f t="shared" si="27"/>
        <v>1.2539073363368369</v>
      </c>
      <c r="S150" s="251">
        <f t="shared" si="28"/>
        <v>-2.6836408800567479E-2</v>
      </c>
      <c r="T150" s="252">
        <f>C150*'1. Share_Price_Analysis'!$E$11+T149*(1-'1. Share_Price_Analysis'!$E$11)</f>
        <v>187.21757050770452</v>
      </c>
      <c r="U150" s="253">
        <f t="shared" si="29"/>
        <v>203.68530739827762</v>
      </c>
    </row>
    <row r="151" spans="2:21" x14ac:dyDescent="0.2">
      <c r="B151" s="245">
        <v>45118</v>
      </c>
      <c r="C151" s="246">
        <v>223.61</v>
      </c>
      <c r="D151" s="246">
        <v>442.46</v>
      </c>
      <c r="E151" s="246">
        <v>41.01</v>
      </c>
      <c r="F151" s="248">
        <f t="shared" si="20"/>
        <v>1.9235152012398116E-2</v>
      </c>
      <c r="G151" s="248">
        <f t="shared" si="21"/>
        <v>6.3685575217211632E-3</v>
      </c>
      <c r="H151" s="248">
        <f t="shared" si="22"/>
        <v>9.8497906919476907E-3</v>
      </c>
      <c r="I151" s="249">
        <f t="shared" si="23"/>
        <v>0.24372879470493358</v>
      </c>
      <c r="J151" s="249">
        <f t="shared" si="24"/>
        <v>9.3925383835635756E-2</v>
      </c>
      <c r="K151" s="249">
        <f t="shared" si="25"/>
        <v>-1.453802715367114E-2</v>
      </c>
      <c r="L151" s="250">
        <f t="shared" si="15"/>
        <v>124.37287947049336</v>
      </c>
      <c r="M151" s="250">
        <f t="shared" si="16"/>
        <v>109.39253838356366</v>
      </c>
      <c r="N151" s="250">
        <f t="shared" si="17"/>
        <v>98.546197284632925</v>
      </c>
      <c r="O151" s="248">
        <f t="shared" si="18"/>
        <v>0.13694115986598776</v>
      </c>
      <c r="P151" s="247">
        <f t="shared" si="19"/>
        <v>0.26207690299063247</v>
      </c>
      <c r="Q151" s="251">
        <f t="shared" si="26"/>
        <v>1.2437287947049336</v>
      </c>
      <c r="R151" s="251">
        <f t="shared" si="27"/>
        <v>1.2539073363368369</v>
      </c>
      <c r="S151" s="251">
        <f t="shared" si="28"/>
        <v>-8.1174591909151106E-3</v>
      </c>
      <c r="T151" s="252">
        <f>C151*'1. Share_Price_Analysis'!$E$11+T150*(1-'1. Share_Price_Analysis'!$E$11)</f>
        <v>187.57968423399603</v>
      </c>
      <c r="U151" s="253">
        <f t="shared" si="29"/>
        <v>204.46666789246282</v>
      </c>
    </row>
    <row r="152" spans="2:21" x14ac:dyDescent="0.2">
      <c r="B152" s="245">
        <v>45119</v>
      </c>
      <c r="C152" s="246">
        <v>220.28</v>
      </c>
      <c r="D152" s="246">
        <v>446.02</v>
      </c>
      <c r="E152" s="246">
        <v>41.55</v>
      </c>
      <c r="F152" s="248">
        <f t="shared" si="20"/>
        <v>-1.4891999463351402E-2</v>
      </c>
      <c r="G152" s="248">
        <f t="shared" si="21"/>
        <v>8.0459250553721606E-3</v>
      </c>
      <c r="H152" s="248">
        <f t="shared" si="22"/>
        <v>1.3167520117044695E-2</v>
      </c>
      <c r="I152" s="249">
        <f t="shared" si="23"/>
        <v>0.22520718616163293</v>
      </c>
      <c r="J152" s="249">
        <f t="shared" si="24"/>
        <v>0.10272702549014645</v>
      </c>
      <c r="K152" s="249">
        <f t="shared" si="25"/>
        <v>-1.5619368016345225E-3</v>
      </c>
      <c r="L152" s="250">
        <f t="shared" si="15"/>
        <v>122.52071861616332</v>
      </c>
      <c r="M152" s="250">
        <f t="shared" si="16"/>
        <v>110.27270254901475</v>
      </c>
      <c r="N152" s="250">
        <f t="shared" si="17"/>
        <v>99.843806319836574</v>
      </c>
      <c r="O152" s="248">
        <f t="shared" si="18"/>
        <v>0.11107024480246674</v>
      </c>
      <c r="P152" s="247">
        <f t="shared" si="19"/>
        <v>0.22712387610388407</v>
      </c>
      <c r="Q152" s="251">
        <f t="shared" si="26"/>
        <v>1.2252071861616329</v>
      </c>
      <c r="R152" s="251">
        <f t="shared" si="27"/>
        <v>1.2539073363368369</v>
      </c>
      <c r="S152" s="251">
        <f t="shared" si="28"/>
        <v>-2.2888573456351757E-2</v>
      </c>
      <c r="T152" s="252">
        <f>C152*'1. Share_Price_Analysis'!$E$11+T151*(1-'1. Share_Price_Analysis'!$E$11)</f>
        <v>187.90506051027469</v>
      </c>
      <c r="U152" s="253">
        <f t="shared" si="29"/>
        <v>205.08679856334663</v>
      </c>
    </row>
    <row r="153" spans="2:21" x14ac:dyDescent="0.2">
      <c r="B153" s="245">
        <v>45120</v>
      </c>
      <c r="C153" s="246">
        <v>223.36</v>
      </c>
      <c r="D153" s="246">
        <v>449.56</v>
      </c>
      <c r="E153" s="246">
        <v>41.875</v>
      </c>
      <c r="F153" s="248">
        <f t="shared" si="20"/>
        <v>1.3982204467041903E-2</v>
      </c>
      <c r="G153" s="248">
        <f t="shared" si="21"/>
        <v>7.9368638177661488E-3</v>
      </c>
      <c r="H153" s="248">
        <f t="shared" si="22"/>
        <v>7.821901323706415E-3</v>
      </c>
      <c r="I153" s="249">
        <f t="shared" si="23"/>
        <v>0.24233828355303388</v>
      </c>
      <c r="J153" s="249">
        <f t="shared" si="24"/>
        <v>0.11147921971963215</v>
      </c>
      <c r="K153" s="249">
        <f t="shared" si="25"/>
        <v>6.2477472065356476E-3</v>
      </c>
      <c r="L153" s="250">
        <f t="shared" si="15"/>
        <v>124.23382835530343</v>
      </c>
      <c r="M153" s="250">
        <f t="shared" si="16"/>
        <v>111.1479219719633</v>
      </c>
      <c r="N153" s="250">
        <f t="shared" si="17"/>
        <v>100.6247747206536</v>
      </c>
      <c r="O153" s="248">
        <f t="shared" si="18"/>
        <v>0.11773415239055085</v>
      </c>
      <c r="P153" s="247">
        <f t="shared" si="19"/>
        <v>0.23462466077754107</v>
      </c>
      <c r="Q153" s="251">
        <f t="shared" si="26"/>
        <v>1.2423382835530339</v>
      </c>
      <c r="R153" s="251">
        <f t="shared" si="27"/>
        <v>1.2539073363368369</v>
      </c>
      <c r="S153" s="251">
        <f t="shared" si="28"/>
        <v>-9.2264017033354406E-3</v>
      </c>
      <c r="T153" s="252">
        <f>C153*'1. Share_Price_Analysis'!$E$11+T152*(1-'1. Share_Price_Analysis'!$E$11)</f>
        <v>188.25784597783417</v>
      </c>
      <c r="U153" s="253">
        <f t="shared" si="29"/>
        <v>205.80339469811736</v>
      </c>
    </row>
    <row r="154" spans="2:21" x14ac:dyDescent="0.2">
      <c r="B154" s="245">
        <v>45121</v>
      </c>
      <c r="C154" s="246">
        <v>224.75</v>
      </c>
      <c r="D154" s="246">
        <v>449.28</v>
      </c>
      <c r="E154" s="246">
        <v>41.63</v>
      </c>
      <c r="F154" s="248">
        <f t="shared" si="20"/>
        <v>6.223137535816603E-3</v>
      </c>
      <c r="G154" s="248">
        <f t="shared" si="21"/>
        <v>-6.2283121274142594E-4</v>
      </c>
      <c r="H154" s="248">
        <f t="shared" si="22"/>
        <v>-5.8507462686566702E-3</v>
      </c>
      <c r="I154" s="249">
        <f t="shared" si="23"/>
        <v>0.25006952555759465</v>
      </c>
      <c r="J154" s="249">
        <f t="shared" si="24"/>
        <v>0.11078695576927733</v>
      </c>
      <c r="K154" s="249">
        <f t="shared" si="25"/>
        <v>3.6044695422288164E-4</v>
      </c>
      <c r="L154" s="250">
        <f t="shared" si="15"/>
        <v>125.00695255575951</v>
      </c>
      <c r="M154" s="250">
        <f t="shared" si="16"/>
        <v>111.07869557692783</v>
      </c>
      <c r="N154" s="250">
        <f t="shared" si="17"/>
        <v>100.03604469542233</v>
      </c>
      <c r="O154" s="248">
        <f t="shared" si="18"/>
        <v>0.12539089432487693</v>
      </c>
      <c r="P154" s="247">
        <f t="shared" si="19"/>
        <v>0.24961910415756239</v>
      </c>
      <c r="Q154" s="251">
        <f t="shared" si="26"/>
        <v>1.2500695255575947</v>
      </c>
      <c r="R154" s="251">
        <f t="shared" si="27"/>
        <v>1.2539073363368369</v>
      </c>
      <c r="S154" s="251">
        <f t="shared" si="28"/>
        <v>-3.0606813342795025E-3</v>
      </c>
      <c r="T154" s="252">
        <f>C154*'1. Share_Price_Analysis'!$E$11+T153*(1-'1. Share_Price_Analysis'!$E$11)</f>
        <v>188.62095198800498</v>
      </c>
      <c r="U154" s="253">
        <f t="shared" si="29"/>
        <v>206.54639882760296</v>
      </c>
    </row>
    <row r="155" spans="2:21" x14ac:dyDescent="0.2">
      <c r="B155" s="245">
        <v>45124</v>
      </c>
      <c r="C155" s="246">
        <v>223.71</v>
      </c>
      <c r="D155" s="246">
        <v>450.84</v>
      </c>
      <c r="E155" s="246">
        <v>41.67</v>
      </c>
      <c r="F155" s="248">
        <f t="shared" si="20"/>
        <v>-4.6273637374860677E-3</v>
      </c>
      <c r="G155" s="248">
        <f t="shared" si="21"/>
        <v>3.4722222222223209E-3</v>
      </c>
      <c r="H155" s="248">
        <f t="shared" si="22"/>
        <v>9.608455440788255E-4</v>
      </c>
      <c r="I155" s="249">
        <f t="shared" si="23"/>
        <v>0.24428499916569302</v>
      </c>
      <c r="J155" s="249">
        <f t="shared" si="24"/>
        <v>0.11464385492125406</v>
      </c>
      <c r="K155" s="249">
        <f t="shared" si="25"/>
        <v>1.3216388321515282E-3</v>
      </c>
      <c r="L155" s="250">
        <f t="shared" si="15"/>
        <v>124.42849991656935</v>
      </c>
      <c r="M155" s="250">
        <f t="shared" si="16"/>
        <v>111.46438549212547</v>
      </c>
      <c r="N155" s="250">
        <f t="shared" si="17"/>
        <v>100.1321638832152</v>
      </c>
      <c r="O155" s="248">
        <f t="shared" si="18"/>
        <v>0.11630723452344127</v>
      </c>
      <c r="P155" s="247">
        <f t="shared" si="19"/>
        <v>0.24264267435277986</v>
      </c>
      <c r="Q155" s="251">
        <f t="shared" si="26"/>
        <v>1.244284999165693</v>
      </c>
      <c r="R155" s="251">
        <f t="shared" si="27"/>
        <v>1.2539073363368369</v>
      </c>
      <c r="S155" s="251">
        <f t="shared" si="28"/>
        <v>-7.6738821859473338E-3</v>
      </c>
      <c r="T155" s="252">
        <f>C155*'1. Share_Price_Analysis'!$E$11+T154*(1-'1. Share_Price_Analysis'!$E$11)</f>
        <v>188.97009674434324</v>
      </c>
      <c r="U155" s="253">
        <f t="shared" si="29"/>
        <v>207.21948122652051</v>
      </c>
    </row>
    <row r="156" spans="2:21" x14ac:dyDescent="0.2">
      <c r="B156" s="245">
        <v>45125</v>
      </c>
      <c r="C156" s="246">
        <v>223.9</v>
      </c>
      <c r="D156" s="246">
        <v>454.19</v>
      </c>
      <c r="E156" s="246">
        <v>41.994999999999997</v>
      </c>
      <c r="F156" s="248">
        <f t="shared" si="20"/>
        <v>8.4931384381570219E-4</v>
      </c>
      <c r="G156" s="248">
        <f t="shared" si="21"/>
        <v>7.4305740395705921E-3</v>
      </c>
      <c r="H156" s="248">
        <f t="shared" si="22"/>
        <v>7.7993760499159848E-3</v>
      </c>
      <c r="I156" s="249">
        <f t="shared" si="23"/>
        <v>0.24534178764113657</v>
      </c>
      <c r="J156" s="249">
        <f t="shared" si="24"/>
        <v>0.12292629861299886</v>
      </c>
      <c r="K156" s="249">
        <f t="shared" si="25"/>
        <v>9.1313228403215874E-3</v>
      </c>
      <c r="L156" s="250">
        <f t="shared" si="15"/>
        <v>124.5341787641137</v>
      </c>
      <c r="M156" s="250">
        <f t="shared" si="16"/>
        <v>112.29262986129997</v>
      </c>
      <c r="N156" s="250">
        <f t="shared" si="17"/>
        <v>100.91313228403219</v>
      </c>
      <c r="O156" s="248">
        <f t="shared" si="18"/>
        <v>0.10901471377003213</v>
      </c>
      <c r="P156" s="247">
        <f t="shared" si="19"/>
        <v>0.23407306804824191</v>
      </c>
      <c r="Q156" s="251">
        <f t="shared" si="26"/>
        <v>1.2453417876411366</v>
      </c>
      <c r="R156" s="251">
        <f t="shared" si="27"/>
        <v>1.2539073363368369</v>
      </c>
      <c r="S156" s="251">
        <f t="shared" si="28"/>
        <v>-6.8310858765080473E-3</v>
      </c>
      <c r="T156" s="252">
        <f>C156*'1. Share_Price_Analysis'!$E$11+T155*(1-'1. Share_Price_Analysis'!$E$11)</f>
        <v>189.3176579707677</v>
      </c>
      <c r="U156" s="253">
        <f t="shared" si="29"/>
        <v>207.87361921763735</v>
      </c>
    </row>
    <row r="157" spans="2:21" x14ac:dyDescent="0.2">
      <c r="B157" s="245">
        <v>45126</v>
      </c>
      <c r="C157" s="246">
        <v>221.34</v>
      </c>
      <c r="D157" s="246">
        <v>455.2</v>
      </c>
      <c r="E157" s="246">
        <v>41.77</v>
      </c>
      <c r="F157" s="248">
        <f t="shared" si="20"/>
        <v>-1.1433675748101835E-2</v>
      </c>
      <c r="G157" s="248">
        <f t="shared" si="21"/>
        <v>2.2237389638697369E-3</v>
      </c>
      <c r="H157" s="248">
        <f t="shared" si="22"/>
        <v>-5.3577806881770496E-3</v>
      </c>
      <c r="I157" s="249">
        <f t="shared" si="23"/>
        <v>0.23110295344568632</v>
      </c>
      <c r="J157" s="249">
        <f t="shared" si="24"/>
        <v>0.12542339357677856</v>
      </c>
      <c r="K157" s="249">
        <f t="shared" si="25"/>
        <v>3.7246185269732557E-3</v>
      </c>
      <c r="L157" s="250">
        <f t="shared" si="15"/>
        <v>123.11029534456867</v>
      </c>
      <c r="M157" s="250">
        <f t="shared" si="16"/>
        <v>112.54233935767795</v>
      </c>
      <c r="N157" s="250">
        <f t="shared" si="17"/>
        <v>100.37246185269734</v>
      </c>
      <c r="O157" s="248">
        <f t="shared" si="18"/>
        <v>9.3902046529387384E-2</v>
      </c>
      <c r="P157" s="247">
        <f t="shared" si="19"/>
        <v>0.22653458002495208</v>
      </c>
      <c r="Q157" s="251">
        <f t="shared" si="26"/>
        <v>1.2311029534456863</v>
      </c>
      <c r="R157" s="251">
        <f t="shared" si="27"/>
        <v>1.2539073363368369</v>
      </c>
      <c r="S157" s="251">
        <f t="shared" si="28"/>
        <v>-1.8186657203690393E-2</v>
      </c>
      <c r="T157" s="252">
        <f>C157*'1. Share_Price_Analysis'!$E$11+T156*(1-'1. Share_Price_Analysis'!$E$11)</f>
        <v>189.6362882397153</v>
      </c>
      <c r="U157" s="253">
        <f t="shared" si="29"/>
        <v>208.40171258165159</v>
      </c>
    </row>
    <row r="158" spans="2:21" x14ac:dyDescent="0.2">
      <c r="B158" s="245">
        <v>45127</v>
      </c>
      <c r="C158" s="246">
        <v>221.63</v>
      </c>
      <c r="D158" s="246">
        <v>452.18</v>
      </c>
      <c r="E158" s="246">
        <v>41.87</v>
      </c>
      <c r="F158" s="248">
        <f t="shared" si="20"/>
        <v>1.3102014999548661E-3</v>
      </c>
      <c r="G158" s="248">
        <f t="shared" si="21"/>
        <v>-6.6344463971880208E-3</v>
      </c>
      <c r="H158" s="248">
        <f t="shared" si="22"/>
        <v>2.3940627244432022E-3</v>
      </c>
      <c r="I158" s="249">
        <f t="shared" si="23"/>
        <v>0.23271594638188975</v>
      </c>
      <c r="J158" s="249">
        <f t="shared" si="24"/>
        <v>0.11795683239795207</v>
      </c>
      <c r="K158" s="249">
        <f t="shared" si="25"/>
        <v>6.1275982217947611E-3</v>
      </c>
      <c r="L158" s="250">
        <f t="shared" si="15"/>
        <v>123.271594638189</v>
      </c>
      <c r="M158" s="250">
        <f t="shared" si="16"/>
        <v>111.79568323979527</v>
      </c>
      <c r="N158" s="250">
        <f t="shared" si="17"/>
        <v>100.6127598221795</v>
      </c>
      <c r="O158" s="248">
        <f t="shared" si="18"/>
        <v>0.10265075596683459</v>
      </c>
      <c r="P158" s="247">
        <f t="shared" si="19"/>
        <v>0.22520836180277892</v>
      </c>
      <c r="Q158" s="251">
        <f t="shared" si="26"/>
        <v>1.2327159463818897</v>
      </c>
      <c r="R158" s="251">
        <f t="shared" si="27"/>
        <v>1.2539073363368369</v>
      </c>
      <c r="S158" s="251">
        <f t="shared" si="28"/>
        <v>-1.6900283889282997E-2</v>
      </c>
      <c r="T158" s="252">
        <f>C158*'1. Share_Price_Analysis'!$E$11+T157*(1-'1. Share_Price_Analysis'!$E$11)</f>
        <v>189.9546336303649</v>
      </c>
      <c r="U158" s="253">
        <f t="shared" si="29"/>
        <v>208.92046895099858</v>
      </c>
    </row>
    <row r="159" spans="2:21" x14ac:dyDescent="0.2">
      <c r="B159" s="245">
        <v>45128</v>
      </c>
      <c r="C159" s="246">
        <v>222.3</v>
      </c>
      <c r="D159" s="246">
        <v>452.18</v>
      </c>
      <c r="E159" s="246">
        <v>41.875</v>
      </c>
      <c r="F159" s="248">
        <f t="shared" si="20"/>
        <v>3.0230564454272191E-3</v>
      </c>
      <c r="G159" s="248">
        <f t="shared" si="21"/>
        <v>0</v>
      </c>
      <c r="H159" s="248">
        <f t="shared" si="22"/>
        <v>1.1941724385011732E-4</v>
      </c>
      <c r="I159" s="249">
        <f t="shared" si="23"/>
        <v>0.2364425162689805</v>
      </c>
      <c r="J159" s="249">
        <f t="shared" si="24"/>
        <v>0.11795683239795207</v>
      </c>
      <c r="K159" s="249">
        <f t="shared" si="25"/>
        <v>6.2477472065358697E-3</v>
      </c>
      <c r="L159" s="250">
        <f t="shared" si="15"/>
        <v>123.64425162689805</v>
      </c>
      <c r="M159" s="250">
        <f t="shared" si="16"/>
        <v>111.79568323979527</v>
      </c>
      <c r="N159" s="250">
        <f t="shared" si="17"/>
        <v>100.6247747206536</v>
      </c>
      <c r="O159" s="248">
        <f t="shared" si="18"/>
        <v>0.10598413144171537</v>
      </c>
      <c r="P159" s="247">
        <f t="shared" si="19"/>
        <v>0.22876550004856444</v>
      </c>
      <c r="Q159" s="251">
        <f t="shared" si="26"/>
        <v>1.2364425162689805</v>
      </c>
      <c r="R159" s="251">
        <f t="shared" si="27"/>
        <v>1.2539073363368369</v>
      </c>
      <c r="S159" s="251">
        <f t="shared" si="28"/>
        <v>-1.3928317955996805E-2</v>
      </c>
      <c r="T159" s="252">
        <f>C159*'1. Share_Price_Analysis'!$E$11+T158*(1-'1. Share_Price_Analysis'!$E$11)</f>
        <v>190.27647807185383</v>
      </c>
      <c r="U159" s="253">
        <f t="shared" si="29"/>
        <v>209.4451564431163</v>
      </c>
    </row>
    <row r="160" spans="2:21" x14ac:dyDescent="0.2">
      <c r="B160" s="245">
        <v>45131</v>
      </c>
      <c r="C160" s="246">
        <v>222.6</v>
      </c>
      <c r="D160" s="246">
        <v>454.2</v>
      </c>
      <c r="E160" s="246">
        <v>42.005000000000003</v>
      </c>
      <c r="F160" s="248">
        <f t="shared" si="20"/>
        <v>1.3495276653170407E-3</v>
      </c>
      <c r="G160" s="248">
        <f t="shared" si="21"/>
        <v>4.4672475562828051E-3</v>
      </c>
      <c r="H160" s="248">
        <f t="shared" si="22"/>
        <v>3.1044776119404371E-3</v>
      </c>
      <c r="I160" s="249">
        <f t="shared" si="23"/>
        <v>0.23811112965125969</v>
      </c>
      <c r="J160" s="249">
        <f t="shared" si="24"/>
        <v>0.12295102232551147</v>
      </c>
      <c r="K160" s="249">
        <f t="shared" si="25"/>
        <v>9.3716208098040266E-3</v>
      </c>
      <c r="L160" s="250">
        <f t="shared" si="15"/>
        <v>123.81111296512599</v>
      </c>
      <c r="M160" s="250">
        <f t="shared" si="16"/>
        <v>112.29510223255123</v>
      </c>
      <c r="N160" s="250">
        <f t="shared" si="17"/>
        <v>100.93716208098043</v>
      </c>
      <c r="O160" s="248">
        <f t="shared" si="18"/>
        <v>0.10255131794373717</v>
      </c>
      <c r="P160" s="247">
        <f t="shared" si="19"/>
        <v>0.2266157519447014</v>
      </c>
      <c r="Q160" s="251">
        <f t="shared" si="26"/>
        <v>1.2381111296512597</v>
      </c>
      <c r="R160" s="251">
        <f t="shared" si="27"/>
        <v>1.2539073363368369</v>
      </c>
      <c r="S160" s="251">
        <f t="shared" si="28"/>
        <v>-1.2597586941092698E-2</v>
      </c>
      <c r="T160" s="252">
        <f>C160*'1. Share_Price_Analysis'!$E$11+T159*(1-'1. Share_Price_Analysis'!$E$11)</f>
        <v>190.59810515571598</v>
      </c>
      <c r="U160" s="253">
        <f t="shared" si="29"/>
        <v>209.9610326610333</v>
      </c>
    </row>
    <row r="161" spans="2:21" x14ac:dyDescent="0.2">
      <c r="B161" s="245">
        <v>45132</v>
      </c>
      <c r="C161" s="246">
        <v>222.25</v>
      </c>
      <c r="D161" s="246">
        <v>455.44</v>
      </c>
      <c r="E161" s="246">
        <v>42.76</v>
      </c>
      <c r="F161" s="248">
        <f t="shared" si="20"/>
        <v>-1.5723270440251014E-3</v>
      </c>
      <c r="G161" s="248">
        <f t="shared" si="21"/>
        <v>2.7300748568912514E-3</v>
      </c>
      <c r="H161" s="248">
        <f t="shared" si="22"/>
        <v>1.7974050708248868E-2</v>
      </c>
      <c r="I161" s="249">
        <f t="shared" si="23"/>
        <v>0.23616441403860056</v>
      </c>
      <c r="J161" s="249">
        <f t="shared" si="24"/>
        <v>0.12601676267708273</v>
      </c>
      <c r="K161" s="249">
        <f t="shared" si="25"/>
        <v>2.7514117505706759E-2</v>
      </c>
      <c r="L161" s="250">
        <f t="shared" si="15"/>
        <v>123.61644140386005</v>
      </c>
      <c r="M161" s="250">
        <f t="shared" si="16"/>
        <v>112.60167626770836</v>
      </c>
      <c r="N161" s="250">
        <f t="shared" si="17"/>
        <v>102.7514117505707</v>
      </c>
      <c r="O161" s="248">
        <f t="shared" si="18"/>
        <v>9.7820614232814851E-2</v>
      </c>
      <c r="P161" s="247">
        <f t="shared" si="19"/>
        <v>0.20306319200693124</v>
      </c>
      <c r="Q161" s="251">
        <f t="shared" si="26"/>
        <v>1.2361644140386006</v>
      </c>
      <c r="R161" s="251">
        <f t="shared" si="27"/>
        <v>1.2539073363368369</v>
      </c>
      <c r="S161" s="251">
        <f t="shared" si="28"/>
        <v>-1.4150106458480805E-2</v>
      </c>
      <c r="T161" s="252">
        <f>C161*'1. Share_Price_Analysis'!$E$11+T160*(1-'1. Share_Price_Analysis'!$E$11)</f>
        <v>190.9130493830223</v>
      </c>
      <c r="U161" s="253">
        <f t="shared" si="29"/>
        <v>210.44295294883594</v>
      </c>
    </row>
    <row r="162" spans="2:21" x14ac:dyDescent="0.2">
      <c r="B162" s="245">
        <v>45133</v>
      </c>
      <c r="C162" s="246">
        <v>223.46</v>
      </c>
      <c r="D162" s="246">
        <v>455.51</v>
      </c>
      <c r="E162" s="246">
        <v>42.615000000000002</v>
      </c>
      <c r="F162" s="248">
        <f t="shared" si="20"/>
        <v>5.4443194600675149E-3</v>
      </c>
      <c r="G162" s="248">
        <f t="shared" si="21"/>
        <v>1.5369752327409891E-4</v>
      </c>
      <c r="H162" s="248">
        <f t="shared" si="22"/>
        <v>-3.3910196445274821E-3</v>
      </c>
      <c r="I162" s="249">
        <f t="shared" si="23"/>
        <v>0.24289448801379376</v>
      </c>
      <c r="J162" s="249">
        <f t="shared" si="24"/>
        <v>0.12618982866467121</v>
      </c>
      <c r="K162" s="249">
        <f t="shared" si="25"/>
        <v>2.4029796948215498E-2</v>
      </c>
      <c r="L162" s="250">
        <f t="shared" si="15"/>
        <v>124.28944880137939</v>
      </c>
      <c r="M162" s="250">
        <f t="shared" si="16"/>
        <v>112.61898286646721</v>
      </c>
      <c r="N162" s="250">
        <f t="shared" si="17"/>
        <v>102.40297969482157</v>
      </c>
      <c r="O162" s="248">
        <f t="shared" si="18"/>
        <v>0.10362787549546582</v>
      </c>
      <c r="P162" s="247">
        <f t="shared" si="19"/>
        <v>0.21372883066277226</v>
      </c>
      <c r="Q162" s="251">
        <f t="shared" si="26"/>
        <v>1.2428944880137938</v>
      </c>
      <c r="R162" s="251">
        <f t="shared" si="27"/>
        <v>1.2539073363368369</v>
      </c>
      <c r="S162" s="251">
        <f t="shared" si="28"/>
        <v>-8.7828246983673308E-3</v>
      </c>
      <c r="T162" s="252">
        <f>C162*'1. Share_Price_Analysis'!$E$11+T161*(1-'1. Share_Price_Analysis'!$E$11)</f>
        <v>191.23689963791759</v>
      </c>
      <c r="U162" s="253">
        <f t="shared" si="29"/>
        <v>210.9534253822149</v>
      </c>
    </row>
    <row r="163" spans="2:21" x14ac:dyDescent="0.2">
      <c r="B163" s="245">
        <v>45134</v>
      </c>
      <c r="C163" s="246">
        <v>218.29</v>
      </c>
      <c r="D163" s="246">
        <v>452.49</v>
      </c>
      <c r="E163" s="246">
        <v>42.34</v>
      </c>
      <c r="F163" s="248">
        <f t="shared" si="20"/>
        <v>-2.3136131746173905E-2</v>
      </c>
      <c r="G163" s="248">
        <f t="shared" si="21"/>
        <v>-6.6299312858114634E-3</v>
      </c>
      <c r="H163" s="248">
        <f t="shared" si="22"/>
        <v>-6.4531268332745917E-3</v>
      </c>
      <c r="I163" s="249">
        <f t="shared" si="23"/>
        <v>0.21413871739251333</v>
      </c>
      <c r="J163" s="249">
        <f t="shared" si="24"/>
        <v>0.11872326748584472</v>
      </c>
      <c r="K163" s="249">
        <f t="shared" si="25"/>
        <v>1.7421602787456303E-2</v>
      </c>
      <c r="L163" s="250">
        <f t="shared" si="15"/>
        <v>121.41387173925136</v>
      </c>
      <c r="M163" s="250">
        <f t="shared" si="16"/>
        <v>111.87232674858456</v>
      </c>
      <c r="N163" s="250">
        <f t="shared" si="17"/>
        <v>101.74216027874566</v>
      </c>
      <c r="O163" s="248">
        <f t="shared" si="18"/>
        <v>8.5289590982674302E-2</v>
      </c>
      <c r="P163" s="247">
        <f t="shared" si="19"/>
        <v>0.19334867086181973</v>
      </c>
      <c r="Q163" s="251">
        <f t="shared" si="26"/>
        <v>1.2141387173925133</v>
      </c>
      <c r="R163" s="251">
        <f t="shared" si="27"/>
        <v>1.2539073363368369</v>
      </c>
      <c r="S163" s="251">
        <f t="shared" si="28"/>
        <v>-3.1715755855216243E-2</v>
      </c>
      <c r="T163" s="252">
        <f>C163*'1. Share_Price_Analysis'!$E$11+T162*(1-'1. Share_Price_Analysis'!$E$11)</f>
        <v>191.50608471614729</v>
      </c>
      <c r="U163" s="253">
        <f t="shared" si="29"/>
        <v>211.2411341907555</v>
      </c>
    </row>
    <row r="164" spans="2:21" x14ac:dyDescent="0.2">
      <c r="B164" s="245">
        <v>45135</v>
      </c>
      <c r="C164" s="246">
        <v>220.19</v>
      </c>
      <c r="D164" s="246">
        <v>456.92</v>
      </c>
      <c r="E164" s="246">
        <v>42.634999999999998</v>
      </c>
      <c r="F164" s="248">
        <f t="shared" si="20"/>
        <v>8.7040175912775908E-3</v>
      </c>
      <c r="G164" s="248">
        <f t="shared" si="21"/>
        <v>9.7902716082123309E-3</v>
      </c>
      <c r="H164" s="248">
        <f t="shared" si="22"/>
        <v>6.9674067076048729E-3</v>
      </c>
      <c r="I164" s="249">
        <f t="shared" si="23"/>
        <v>0.22470660214694904</v>
      </c>
      <c r="J164" s="249">
        <f t="shared" si="24"/>
        <v>0.12967587212895793</v>
      </c>
      <c r="K164" s="249">
        <f t="shared" si="25"/>
        <v>2.4510392887179711E-2</v>
      </c>
      <c r="L164" s="250">
        <f t="shared" si="15"/>
        <v>122.47066021469493</v>
      </c>
      <c r="M164" s="250">
        <f t="shared" si="16"/>
        <v>112.96758721289588</v>
      </c>
      <c r="N164" s="250">
        <f t="shared" si="17"/>
        <v>102.45103928871799</v>
      </c>
      <c r="O164" s="248">
        <f t="shared" si="18"/>
        <v>8.4122120656519472E-2</v>
      </c>
      <c r="P164" s="247">
        <f t="shared" si="19"/>
        <v>0.19540671392858688</v>
      </c>
      <c r="Q164" s="251">
        <f t="shared" si="26"/>
        <v>1.224706602146949</v>
      </c>
      <c r="R164" s="251">
        <f t="shared" si="27"/>
        <v>1.2539073363368369</v>
      </c>
      <c r="S164" s="251">
        <f t="shared" si="28"/>
        <v>-2.3287792760823045E-2</v>
      </c>
      <c r="T164" s="252">
        <f>C164*'1. Share_Price_Analysis'!$E$11+T163*(1-'1. Share_Price_Analysis'!$E$11)</f>
        <v>191.79149680852396</v>
      </c>
      <c r="U164" s="253">
        <f t="shared" si="29"/>
        <v>211.59207010484351</v>
      </c>
    </row>
    <row r="165" spans="2:21" x14ac:dyDescent="0.2">
      <c r="B165" s="245">
        <v>45138</v>
      </c>
      <c r="C165" s="246">
        <v>220.5</v>
      </c>
      <c r="D165" s="246">
        <v>457.79</v>
      </c>
      <c r="E165" s="246">
        <v>42.86</v>
      </c>
      <c r="F165" s="248">
        <f t="shared" si="20"/>
        <v>1.4078750170307686E-3</v>
      </c>
      <c r="G165" s="248">
        <f t="shared" si="21"/>
        <v>1.9040532259475551E-3</v>
      </c>
      <c r="H165" s="248">
        <f t="shared" si="22"/>
        <v>5.2773542863844281E-3</v>
      </c>
      <c r="I165" s="249">
        <f t="shared" si="23"/>
        <v>0.22643083597530445</v>
      </c>
      <c r="J165" s="249">
        <f t="shared" si="24"/>
        <v>0.13182683511756021</v>
      </c>
      <c r="K165" s="249">
        <f t="shared" si="25"/>
        <v>2.9917097200528264E-2</v>
      </c>
      <c r="L165" s="250">
        <f t="shared" si="15"/>
        <v>122.64308359753046</v>
      </c>
      <c r="M165" s="250">
        <f t="shared" si="16"/>
        <v>113.18268351175614</v>
      </c>
      <c r="N165" s="250">
        <f t="shared" si="17"/>
        <v>102.99170972005285</v>
      </c>
      <c r="O165" s="248">
        <f t="shared" si="18"/>
        <v>8.3585225162043475E-2</v>
      </c>
      <c r="P165" s="247">
        <f t="shared" si="19"/>
        <v>0.19080539521960604</v>
      </c>
      <c r="Q165" s="251">
        <f t="shared" si="26"/>
        <v>1.2264308359753044</v>
      </c>
      <c r="R165" s="251">
        <f t="shared" si="27"/>
        <v>1.2539073363368369</v>
      </c>
      <c r="S165" s="251">
        <f t="shared" si="28"/>
        <v>-2.1912704045422005E-2</v>
      </c>
      <c r="T165" s="252">
        <f>C165*'1. Share_Price_Analysis'!$E$11+T164*(1-'1. Share_Price_Analysis'!$E$11)</f>
        <v>192.07715355669785</v>
      </c>
      <c r="U165" s="253">
        <f t="shared" si="29"/>
        <v>211.94140068896732</v>
      </c>
    </row>
    <row r="166" spans="2:21" x14ac:dyDescent="0.2">
      <c r="B166" s="245">
        <v>45139</v>
      </c>
      <c r="C166" s="246">
        <v>223.97</v>
      </c>
      <c r="D166" s="246">
        <v>456.48</v>
      </c>
      <c r="E166" s="246">
        <v>42.67</v>
      </c>
      <c r="F166" s="248">
        <f t="shared" si="20"/>
        <v>1.5736961451247256E-2</v>
      </c>
      <c r="G166" s="248">
        <f t="shared" si="21"/>
        <v>-2.8615740841870796E-3</v>
      </c>
      <c r="H166" s="248">
        <f t="shared" si="22"/>
        <v>-4.433037797480166E-3</v>
      </c>
      <c r="I166" s="249">
        <f t="shared" si="23"/>
        <v>0.2457311307636687</v>
      </c>
      <c r="J166" s="249">
        <f t="shared" si="24"/>
        <v>0.12858802877840025</v>
      </c>
      <c r="K166" s="249">
        <f t="shared" si="25"/>
        <v>2.5351435780367249E-2</v>
      </c>
      <c r="L166" s="250">
        <f t="shared" si="15"/>
        <v>124.57311307636687</v>
      </c>
      <c r="M166" s="250">
        <f t="shared" si="16"/>
        <v>112.85880287784013</v>
      </c>
      <c r="N166" s="250">
        <f t="shared" si="17"/>
        <v>102.53514357803677</v>
      </c>
      <c r="O166" s="248">
        <f t="shared" si="18"/>
        <v>0.10379615856112334</v>
      </c>
      <c r="P166" s="247">
        <f t="shared" si="19"/>
        <v>0.21493088836958263</v>
      </c>
      <c r="Q166" s="251">
        <f t="shared" si="26"/>
        <v>1.2457311307636687</v>
      </c>
      <c r="R166" s="251">
        <f t="shared" si="27"/>
        <v>1.2539073363368369</v>
      </c>
      <c r="S166" s="251">
        <f t="shared" si="28"/>
        <v>-6.5205819730301817E-3</v>
      </c>
      <c r="T166" s="252">
        <f>C166*'1. Share_Price_Analysis'!$E$11+T165*(1-'1. Share_Price_Analysis'!$E$11)</f>
        <v>192.3944953123526</v>
      </c>
      <c r="U166" s="253">
        <f t="shared" si="29"/>
        <v>212.41311046587057</v>
      </c>
    </row>
    <row r="167" spans="2:21" x14ac:dyDescent="0.2">
      <c r="B167" s="245">
        <v>45140</v>
      </c>
      <c r="C167" s="246">
        <v>223.08</v>
      </c>
      <c r="D167" s="246">
        <v>450.13</v>
      </c>
      <c r="E167" s="246">
        <v>42.14</v>
      </c>
      <c r="F167" s="248">
        <f t="shared" si="20"/>
        <v>-3.9737464839040282E-3</v>
      </c>
      <c r="G167" s="248">
        <f t="shared" si="21"/>
        <v>-1.3910795653697905E-2</v>
      </c>
      <c r="H167" s="248">
        <f t="shared" si="22"/>
        <v>-1.2420904616826878E-2</v>
      </c>
      <c r="I167" s="249">
        <f t="shared" si="23"/>
        <v>0.24078091106290689</v>
      </c>
      <c r="J167" s="249">
        <f t="shared" si="24"/>
        <v>0.11288847133285418</v>
      </c>
      <c r="K167" s="249">
        <f t="shared" si="25"/>
        <v>1.2615643397812848E-2</v>
      </c>
      <c r="L167" s="250">
        <f t="shared" si="15"/>
        <v>124.07809110629069</v>
      </c>
      <c r="M167" s="250">
        <f t="shared" si="16"/>
        <v>111.28884713328553</v>
      </c>
      <c r="N167" s="250">
        <f t="shared" si="17"/>
        <v>101.26156433978133</v>
      </c>
      <c r="O167" s="248">
        <f t="shared" si="18"/>
        <v>0.1149193679550673</v>
      </c>
      <c r="P167" s="247">
        <f t="shared" si="19"/>
        <v>0.22532267712109388</v>
      </c>
      <c r="Q167" s="251">
        <f t="shared" si="26"/>
        <v>1.2407809110629069</v>
      </c>
      <c r="R167" s="251">
        <f t="shared" si="27"/>
        <v>1.2539073363368369</v>
      </c>
      <c r="S167" s="251">
        <f t="shared" si="28"/>
        <v>-1.0468417317245793E-2</v>
      </c>
      <c r="T167" s="252">
        <f>C167*'1. Share_Price_Analysis'!$E$11+T166*(1-'1. Share_Price_Analysis'!$E$11)</f>
        <v>192.69982371720485</v>
      </c>
      <c r="U167" s="253">
        <f t="shared" si="29"/>
        <v>212.83141985936587</v>
      </c>
    </row>
    <row r="168" spans="2:21" x14ac:dyDescent="0.2">
      <c r="B168" s="245">
        <v>45141</v>
      </c>
      <c r="C168" s="246">
        <v>226.19</v>
      </c>
      <c r="D168" s="246">
        <v>448.84</v>
      </c>
      <c r="E168" s="246">
        <v>41.88</v>
      </c>
      <c r="F168" s="248">
        <f t="shared" si="20"/>
        <v>1.3941187018110091E-2</v>
      </c>
      <c r="G168" s="248">
        <f t="shared" si="21"/>
        <v>-2.8658387576923072E-3</v>
      </c>
      <c r="H168" s="248">
        <f t="shared" si="22"/>
        <v>-6.1699098243948036E-3</v>
      </c>
      <c r="I168" s="249">
        <f t="shared" si="23"/>
        <v>0.2580788697925358</v>
      </c>
      <c r="J168" s="249">
        <f t="shared" si="24"/>
        <v>0.10969911241871944</v>
      </c>
      <c r="K168" s="249">
        <f t="shared" si="25"/>
        <v>6.3678961912767562E-3</v>
      </c>
      <c r="L168" s="250">
        <f t="shared" si="15"/>
        <v>125.80788697925358</v>
      </c>
      <c r="M168" s="250">
        <f t="shared" si="16"/>
        <v>110.96991124187208</v>
      </c>
      <c r="N168" s="250">
        <f t="shared" si="17"/>
        <v>100.63678961912773</v>
      </c>
      <c r="O168" s="248">
        <f t="shared" si="18"/>
        <v>0.13371170231037244</v>
      </c>
      <c r="P168" s="247">
        <f t="shared" si="19"/>
        <v>0.25011824657154724</v>
      </c>
      <c r="Q168" s="251">
        <f t="shared" si="26"/>
        <v>1.2580788697925358</v>
      </c>
      <c r="R168" s="251">
        <f t="shared" si="27"/>
        <v>1.2580788697925358</v>
      </c>
      <c r="S168" s="251">
        <f t="shared" si="28"/>
        <v>0</v>
      </c>
      <c r="T168" s="252">
        <f>C168*'1. Share_Price_Analysis'!$E$11+T167*(1-'1. Share_Price_Analysis'!$E$11)</f>
        <v>193.03305930210828</v>
      </c>
      <c r="U168" s="253">
        <f t="shared" si="29"/>
        <v>213.35528574723389</v>
      </c>
    </row>
    <row r="169" spans="2:21" x14ac:dyDescent="0.2">
      <c r="B169" s="245">
        <v>45142</v>
      </c>
      <c r="C169" s="246">
        <v>226</v>
      </c>
      <c r="D169" s="246">
        <v>446.81</v>
      </c>
      <c r="E169" s="246">
        <v>41.784999999999997</v>
      </c>
      <c r="F169" s="248">
        <f t="shared" si="20"/>
        <v>-8.400017684248029E-4</v>
      </c>
      <c r="G169" s="248">
        <f t="shared" si="21"/>
        <v>-4.5227698066125921E-3</v>
      </c>
      <c r="H169" s="248">
        <f t="shared" si="22"/>
        <v>-2.2683858643745003E-3</v>
      </c>
      <c r="I169" s="249">
        <f t="shared" si="23"/>
        <v>0.25702208131709225</v>
      </c>
      <c r="J169" s="249">
        <f t="shared" si="24"/>
        <v>0.1046801987786472</v>
      </c>
      <c r="K169" s="249">
        <f t="shared" si="25"/>
        <v>4.0850654811961373E-3</v>
      </c>
      <c r="L169" s="250">
        <f t="shared" si="15"/>
        <v>125.70220813170923</v>
      </c>
      <c r="M169" s="250">
        <f t="shared" si="16"/>
        <v>110.46801987786485</v>
      </c>
      <c r="N169" s="250">
        <f t="shared" si="17"/>
        <v>100.40850654811966</v>
      </c>
      <c r="O169" s="248">
        <f t="shared" si="18"/>
        <v>0.13790586878164079</v>
      </c>
      <c r="P169" s="247">
        <f t="shared" si="19"/>
        <v>0.25190795534308541</v>
      </c>
      <c r="Q169" s="251">
        <f t="shared" si="26"/>
        <v>1.2570220813170923</v>
      </c>
      <c r="R169" s="251">
        <f t="shared" si="27"/>
        <v>1.2580788697925358</v>
      </c>
      <c r="S169" s="251">
        <f t="shared" si="28"/>
        <v>-8.400017684248029E-4</v>
      </c>
      <c r="T169" s="252">
        <f>C169*'1. Share_Price_Analysis'!$E$11+T168*(1-'1. Share_Price_Analysis'!$E$11)</f>
        <v>193.36108856278383</v>
      </c>
      <c r="U169" s="253">
        <f t="shared" si="29"/>
        <v>213.85115689440121</v>
      </c>
    </row>
    <row r="170" spans="2:21" x14ac:dyDescent="0.2">
      <c r="B170" s="245">
        <v>45145</v>
      </c>
      <c r="C170" s="246">
        <v>228.72</v>
      </c>
      <c r="D170" s="246">
        <v>450.71</v>
      </c>
      <c r="E170" s="246">
        <v>42.06</v>
      </c>
      <c r="F170" s="248">
        <f t="shared" si="20"/>
        <v>1.2035398230088479E-2</v>
      </c>
      <c r="G170" s="248">
        <f t="shared" si="21"/>
        <v>8.7285423334302337E-3</v>
      </c>
      <c r="H170" s="248">
        <f t="shared" si="22"/>
        <v>6.5813090822066656E-3</v>
      </c>
      <c r="I170" s="249">
        <f t="shared" si="23"/>
        <v>0.27215084264975808</v>
      </c>
      <c r="J170" s="249">
        <f t="shared" si="24"/>
        <v>0.11432244665858882</v>
      </c>
      <c r="K170" s="249">
        <f t="shared" si="25"/>
        <v>1.0693259641955555E-2</v>
      </c>
      <c r="L170" s="250">
        <f t="shared" si="15"/>
        <v>127.21508426497581</v>
      </c>
      <c r="M170" s="250">
        <f t="shared" si="16"/>
        <v>111.43224466585902</v>
      </c>
      <c r="N170" s="250">
        <f t="shared" si="17"/>
        <v>101.0693259641956</v>
      </c>
      <c r="O170" s="248">
        <f t="shared" si="18"/>
        <v>0.14163619916697723</v>
      </c>
      <c r="P170" s="247">
        <f t="shared" si="19"/>
        <v>0.25869132945481943</v>
      </c>
      <c r="Q170" s="251">
        <f t="shared" si="26"/>
        <v>1.2721508426497581</v>
      </c>
      <c r="R170" s="251">
        <f t="shared" si="27"/>
        <v>1.2721508426497581</v>
      </c>
      <c r="S170" s="251">
        <f t="shared" si="28"/>
        <v>0</v>
      </c>
      <c r="T170" s="252">
        <f>C170*'1. Share_Price_Analysis'!$E$11+T169*(1-'1. Share_Price_Analysis'!$E$11)</f>
        <v>193.71291852733327</v>
      </c>
      <c r="U170" s="253">
        <f t="shared" si="29"/>
        <v>214.4342487808953</v>
      </c>
    </row>
    <row r="171" spans="2:21" x14ac:dyDescent="0.2">
      <c r="B171" s="245">
        <v>45146</v>
      </c>
      <c r="C171" s="246">
        <v>226.84</v>
      </c>
      <c r="D171" s="246">
        <v>448.75</v>
      </c>
      <c r="E171" s="246">
        <v>41.615000000000002</v>
      </c>
      <c r="F171" s="248">
        <f t="shared" si="20"/>
        <v>-8.2196572228051545E-3</v>
      </c>
      <c r="G171" s="248">
        <f t="shared" si="21"/>
        <v>-4.3486942823545149E-3</v>
      </c>
      <c r="H171" s="248">
        <f t="shared" si="22"/>
        <v>-1.0580123632905392E-2</v>
      </c>
      <c r="I171" s="249">
        <f t="shared" si="23"/>
        <v>0.26169419878747435</v>
      </c>
      <c r="J171" s="249">
        <f t="shared" si="24"/>
        <v>0.10947659900610529</v>
      </c>
      <c r="K171" s="249">
        <f t="shared" si="25"/>
        <v>0</v>
      </c>
      <c r="L171" s="250">
        <f t="shared" si="15"/>
        <v>126.16941987874743</v>
      </c>
      <c r="M171" s="250">
        <f t="shared" si="16"/>
        <v>110.94765990061066</v>
      </c>
      <c r="N171" s="250">
        <f t="shared" si="17"/>
        <v>100</v>
      </c>
      <c r="O171" s="248">
        <f t="shared" si="18"/>
        <v>0.13719766592439098</v>
      </c>
      <c r="P171" s="247">
        <f t="shared" si="19"/>
        <v>0.26169419878747435</v>
      </c>
      <c r="Q171" s="251">
        <f t="shared" si="26"/>
        <v>1.2616941987874744</v>
      </c>
      <c r="R171" s="251">
        <f t="shared" si="27"/>
        <v>1.2721508426497581</v>
      </c>
      <c r="S171" s="251">
        <f t="shared" si="28"/>
        <v>-8.2196572228051545E-3</v>
      </c>
      <c r="T171" s="252">
        <f>C171*'1. Share_Price_Analysis'!$E$11+T170*(1-'1. Share_Price_Analysis'!$E$11)</f>
        <v>194.04254122855386</v>
      </c>
      <c r="U171" s="253">
        <f t="shared" si="29"/>
        <v>214.92074882870335</v>
      </c>
    </row>
    <row r="172" spans="2:21" x14ac:dyDescent="0.2">
      <c r="B172" s="245">
        <v>45147</v>
      </c>
      <c r="C172" s="246">
        <v>223.38</v>
      </c>
      <c r="D172" s="246">
        <v>445.75</v>
      </c>
      <c r="E172" s="246">
        <v>41.445</v>
      </c>
      <c r="F172" s="248">
        <f t="shared" si="20"/>
        <v>-1.5253041791571165E-2</v>
      </c>
      <c r="G172" s="248">
        <f t="shared" si="21"/>
        <v>-6.6852367688022829E-3</v>
      </c>
      <c r="H172" s="248">
        <f t="shared" si="22"/>
        <v>-4.0850654811966924E-3</v>
      </c>
      <c r="I172" s="249">
        <f t="shared" si="23"/>
        <v>0.24244952444518608</v>
      </c>
      <c r="J172" s="249">
        <f t="shared" si="24"/>
        <v>0.10205948525230402</v>
      </c>
      <c r="K172" s="249">
        <f t="shared" si="25"/>
        <v>-4.0850654811966924E-3</v>
      </c>
      <c r="L172" s="250">
        <f t="shared" si="15"/>
        <v>124.2449524445186</v>
      </c>
      <c r="M172" s="250">
        <f t="shared" si="16"/>
        <v>110.20594852523054</v>
      </c>
      <c r="N172" s="250">
        <f t="shared" si="17"/>
        <v>99.591493451880325</v>
      </c>
      <c r="O172" s="248">
        <f t="shared" si="18"/>
        <v>0.12738880348254655</v>
      </c>
      <c r="P172" s="247">
        <f t="shared" si="19"/>
        <v>0.24754583085502269</v>
      </c>
      <c r="Q172" s="251">
        <f t="shared" si="26"/>
        <v>1.2424495244451861</v>
      </c>
      <c r="R172" s="251">
        <f t="shared" si="27"/>
        <v>1.2721508426497581</v>
      </c>
      <c r="S172" s="251">
        <f t="shared" si="28"/>
        <v>-2.334732423924446E-2</v>
      </c>
      <c r="T172" s="252">
        <f>C172*'1. Share_Price_Analysis'!$E$11+T171*(1-'1. Share_Price_Analysis'!$E$11)</f>
        <v>194.33445624120506</v>
      </c>
      <c r="U172" s="253">
        <f t="shared" si="29"/>
        <v>215.25248416875419</v>
      </c>
    </row>
    <row r="173" spans="2:21" x14ac:dyDescent="0.2">
      <c r="B173" s="245">
        <v>45148</v>
      </c>
      <c r="C173" s="246">
        <v>224.31</v>
      </c>
      <c r="D173" s="246">
        <v>445.91</v>
      </c>
      <c r="E173" s="246">
        <v>41.475000000000001</v>
      </c>
      <c r="F173" s="248">
        <f t="shared" si="20"/>
        <v>4.163309159280093E-3</v>
      </c>
      <c r="G173" s="248">
        <f t="shared" si="21"/>
        <v>3.5894559730786924E-4</v>
      </c>
      <c r="H173" s="248">
        <f t="shared" si="22"/>
        <v>7.2385088671733655E-4</v>
      </c>
      <c r="I173" s="249">
        <f t="shared" si="23"/>
        <v>0.24762222593025185</v>
      </c>
      <c r="J173" s="249">
        <f t="shared" si="24"/>
        <v>0.10245506465250664</v>
      </c>
      <c r="K173" s="249">
        <f t="shared" si="25"/>
        <v>-3.364171572750263E-3</v>
      </c>
      <c r="L173" s="250">
        <f t="shared" si="15"/>
        <v>124.7622225930252</v>
      </c>
      <c r="M173" s="250">
        <f t="shared" si="16"/>
        <v>110.24550646525083</v>
      </c>
      <c r="N173" s="250">
        <f t="shared" si="17"/>
        <v>99.663582842724978</v>
      </c>
      <c r="O173" s="248">
        <f t="shared" si="18"/>
        <v>0.13167626140254685</v>
      </c>
      <c r="P173" s="247">
        <f t="shared" si="19"/>
        <v>0.25183360897136664</v>
      </c>
      <c r="Q173" s="251">
        <f t="shared" si="26"/>
        <v>1.2476222259302518</v>
      </c>
      <c r="R173" s="251">
        <f t="shared" si="27"/>
        <v>1.2721508426497581</v>
      </c>
      <c r="S173" s="251">
        <f t="shared" si="28"/>
        <v>-1.9281217208814372E-2</v>
      </c>
      <c r="T173" s="252">
        <f>C173*'1. Share_Price_Analysis'!$E$11+T172*(1-'1. Share_Price_Analysis'!$E$11)</f>
        <v>194.63272035820799</v>
      </c>
      <c r="U173" s="253">
        <f t="shared" si="29"/>
        <v>215.60768086801875</v>
      </c>
    </row>
    <row r="174" spans="2:21" x14ac:dyDescent="0.2">
      <c r="B174" s="245">
        <v>45149</v>
      </c>
      <c r="C174" s="246">
        <v>223.92</v>
      </c>
      <c r="D174" s="246">
        <v>445.65</v>
      </c>
      <c r="E174" s="246">
        <v>41.36</v>
      </c>
      <c r="F174" s="248">
        <f t="shared" si="20"/>
        <v>-1.7386652400696034E-3</v>
      </c>
      <c r="G174" s="248">
        <f t="shared" si="21"/>
        <v>-5.8307730259476998E-4</v>
      </c>
      <c r="H174" s="248">
        <f t="shared" si="22"/>
        <v>-2.7727546714888529E-3</v>
      </c>
      <c r="I174" s="249">
        <f t="shared" si="23"/>
        <v>0.24545302853328876</v>
      </c>
      <c r="J174" s="249">
        <f t="shared" si="24"/>
        <v>0.10181224812717704</v>
      </c>
      <c r="K174" s="249">
        <f t="shared" si="25"/>
        <v>-6.1275982217950942E-3</v>
      </c>
      <c r="L174" s="250">
        <f t="shared" si="15"/>
        <v>124.54530285332888</v>
      </c>
      <c r="M174" s="250">
        <f t="shared" si="16"/>
        <v>110.18122481271786</v>
      </c>
      <c r="N174" s="250">
        <f t="shared" si="17"/>
        <v>99.387240177820487</v>
      </c>
      <c r="O174" s="248">
        <f t="shared" si="18"/>
        <v>0.13036774700069587</v>
      </c>
      <c r="P174" s="247">
        <f t="shared" si="19"/>
        <v>0.25313171620920727</v>
      </c>
      <c r="Q174" s="251">
        <f t="shared" si="26"/>
        <v>1.2454530285332888</v>
      </c>
      <c r="R174" s="251">
        <f t="shared" si="27"/>
        <v>1.2721508426497581</v>
      </c>
      <c r="S174" s="251">
        <f t="shared" si="28"/>
        <v>-2.0986358866736721E-2</v>
      </c>
      <c r="T174" s="252">
        <f>C174*'1. Share_Price_Analysis'!$E$11+T173*(1-'1. Share_Price_Analysis'!$E$11)</f>
        <v>194.92413607603677</v>
      </c>
      <c r="U174" s="253">
        <f t="shared" si="29"/>
        <v>215.93365416731214</v>
      </c>
    </row>
    <row r="175" spans="2:21" x14ac:dyDescent="0.2">
      <c r="B175" s="245">
        <v>45152</v>
      </c>
      <c r="C175" s="246">
        <v>225.13</v>
      </c>
      <c r="D175" s="246">
        <v>448.11</v>
      </c>
      <c r="E175" s="246">
        <v>41.45</v>
      </c>
      <c r="F175" s="248">
        <f t="shared" si="20"/>
        <v>5.4037156127189068E-3</v>
      </c>
      <c r="G175" s="248">
        <f t="shared" si="21"/>
        <v>5.5200269269606306E-3</v>
      </c>
      <c r="H175" s="248">
        <f t="shared" si="22"/>
        <v>2.1760154738879045E-3</v>
      </c>
      <c r="I175" s="249">
        <f t="shared" si="23"/>
        <v>0.25218310250848219</v>
      </c>
      <c r="J175" s="249">
        <f t="shared" si="24"/>
        <v>0.10789428140529411</v>
      </c>
      <c r="K175" s="249">
        <f t="shared" si="25"/>
        <v>-3.9649164964555839E-3</v>
      </c>
      <c r="L175" s="250">
        <f t="shared" si="15"/>
        <v>125.21831025084822</v>
      </c>
      <c r="M175" s="250">
        <f t="shared" si="16"/>
        <v>110.78942814052959</v>
      </c>
      <c r="N175" s="250">
        <f t="shared" si="17"/>
        <v>99.603508350354446</v>
      </c>
      <c r="O175" s="248">
        <f t="shared" si="18"/>
        <v>0.13023699420143853</v>
      </c>
      <c r="P175" s="247">
        <f t="shared" si="19"/>
        <v>0.25716766733149532</v>
      </c>
      <c r="Q175" s="251">
        <f t="shared" si="26"/>
        <v>1.2521831025084822</v>
      </c>
      <c r="R175" s="251">
        <f t="shared" si="27"/>
        <v>1.2721508426497581</v>
      </c>
      <c r="S175" s="251">
        <f t="shared" si="28"/>
        <v>-1.5696047569080052E-2</v>
      </c>
      <c r="T175" s="252">
        <f>C175*'1. Share_Price_Analysis'!$E$11+T174*(1-'1. Share_Price_Analysis'!$E$11)</f>
        <v>195.22469193597672</v>
      </c>
      <c r="U175" s="253">
        <f t="shared" si="29"/>
        <v>216.29429518035874</v>
      </c>
    </row>
    <row r="176" spans="2:21" x14ac:dyDescent="0.2">
      <c r="B176" s="245">
        <v>45153</v>
      </c>
      <c r="C176" s="246">
        <v>224.14</v>
      </c>
      <c r="D176" s="246">
        <v>442.89</v>
      </c>
      <c r="E176" s="246">
        <v>40.774999999999999</v>
      </c>
      <c r="F176" s="248">
        <f t="shared" si="20"/>
        <v>-4.3974592457691752E-3</v>
      </c>
      <c r="G176" s="248">
        <f t="shared" si="21"/>
        <v>-1.1648925487045658E-2</v>
      </c>
      <c r="H176" s="248">
        <f t="shared" si="22"/>
        <v>-1.628468033775643E-2</v>
      </c>
      <c r="I176" s="249">
        <f t="shared" si="23"/>
        <v>0.24667667834696028</v>
      </c>
      <c r="J176" s="249">
        <f t="shared" si="24"/>
        <v>9.4988503473679931E-2</v>
      </c>
      <c r="K176" s="249">
        <f t="shared" si="25"/>
        <v>-2.0185029436501356E-2</v>
      </c>
      <c r="L176" s="250">
        <f t="shared" si="15"/>
        <v>124.66766783469603</v>
      </c>
      <c r="M176" s="250">
        <f t="shared" si="16"/>
        <v>109.49885034736815</v>
      </c>
      <c r="N176" s="250">
        <f t="shared" si="17"/>
        <v>97.981497056349866</v>
      </c>
      <c r="O176" s="248">
        <f t="shared" si="18"/>
        <v>0.13852946801913757</v>
      </c>
      <c r="P176" s="247">
        <f t="shared" si="19"/>
        <v>0.2723592880296446</v>
      </c>
      <c r="Q176" s="251">
        <f t="shared" si="26"/>
        <v>1.2466766783469603</v>
      </c>
      <c r="R176" s="251">
        <f t="shared" si="27"/>
        <v>1.2721508426497581</v>
      </c>
      <c r="S176" s="251">
        <f t="shared" si="28"/>
        <v>-2.0024484085344629E-2</v>
      </c>
      <c r="T176" s="252">
        <f>C176*'1. Share_Price_Analysis'!$E$11+T175*(1-'1. Share_Price_Analysis'!$E$11)</f>
        <v>195.51240644407648</v>
      </c>
      <c r="U176" s="253">
        <f t="shared" si="29"/>
        <v>216.60196987916819</v>
      </c>
    </row>
    <row r="177" spans="2:21" x14ac:dyDescent="0.2">
      <c r="B177" s="245">
        <v>45154</v>
      </c>
      <c r="C177" s="246">
        <v>222.5</v>
      </c>
      <c r="D177" s="246">
        <v>439.64</v>
      </c>
      <c r="E177" s="246">
        <v>40.5</v>
      </c>
      <c r="F177" s="248">
        <f t="shared" si="20"/>
        <v>-7.3168555367180144E-3</v>
      </c>
      <c r="G177" s="248">
        <f t="shared" si="21"/>
        <v>-7.3381652329020941E-3</v>
      </c>
      <c r="H177" s="248">
        <f t="shared" si="22"/>
        <v>-6.7443286327406593E-3</v>
      </c>
      <c r="I177" s="249">
        <f t="shared" si="23"/>
        <v>0.23755492519050003</v>
      </c>
      <c r="J177" s="249">
        <f t="shared" si="24"/>
        <v>8.6953296907061883E-2</v>
      </c>
      <c r="K177" s="249">
        <f t="shared" si="25"/>
        <v>-2.6793223597260662E-2</v>
      </c>
      <c r="L177" s="250">
        <f t="shared" si="15"/>
        <v>123.75549251905001</v>
      </c>
      <c r="M177" s="250">
        <f t="shared" si="16"/>
        <v>108.69532969070634</v>
      </c>
      <c r="N177" s="250">
        <f t="shared" si="17"/>
        <v>97.320677640273928</v>
      </c>
      <c r="O177" s="248">
        <f t="shared" si="18"/>
        <v>0.13855390908880527</v>
      </c>
      <c r="P177" s="247">
        <f t="shared" si="19"/>
        <v>0.27162588177290514</v>
      </c>
      <c r="Q177" s="251">
        <f t="shared" si="26"/>
        <v>1.2375549251905</v>
      </c>
      <c r="R177" s="251">
        <f t="shared" si="27"/>
        <v>1.2721508426497581</v>
      </c>
      <c r="S177" s="251">
        <f t="shared" si="28"/>
        <v>-2.7194823364812937E-2</v>
      </c>
      <c r="T177" s="252">
        <f>C177*'1. Share_Price_Analysis'!$E$11+T176*(1-'1. Share_Price_Analysis'!$E$11)</f>
        <v>195.78093971328965</v>
      </c>
      <c r="U177" s="253">
        <f t="shared" si="29"/>
        <v>216.83326517802433</v>
      </c>
    </row>
    <row r="178" spans="2:21" x14ac:dyDescent="0.2">
      <c r="B178" s="245">
        <v>45155</v>
      </c>
      <c r="C178" s="246">
        <v>213.33</v>
      </c>
      <c r="D178" s="246">
        <v>436.29</v>
      </c>
      <c r="E178" s="246">
        <v>40.42</v>
      </c>
      <c r="F178" s="248">
        <f t="shared" si="20"/>
        <v>-4.121348314606732E-2</v>
      </c>
      <c r="G178" s="248">
        <f t="shared" si="21"/>
        <v>-7.6198708033845541E-3</v>
      </c>
      <c r="H178" s="248">
        <f t="shared" si="22"/>
        <v>-1.9753086419752597E-3</v>
      </c>
      <c r="I178" s="249">
        <f t="shared" si="23"/>
        <v>0.18655097613882865</v>
      </c>
      <c r="J178" s="249">
        <f t="shared" si="24"/>
        <v>7.8670853215317083E-2</v>
      </c>
      <c r="K178" s="249">
        <f t="shared" si="25"/>
        <v>-2.8715607353117845E-2</v>
      </c>
      <c r="L178" s="250">
        <f t="shared" si="15"/>
        <v>118.65509761388286</v>
      </c>
      <c r="M178" s="250">
        <f t="shared" si="16"/>
        <v>107.86708532153189</v>
      </c>
      <c r="N178" s="250">
        <f t="shared" si="17"/>
        <v>97.128439264688211</v>
      </c>
      <c r="O178" s="248">
        <f t="shared" si="18"/>
        <v>0.10001208672871886</v>
      </c>
      <c r="P178" s="247">
        <f t="shared" si="19"/>
        <v>0.22163084789750997</v>
      </c>
      <c r="Q178" s="251">
        <f t="shared" si="26"/>
        <v>1.1865509761388287</v>
      </c>
      <c r="R178" s="251">
        <f t="shared" si="27"/>
        <v>1.2721508426497581</v>
      </c>
      <c r="S178" s="251">
        <f t="shared" si="28"/>
        <v>-6.7287513116474296E-2</v>
      </c>
      <c r="T178" s="252">
        <f>C178*'1. Share_Price_Analysis'!$E$11+T177*(1-'1. Share_Price_Analysis'!$E$11)</f>
        <v>195.95555722858032</v>
      </c>
      <c r="U178" s="253">
        <f t="shared" si="29"/>
        <v>216.69588222986653</v>
      </c>
    </row>
    <row r="179" spans="2:21" x14ac:dyDescent="0.2">
      <c r="B179" s="245">
        <v>45156</v>
      </c>
      <c r="C179" s="246">
        <v>211.8</v>
      </c>
      <c r="D179" s="246">
        <v>436.5</v>
      </c>
      <c r="E179" s="246">
        <v>40.414999999999999</v>
      </c>
      <c r="F179" s="248">
        <f t="shared" si="20"/>
        <v>-7.1719870622978243E-3</v>
      </c>
      <c r="G179" s="248">
        <f t="shared" si="21"/>
        <v>4.8133122464411038E-4</v>
      </c>
      <c r="H179" s="248">
        <f t="shared" si="22"/>
        <v>-1.2370113805049154E-4</v>
      </c>
      <c r="I179" s="249">
        <f t="shared" si="23"/>
        <v>0.17804104788920405</v>
      </c>
      <c r="J179" s="249">
        <f t="shared" si="24"/>
        <v>7.9190051178083198E-2</v>
      </c>
      <c r="K179" s="249">
        <f t="shared" si="25"/>
        <v>-2.8835756337858953E-2</v>
      </c>
      <c r="L179" s="250">
        <f t="shared" si="15"/>
        <v>117.80410478892043</v>
      </c>
      <c r="M179" s="250">
        <f t="shared" si="16"/>
        <v>107.91900511780848</v>
      </c>
      <c r="N179" s="250">
        <f t="shared" si="17"/>
        <v>97.11642436621409</v>
      </c>
      <c r="O179" s="248">
        <f t="shared" si="18"/>
        <v>9.1597394363681861E-2</v>
      </c>
      <c r="P179" s="247">
        <f t="shared" si="19"/>
        <v>0.21301937913916191</v>
      </c>
      <c r="Q179" s="251">
        <f t="shared" si="26"/>
        <v>1.1780410478892041</v>
      </c>
      <c r="R179" s="251">
        <f t="shared" si="27"/>
        <v>1.2721508426497581</v>
      </c>
      <c r="S179" s="251">
        <f t="shared" si="28"/>
        <v>-7.3976915005246613E-2</v>
      </c>
      <c r="T179" s="252">
        <f>C179*'1. Share_Price_Analysis'!$E$11+T178*(1-'1. Share_Price_Analysis'!$E$11)</f>
        <v>196.11321337555964</v>
      </c>
      <c r="U179" s="253">
        <f t="shared" si="29"/>
        <v>216.50388684830315</v>
      </c>
    </row>
    <row r="180" spans="2:21" x14ac:dyDescent="0.2">
      <c r="B180" s="245">
        <v>45159</v>
      </c>
      <c r="C180" s="246">
        <v>212.57</v>
      </c>
      <c r="D180" s="246">
        <v>439.34</v>
      </c>
      <c r="E180" s="246">
        <v>40.42</v>
      </c>
      <c r="F180" s="248">
        <f t="shared" si="20"/>
        <v>3.635505193578803E-3</v>
      </c>
      <c r="G180" s="248">
        <f t="shared" si="21"/>
        <v>6.5063001145475585E-3</v>
      </c>
      <c r="H180" s="248">
        <f t="shared" si="22"/>
        <v>1.2371644191522257E-4</v>
      </c>
      <c r="I180" s="249">
        <f t="shared" si="23"/>
        <v>0.18232382223705423</v>
      </c>
      <c r="J180" s="249">
        <f t="shared" si="24"/>
        <v>8.6211585531681845E-2</v>
      </c>
      <c r="K180" s="249">
        <f t="shared" si="25"/>
        <v>-2.8715607353117734E-2</v>
      </c>
      <c r="L180" s="250">
        <f t="shared" si="15"/>
        <v>118.23238222370544</v>
      </c>
      <c r="M180" s="250">
        <f t="shared" si="16"/>
        <v>108.62115855316834</v>
      </c>
      <c r="N180" s="250">
        <f t="shared" si="17"/>
        <v>97.128439264688211</v>
      </c>
      <c r="O180" s="248">
        <f t="shared" si="18"/>
        <v>8.8483899440574554E-2</v>
      </c>
      <c r="P180" s="247">
        <f t="shared" si="19"/>
        <v>0.21727871999987647</v>
      </c>
      <c r="Q180" s="251">
        <f t="shared" si="26"/>
        <v>1.1823238222370542</v>
      </c>
      <c r="R180" s="251">
        <f t="shared" si="27"/>
        <v>1.2721508426497581</v>
      </c>
      <c r="S180" s="251">
        <f t="shared" si="28"/>
        <v>-7.0610353270374349E-2</v>
      </c>
      <c r="T180" s="252">
        <f>C180*'1. Share_Price_Analysis'!$E$11+T179*(1-'1. Share_Price_Analysis'!$E$11)</f>
        <v>196.27696249620084</v>
      </c>
      <c r="U180" s="253">
        <f t="shared" si="29"/>
        <v>216.34961677582069</v>
      </c>
    </row>
    <row r="181" spans="2:21" x14ac:dyDescent="0.2">
      <c r="B181" s="245">
        <v>45160</v>
      </c>
      <c r="C181" s="246">
        <v>214.58</v>
      </c>
      <c r="D181" s="246">
        <v>438.15</v>
      </c>
      <c r="E181" s="246">
        <v>40.384999999999998</v>
      </c>
      <c r="F181" s="248">
        <f t="shared" si="20"/>
        <v>9.4557087077198343E-3</v>
      </c>
      <c r="G181" s="248">
        <f t="shared" si="21"/>
        <v>-2.708608367096077E-3</v>
      </c>
      <c r="H181" s="248">
        <f t="shared" si="22"/>
        <v>-8.6590796635332978E-4</v>
      </c>
      <c r="I181" s="249">
        <f t="shared" si="23"/>
        <v>0.19350353189832581</v>
      </c>
      <c r="J181" s="249">
        <f t="shared" si="24"/>
        <v>8.3269463742674077E-2</v>
      </c>
      <c r="K181" s="249">
        <f t="shared" si="25"/>
        <v>-2.9556650246305272E-2</v>
      </c>
      <c r="L181" s="250">
        <f t="shared" si="15"/>
        <v>119.3503531898326</v>
      </c>
      <c r="M181" s="250">
        <f t="shared" si="16"/>
        <v>108.32694637426754</v>
      </c>
      <c r="N181" s="250">
        <f t="shared" si="17"/>
        <v>97.044334975369452</v>
      </c>
      <c r="O181" s="248">
        <f t="shared" si="18"/>
        <v>0.1017605239003001</v>
      </c>
      <c r="P181" s="247">
        <f t="shared" si="19"/>
        <v>0.22985389327593952</v>
      </c>
      <c r="Q181" s="251">
        <f t="shared" si="26"/>
        <v>1.1935035318983258</v>
      </c>
      <c r="R181" s="251">
        <f t="shared" si="27"/>
        <v>1.2721508426497581</v>
      </c>
      <c r="S181" s="251">
        <f t="shared" si="28"/>
        <v>-6.1822315494928337E-2</v>
      </c>
      <c r="T181" s="252">
        <f>C181*'1. Share_Price_Analysis'!$E$11+T180*(1-'1. Share_Price_Analysis'!$E$11)</f>
        <v>196.45908227235805</v>
      </c>
      <c r="U181" s="253">
        <f t="shared" si="29"/>
        <v>216.28022003951401</v>
      </c>
    </row>
    <row r="182" spans="2:21" x14ac:dyDescent="0.2">
      <c r="B182" s="245">
        <v>45161</v>
      </c>
      <c r="C182" s="246">
        <v>217.06</v>
      </c>
      <c r="D182" s="246">
        <v>443.03</v>
      </c>
      <c r="E182" s="246">
        <v>40.450000000000003</v>
      </c>
      <c r="F182" s="248">
        <f t="shared" si="20"/>
        <v>1.1557461086774135E-2</v>
      </c>
      <c r="G182" s="248">
        <f t="shared" si="21"/>
        <v>1.1137738217505522E-2</v>
      </c>
      <c r="H182" s="248">
        <f t="shared" si="22"/>
        <v>1.6095084808718241E-3</v>
      </c>
      <c r="I182" s="249">
        <f t="shared" si="23"/>
        <v>0.20729740252516815</v>
      </c>
      <c r="J182" s="249">
        <f t="shared" si="24"/>
        <v>9.5334635448857563E-2</v>
      </c>
      <c r="K182" s="249">
        <f t="shared" si="25"/>
        <v>-2.7994713444671082E-2</v>
      </c>
      <c r="L182" s="250">
        <f t="shared" si="15"/>
        <v>120.72974025251683</v>
      </c>
      <c r="M182" s="250">
        <f t="shared" si="16"/>
        <v>109.53346354488589</v>
      </c>
      <c r="N182" s="250">
        <f t="shared" si="17"/>
        <v>97.200528655532864</v>
      </c>
      <c r="O182" s="248">
        <f t="shared" si="18"/>
        <v>0.10221786425153012</v>
      </c>
      <c r="P182" s="247">
        <f t="shared" si="19"/>
        <v>0.24206876158429802</v>
      </c>
      <c r="Q182" s="251">
        <f t="shared" si="26"/>
        <v>1.2072974025251682</v>
      </c>
      <c r="R182" s="251">
        <f t="shared" si="27"/>
        <v>1.2721508426497581</v>
      </c>
      <c r="S182" s="251">
        <f t="shared" si="28"/>
        <v>-5.0979363413781176E-2</v>
      </c>
      <c r="T182" s="252">
        <f>C182*'1. Share_Price_Analysis'!$E$11+T181*(1-'1. Share_Price_Analysis'!$E$11)</f>
        <v>196.66406652835451</v>
      </c>
      <c r="U182" s="253">
        <f t="shared" si="29"/>
        <v>216.31079964580758</v>
      </c>
    </row>
    <row r="183" spans="2:21" x14ac:dyDescent="0.2">
      <c r="B183" s="245">
        <v>45162</v>
      </c>
      <c r="C183" s="246">
        <v>214.98</v>
      </c>
      <c r="D183" s="246">
        <v>436.89</v>
      </c>
      <c r="E183" s="246">
        <v>40.28</v>
      </c>
      <c r="F183" s="248">
        <f t="shared" si="20"/>
        <v>-9.5826038883258802E-3</v>
      </c>
      <c r="G183" s="248">
        <f t="shared" si="21"/>
        <v>-1.3859106606776028E-2</v>
      </c>
      <c r="H183" s="248">
        <f t="shared" si="22"/>
        <v>-4.2027194066749374E-3</v>
      </c>
      <c r="I183" s="249">
        <f t="shared" si="23"/>
        <v>0.19572834974136466</v>
      </c>
      <c r="J183" s="249">
        <f t="shared" si="24"/>
        <v>8.0154275966077604E-2</v>
      </c>
      <c r="K183" s="249">
        <f t="shared" si="25"/>
        <v>-3.2079778925867775E-2</v>
      </c>
      <c r="L183" s="250">
        <f t="shared" si="15"/>
        <v>119.57283497413648</v>
      </c>
      <c r="M183" s="250">
        <f t="shared" si="16"/>
        <v>108.01542759660789</v>
      </c>
      <c r="N183" s="250">
        <f t="shared" si="17"/>
        <v>96.792022107413189</v>
      </c>
      <c r="O183" s="248">
        <f t="shared" si="18"/>
        <v>0.10699774684678154</v>
      </c>
      <c r="P183" s="247">
        <f t="shared" si="19"/>
        <v>0.23535837324942599</v>
      </c>
      <c r="Q183" s="251">
        <f t="shared" si="26"/>
        <v>1.1957283497413647</v>
      </c>
      <c r="R183" s="251">
        <f t="shared" si="27"/>
        <v>1.2721508426497581</v>
      </c>
      <c r="S183" s="251">
        <f t="shared" si="28"/>
        <v>-6.0073452256033777E-2</v>
      </c>
      <c r="T183" s="252">
        <f>C183*'1. Share_Price_Analysis'!$E$11+T182*(1-'1. Share_Price_Analysis'!$E$11)</f>
        <v>196.84631462259975</v>
      </c>
      <c r="U183" s="253">
        <f t="shared" si="29"/>
        <v>216.25861142440337</v>
      </c>
    </row>
    <row r="184" spans="2:21" x14ac:dyDescent="0.2">
      <c r="B184" s="245">
        <v>45163</v>
      </c>
      <c r="C184" s="246">
        <v>214.83</v>
      </c>
      <c r="D184" s="246">
        <v>439.97</v>
      </c>
      <c r="E184" s="246">
        <v>40.4</v>
      </c>
      <c r="F184" s="248">
        <f t="shared" si="20"/>
        <v>-6.977393245882757E-4</v>
      </c>
      <c r="G184" s="248">
        <f t="shared" si="21"/>
        <v>7.0498294765273251E-3</v>
      </c>
      <c r="H184" s="248">
        <f t="shared" si="22"/>
        <v>2.9791459781529639E-3</v>
      </c>
      <c r="I184" s="249">
        <f t="shared" si="23"/>
        <v>0.19489404305022506</v>
      </c>
      <c r="J184" s="249">
        <f t="shared" si="24"/>
        <v>8.7769179419980192E-2</v>
      </c>
      <c r="K184" s="249">
        <f t="shared" si="25"/>
        <v>-2.9196203292081835E-2</v>
      </c>
      <c r="L184" s="250">
        <f t="shared" si="15"/>
        <v>119.48940430502253</v>
      </c>
      <c r="M184" s="250">
        <f t="shared" si="16"/>
        <v>108.77691794199818</v>
      </c>
      <c r="N184" s="250">
        <f t="shared" si="17"/>
        <v>97.080379670791771</v>
      </c>
      <c r="O184" s="248">
        <f t="shared" si="18"/>
        <v>9.8481245522479277E-2</v>
      </c>
      <c r="P184" s="247">
        <f t="shared" si="19"/>
        <v>0.23082959409740345</v>
      </c>
      <c r="Q184" s="251">
        <f t="shared" si="26"/>
        <v>1.1948940430502251</v>
      </c>
      <c r="R184" s="251">
        <f t="shared" si="27"/>
        <v>1.2721508426497581</v>
      </c>
      <c r="S184" s="251">
        <f t="shared" si="28"/>
        <v>-6.0729275970619279E-2</v>
      </c>
      <c r="T184" s="252">
        <f>C184*'1. Share_Price_Analysis'!$E$11+T183*(1-'1. Share_Price_Analysis'!$E$11)</f>
        <v>197.02525676565847</v>
      </c>
      <c r="U184" s="253">
        <f t="shared" si="29"/>
        <v>216.2025874469758</v>
      </c>
    </row>
    <row r="185" spans="2:21" x14ac:dyDescent="0.2">
      <c r="B185" s="245">
        <v>45166</v>
      </c>
      <c r="C185" s="246">
        <v>215.11</v>
      </c>
      <c r="D185" s="246">
        <v>442.76</v>
      </c>
      <c r="E185" s="246">
        <v>40.695</v>
      </c>
      <c r="F185" s="248">
        <f t="shared" si="20"/>
        <v>1.3033561420658923E-3</v>
      </c>
      <c r="G185" s="248">
        <f t="shared" si="21"/>
        <v>6.3413414550992364E-3</v>
      </c>
      <c r="H185" s="248">
        <f t="shared" si="22"/>
        <v>7.301980198019864E-3</v>
      </c>
      <c r="I185" s="249">
        <f t="shared" si="23"/>
        <v>0.1964514155403525</v>
      </c>
      <c r="J185" s="249">
        <f t="shared" si="24"/>
        <v>9.4667095211015351E-2</v>
      </c>
      <c r="K185" s="249">
        <f t="shared" si="25"/>
        <v>-2.2107413192358094E-2</v>
      </c>
      <c r="L185" s="250">
        <f t="shared" si="15"/>
        <v>119.64514155403528</v>
      </c>
      <c r="M185" s="250">
        <f t="shared" si="16"/>
        <v>109.46670952110166</v>
      </c>
      <c r="N185" s="250">
        <f t="shared" si="17"/>
        <v>97.789258680764149</v>
      </c>
      <c r="O185" s="248">
        <f t="shared" si="18"/>
        <v>9.2981985824390323E-2</v>
      </c>
      <c r="P185" s="247">
        <f t="shared" si="19"/>
        <v>0.22349983186415412</v>
      </c>
      <c r="Q185" s="251">
        <f t="shared" si="26"/>
        <v>1.1964514155403525</v>
      </c>
      <c r="R185" s="251">
        <f t="shared" si="27"/>
        <v>1.2721508426497581</v>
      </c>
      <c r="S185" s="251">
        <f t="shared" si="28"/>
        <v>-5.950507170339292E-2</v>
      </c>
      <c r="T185" s="252">
        <f>C185*'1. Share_Price_Analysis'!$E$11+T184*(1-'1. Share_Price_Analysis'!$E$11)</f>
        <v>197.20520445953252</v>
      </c>
      <c r="U185" s="253">
        <f t="shared" si="29"/>
        <v>216.15974088042773</v>
      </c>
    </row>
    <row r="186" spans="2:21" x14ac:dyDescent="0.2">
      <c r="B186" s="245">
        <v>45167</v>
      </c>
      <c r="C186" s="246">
        <v>218.59</v>
      </c>
      <c r="D186" s="246">
        <v>449.16</v>
      </c>
      <c r="E186" s="246">
        <v>41.37</v>
      </c>
      <c r="F186" s="248">
        <f t="shared" si="20"/>
        <v>1.6177769513272322E-2</v>
      </c>
      <c r="G186" s="248">
        <f t="shared" si="21"/>
        <v>1.4454783629957557E-2</v>
      </c>
      <c r="H186" s="248">
        <f t="shared" si="22"/>
        <v>1.6586804275709577E-2</v>
      </c>
      <c r="I186" s="249">
        <f t="shared" si="23"/>
        <v>0.21580733077479275</v>
      </c>
      <c r="J186" s="249">
        <f t="shared" si="24"/>
        <v>0.11049027121912469</v>
      </c>
      <c r="K186" s="249">
        <f t="shared" si="25"/>
        <v>-5.8873002523124329E-3</v>
      </c>
      <c r="L186" s="250">
        <f t="shared" si="15"/>
        <v>121.58073307747929</v>
      </c>
      <c r="M186" s="250">
        <f t="shared" si="16"/>
        <v>111.04902712191263</v>
      </c>
      <c r="N186" s="250">
        <f t="shared" si="17"/>
        <v>99.4112699747687</v>
      </c>
      <c r="O186" s="248">
        <f t="shared" si="18"/>
        <v>9.4838345085228148E-2</v>
      </c>
      <c r="P186" s="247">
        <f t="shared" si="19"/>
        <v>0.22300754339359385</v>
      </c>
      <c r="Q186" s="251">
        <f t="shared" si="26"/>
        <v>1.2158073307747927</v>
      </c>
      <c r="R186" s="251">
        <f t="shared" si="27"/>
        <v>1.2721508426497581</v>
      </c>
      <c r="S186" s="251">
        <f t="shared" si="28"/>
        <v>-4.4289961525008859E-2</v>
      </c>
      <c r="T186" s="252">
        <f>C186*'1. Share_Price_Analysis'!$E$11+T185*(1-'1. Share_Price_Analysis'!$E$11)</f>
        <v>197.41798849476106</v>
      </c>
      <c r="U186" s="253">
        <f t="shared" si="29"/>
        <v>216.25504515962663</v>
      </c>
    </row>
    <row r="187" spans="2:21" x14ac:dyDescent="0.2">
      <c r="B187" s="245">
        <v>45168</v>
      </c>
      <c r="C187" s="246">
        <v>218.24</v>
      </c>
      <c r="D187" s="246">
        <v>451.01</v>
      </c>
      <c r="E187" s="246">
        <v>41.465000000000003</v>
      </c>
      <c r="F187" s="248">
        <f t="shared" si="20"/>
        <v>-1.6011711423211672E-3</v>
      </c>
      <c r="G187" s="248">
        <f t="shared" si="21"/>
        <v>4.1187995369131869E-3</v>
      </c>
      <c r="H187" s="248">
        <f t="shared" si="22"/>
        <v>2.296350012086279E-3</v>
      </c>
      <c r="I187" s="249">
        <f t="shared" si="23"/>
        <v>0.21386061516213362</v>
      </c>
      <c r="J187" s="249">
        <f t="shared" si="24"/>
        <v>0.11506415803396863</v>
      </c>
      <c r="K187" s="249">
        <f t="shared" si="25"/>
        <v>-3.604469542231703E-3</v>
      </c>
      <c r="L187" s="250">
        <f t="shared" si="15"/>
        <v>121.38606151621336</v>
      </c>
      <c r="M187" s="250">
        <f t="shared" si="16"/>
        <v>111.50641580339702</v>
      </c>
      <c r="N187" s="250">
        <f t="shared" si="17"/>
        <v>99.639553045776765</v>
      </c>
      <c r="O187" s="248">
        <f t="shared" si="18"/>
        <v>8.8601589797629554E-2</v>
      </c>
      <c r="P187" s="247">
        <f t="shared" si="19"/>
        <v>0.21825176654943101</v>
      </c>
      <c r="Q187" s="251">
        <f t="shared" si="26"/>
        <v>1.2138606151621336</v>
      </c>
      <c r="R187" s="251">
        <f t="shared" si="27"/>
        <v>1.2721508426497581</v>
      </c>
      <c r="S187" s="251">
        <f t="shared" si="28"/>
        <v>-4.5820216859041585E-2</v>
      </c>
      <c r="T187" s="252">
        <f>C187*'1. Share_Price_Analysis'!$E$11+T186*(1-'1. Share_Price_Analysis'!$E$11)</f>
        <v>197.62517268884307</v>
      </c>
      <c r="U187" s="253">
        <f t="shared" si="29"/>
        <v>216.3328865259158</v>
      </c>
    </row>
    <row r="188" spans="2:21" x14ac:dyDescent="0.2">
      <c r="B188" s="245">
        <v>45169</v>
      </c>
      <c r="C188" s="246">
        <v>218.25</v>
      </c>
      <c r="D188" s="246">
        <v>450.35</v>
      </c>
      <c r="E188" s="246">
        <v>41.445</v>
      </c>
      <c r="F188" s="248">
        <f t="shared" si="20"/>
        <v>4.5821114369459792E-5</v>
      </c>
      <c r="G188" s="248">
        <f t="shared" si="21"/>
        <v>-1.4633821866476548E-3</v>
      </c>
      <c r="H188" s="248">
        <f t="shared" si="22"/>
        <v>-4.8233449897516767E-4</v>
      </c>
      <c r="I188" s="249">
        <f t="shared" si="23"/>
        <v>0.2139162356082096</v>
      </c>
      <c r="J188" s="249">
        <f t="shared" si="24"/>
        <v>0.11343239300813246</v>
      </c>
      <c r="K188" s="249">
        <f t="shared" si="25"/>
        <v>-4.0850654811961373E-3</v>
      </c>
      <c r="L188" s="250">
        <f t="shared" si="15"/>
        <v>121.39162356082096</v>
      </c>
      <c r="M188" s="250">
        <f t="shared" si="16"/>
        <v>111.34323930081339</v>
      </c>
      <c r="N188" s="250">
        <f t="shared" si="17"/>
        <v>99.591493451880325</v>
      </c>
      <c r="O188" s="248">
        <f t="shared" si="18"/>
        <v>9.0246918655386477E-2</v>
      </c>
      <c r="P188" s="247">
        <f t="shared" si="19"/>
        <v>0.21889550355496712</v>
      </c>
      <c r="Q188" s="251">
        <f t="shared" si="26"/>
        <v>1.2139162356082096</v>
      </c>
      <c r="R188" s="251">
        <f t="shared" si="27"/>
        <v>1.2721508426497581</v>
      </c>
      <c r="S188" s="251">
        <f t="shared" si="28"/>
        <v>-4.5776495278069262E-2</v>
      </c>
      <c r="T188" s="252">
        <f>C188*'1. Share_Price_Analysis'!$E$11+T187*(1-'1. Share_Price_Analysis'!$E$11)</f>
        <v>197.83039485114315</v>
      </c>
      <c r="U188" s="253">
        <f t="shared" si="29"/>
        <v>216.40806744646812</v>
      </c>
    </row>
    <row r="189" spans="2:21" x14ac:dyDescent="0.2">
      <c r="B189" s="245">
        <v>45170</v>
      </c>
      <c r="C189" s="246">
        <v>222.92</v>
      </c>
      <c r="D189" s="246">
        <v>451.19</v>
      </c>
      <c r="E189" s="246">
        <v>41.91</v>
      </c>
      <c r="F189" s="248">
        <f t="shared" si="20"/>
        <v>2.1397479954180953E-2</v>
      </c>
      <c r="G189" s="248">
        <f t="shared" si="21"/>
        <v>1.8652159431553628E-3</v>
      </c>
      <c r="H189" s="248">
        <f t="shared" si="22"/>
        <v>1.1219688744118717E-2</v>
      </c>
      <c r="I189" s="249">
        <f t="shared" si="23"/>
        <v>0.23989098392569108</v>
      </c>
      <c r="J189" s="249">
        <f t="shared" si="24"/>
        <v>0.11550918485919692</v>
      </c>
      <c r="K189" s="249">
        <f t="shared" si="25"/>
        <v>7.0887900997242959E-3</v>
      </c>
      <c r="L189" s="250">
        <f t="shared" si="15"/>
        <v>123.9890983925691</v>
      </c>
      <c r="M189" s="250">
        <f t="shared" si="16"/>
        <v>111.55091848591985</v>
      </c>
      <c r="N189" s="250">
        <f t="shared" si="17"/>
        <v>100.70887900997236</v>
      </c>
      <c r="O189" s="248">
        <f t="shared" si="18"/>
        <v>0.11150226349968961</v>
      </c>
      <c r="P189" s="247">
        <f t="shared" si="19"/>
        <v>0.23116352412473407</v>
      </c>
      <c r="Q189" s="251">
        <f t="shared" si="26"/>
        <v>1.2398909839256911</v>
      </c>
      <c r="R189" s="251">
        <f t="shared" si="27"/>
        <v>1.2721508426497581</v>
      </c>
      <c r="S189" s="251">
        <f t="shared" si="28"/>
        <v>-2.5358516963973399E-2</v>
      </c>
      <c r="T189" s="252">
        <f>C189*'1. Share_Price_Analysis'!$E$11+T188*(1-'1. Share_Price_Analysis'!$E$11)</f>
        <v>198.0800426635696</v>
      </c>
      <c r="U189" s="253">
        <f t="shared" si="29"/>
        <v>216.6634373505282</v>
      </c>
    </row>
    <row r="190" spans="2:21" x14ac:dyDescent="0.2">
      <c r="B190" s="245">
        <v>45174</v>
      </c>
      <c r="C190" s="246">
        <v>216.24</v>
      </c>
      <c r="D190" s="246">
        <v>449.24</v>
      </c>
      <c r="E190" s="246">
        <v>41.134999999999998</v>
      </c>
      <c r="F190" s="248">
        <f t="shared" si="20"/>
        <v>-2.9965907051857088E-2</v>
      </c>
      <c r="G190" s="248">
        <f t="shared" si="21"/>
        <v>-4.321904297524326E-3</v>
      </c>
      <c r="H190" s="248">
        <f t="shared" si="22"/>
        <v>-1.8492006680983053E-2</v>
      </c>
      <c r="I190" s="249">
        <f t="shared" si="23"/>
        <v>0.20273652594693825</v>
      </c>
      <c r="J190" s="249">
        <f t="shared" si="24"/>
        <v>0.11068806091922601</v>
      </c>
      <c r="K190" s="249">
        <f t="shared" si="25"/>
        <v>-1.1534302535142982E-2</v>
      </c>
      <c r="L190" s="250">
        <f t="shared" si="15"/>
        <v>120.27365259469383</v>
      </c>
      <c r="M190" s="250">
        <f t="shared" si="16"/>
        <v>111.06880609192275</v>
      </c>
      <c r="N190" s="250">
        <f t="shared" si="17"/>
        <v>98.846569746485642</v>
      </c>
      <c r="O190" s="248">
        <f t="shared" si="18"/>
        <v>8.2875172846938794E-2</v>
      </c>
      <c r="P190" s="247">
        <f t="shared" si="19"/>
        <v>0.21677113230294887</v>
      </c>
      <c r="Q190" s="251">
        <f t="shared" si="26"/>
        <v>1.2027365259469383</v>
      </c>
      <c r="R190" s="251">
        <f t="shared" si="27"/>
        <v>1.2721508426497581</v>
      </c>
      <c r="S190" s="251">
        <f t="shared" si="28"/>
        <v>-5.4564533053515163E-2</v>
      </c>
      <c r="T190" s="252">
        <f>C190*'1. Share_Price_Analysis'!$E$11+T189*(1-'1. Share_Price_Analysis'!$E$11)</f>
        <v>198.26073875646941</v>
      </c>
      <c r="U190" s="253">
        <f t="shared" si="29"/>
        <v>216.64683196423297</v>
      </c>
    </row>
    <row r="191" spans="2:21" x14ac:dyDescent="0.2">
      <c r="B191" s="245">
        <v>45175</v>
      </c>
      <c r="C191" s="246">
        <v>215.2</v>
      </c>
      <c r="D191" s="246">
        <v>446.22</v>
      </c>
      <c r="E191" s="246">
        <v>41.045000000000002</v>
      </c>
      <c r="F191" s="248">
        <f t="shared" si="20"/>
        <v>-4.8094709581947281E-3</v>
      </c>
      <c r="G191" s="248">
        <f t="shared" si="21"/>
        <v>-6.7224646068916316E-3</v>
      </c>
      <c r="H191" s="248">
        <f t="shared" si="22"/>
        <v>-2.1879178315302727E-3</v>
      </c>
      <c r="I191" s="249">
        <f t="shared" si="23"/>
        <v>0.19695199955503639</v>
      </c>
      <c r="J191" s="249">
        <f t="shared" si="24"/>
        <v>0.10322149974039951</v>
      </c>
      <c r="K191" s="249">
        <f t="shared" si="25"/>
        <v>-1.3696984260482381E-2</v>
      </c>
      <c r="L191" s="250">
        <f t="shared" si="15"/>
        <v>119.69519995550364</v>
      </c>
      <c r="M191" s="250">
        <f t="shared" si="16"/>
        <v>110.3221499740401</v>
      </c>
      <c r="N191" s="250">
        <f t="shared" si="17"/>
        <v>98.630301573951698</v>
      </c>
      <c r="O191" s="248">
        <f t="shared" si="18"/>
        <v>8.4960726233755057E-2</v>
      </c>
      <c r="P191" s="247">
        <f t="shared" si="19"/>
        <v>0.21357430774717523</v>
      </c>
      <c r="Q191" s="251">
        <f t="shared" si="26"/>
        <v>1.1969519995550364</v>
      </c>
      <c r="R191" s="251">
        <f t="shared" si="27"/>
        <v>1.2721508426497581</v>
      </c>
      <c r="S191" s="251">
        <f t="shared" si="28"/>
        <v>-5.9111577474641575E-2</v>
      </c>
      <c r="T191" s="252">
        <f>C191*'1. Share_Price_Analysis'!$E$11+T190*(1-'1. Share_Price_Analysis'!$E$11)</f>
        <v>198.4292886195891</v>
      </c>
      <c r="U191" s="253">
        <f t="shared" si="29"/>
        <v>216.59009345583169</v>
      </c>
    </row>
    <row r="192" spans="2:21" x14ac:dyDescent="0.2">
      <c r="B192" s="245">
        <v>45176</v>
      </c>
      <c r="C192" s="246">
        <v>215.56</v>
      </c>
      <c r="D192" s="246">
        <v>444.85</v>
      </c>
      <c r="E192" s="246">
        <v>40.86</v>
      </c>
      <c r="F192" s="248">
        <f t="shared" si="20"/>
        <v>1.6728624535315983E-3</v>
      </c>
      <c r="G192" s="248">
        <f t="shared" si="21"/>
        <v>-3.0702344135180581E-3</v>
      </c>
      <c r="H192" s="248">
        <f t="shared" si="22"/>
        <v>-4.5072481422828714E-3</v>
      </c>
      <c r="I192" s="249">
        <f t="shared" si="23"/>
        <v>0.19895433561377152</v>
      </c>
      <c r="J192" s="249">
        <f t="shared" si="24"/>
        <v>9.9834351126163456E-2</v>
      </c>
      <c r="K192" s="249">
        <f t="shared" si="25"/>
        <v>-1.8142496695902288E-2</v>
      </c>
      <c r="L192" s="250">
        <f t="shared" ref="L192:L255" si="30">(C192/$C$64)*100</f>
        <v>119.89543356137717</v>
      </c>
      <c r="M192" s="250">
        <f t="shared" ref="M192:M255" si="31">(D192/$D$64)*100</f>
        <v>109.9834351126165</v>
      </c>
      <c r="N192" s="250">
        <f t="shared" ref="N192:N255" si="32">(E192/$E$64)*100</f>
        <v>98.185750330409704</v>
      </c>
      <c r="O192" s="248">
        <f t="shared" ref="O192:O255" si="33">(1+I192)/(1+J192)-1</f>
        <v>9.0122648366197433E-2</v>
      </c>
      <c r="P192" s="247">
        <f t="shared" ref="P192:P255" si="34">(1+I192)/(1+K192)-1</f>
        <v>0.22110828870697663</v>
      </c>
      <c r="Q192" s="251">
        <f t="shared" si="26"/>
        <v>1.1989543356137715</v>
      </c>
      <c r="R192" s="251">
        <f t="shared" si="27"/>
        <v>1.2721508426497581</v>
      </c>
      <c r="S192" s="251">
        <f t="shared" si="28"/>
        <v>-5.7537600559636304E-2</v>
      </c>
      <c r="T192" s="252">
        <f>C192*'1. Share_Price_Analysis'!$E$11+T191*(1-'1. Share_Price_Analysis'!$E$11)</f>
        <v>198.5997434591952</v>
      </c>
      <c r="U192" s="253">
        <f t="shared" si="29"/>
        <v>216.54969763403437</v>
      </c>
    </row>
    <row r="193" spans="2:21" x14ac:dyDescent="0.2">
      <c r="B193" s="245">
        <v>45177</v>
      </c>
      <c r="C193" s="246">
        <v>216.25</v>
      </c>
      <c r="D193" s="246">
        <v>445.52</v>
      </c>
      <c r="E193" s="246">
        <v>40.9</v>
      </c>
      <c r="F193" s="248">
        <f t="shared" ref="F193:F256" si="35">C193/C192-1</f>
        <v>3.2009649285582586E-3</v>
      </c>
      <c r="G193" s="248">
        <f t="shared" ref="G193:G256" si="36">D193/D192 - 1</f>
        <v>1.5061256603348117E-3</v>
      </c>
      <c r="H193" s="248">
        <f t="shared" ref="H193:H256" si="37">E193/E192 - 1</f>
        <v>9.7895252080282269E-4</v>
      </c>
      <c r="I193" s="249">
        <f t="shared" ref="I193:I256" si="38">(1+F193)*(1+I192)-1</f>
        <v>0.20279214639301402</v>
      </c>
      <c r="J193" s="249">
        <f t="shared" ref="J193:J256" si="39">(1+G193)*(1+J192)-1</f>
        <v>0.10149083986451224</v>
      </c>
      <c r="K193" s="249">
        <f t="shared" ref="K193:K256" si="40">(1+H193)*(1+K192)-1</f>
        <v>-1.7181304817973531E-2</v>
      </c>
      <c r="L193" s="250">
        <f t="shared" si="30"/>
        <v>120.2792146393014</v>
      </c>
      <c r="M193" s="250">
        <f t="shared" si="31"/>
        <v>110.1490839864514</v>
      </c>
      <c r="N193" s="250">
        <f t="shared" si="32"/>
        <v>98.281869518202555</v>
      </c>
      <c r="O193" s="248">
        <f t="shared" si="33"/>
        <v>9.1967452530937299E-2</v>
      </c>
      <c r="P193" s="247">
        <f t="shared" si="34"/>
        <v>0.22381895286418674</v>
      </c>
      <c r="Q193" s="251">
        <f t="shared" ref="Q193:Q256" si="41">Q192*(1+F193)</f>
        <v>1.202792146393014</v>
      </c>
      <c r="R193" s="251">
        <f t="shared" ref="R193:R256" si="42">MAX(Q193,R192)</f>
        <v>1.2721508426497581</v>
      </c>
      <c r="S193" s="251">
        <f t="shared" ref="S193:S256" si="43">Q193/R193-1</f>
        <v>-5.4520811472542952E-2</v>
      </c>
      <c r="T193" s="252">
        <f>C193*'1. Share_Price_Analysis'!$E$11+T192*(1-'1. Share_Price_Analysis'!$E$11)</f>
        <v>198.77536790238727</v>
      </c>
      <c r="U193" s="253">
        <f t="shared" ref="U193:U256" si="44">C193*$L$5+U192*(1-$L$5)</f>
        <v>216.53794478564086</v>
      </c>
    </row>
    <row r="194" spans="2:21" x14ac:dyDescent="0.2">
      <c r="B194" s="245">
        <v>45180</v>
      </c>
      <c r="C194" s="246">
        <v>216.59</v>
      </c>
      <c r="D194" s="246">
        <v>448.45</v>
      </c>
      <c r="E194" s="246">
        <v>41.075000000000003</v>
      </c>
      <c r="F194" s="248">
        <f t="shared" si="35"/>
        <v>1.5722543352600926E-3</v>
      </c>
      <c r="G194" s="248">
        <f t="shared" si="36"/>
        <v>6.5765846651104631E-3</v>
      </c>
      <c r="H194" s="248">
        <f t="shared" si="37"/>
        <v>4.2787286063570296E-3</v>
      </c>
      <c r="I194" s="249">
        <f t="shared" si="38"/>
        <v>0.20468324155959716</v>
      </c>
      <c r="J194" s="249">
        <f t="shared" si="39"/>
        <v>0.10873488763072481</v>
      </c>
      <c r="K194" s="249">
        <f t="shared" si="40"/>
        <v>-1.297609035203573E-2</v>
      </c>
      <c r="L194" s="250">
        <f t="shared" si="30"/>
        <v>120.46832415595973</v>
      </c>
      <c r="M194" s="250">
        <f t="shared" si="31"/>
        <v>110.87348876307266</v>
      </c>
      <c r="N194" s="250">
        <f t="shared" si="32"/>
        <v>98.702390964796351</v>
      </c>
      <c r="O194" s="248">
        <f t="shared" si="33"/>
        <v>8.6538590062684939E-2</v>
      </c>
      <c r="P194" s="247">
        <f t="shared" si="34"/>
        <v>0.22052083012787826</v>
      </c>
      <c r="Q194" s="251">
        <f t="shared" si="41"/>
        <v>1.2046832415595972</v>
      </c>
      <c r="R194" s="251">
        <f t="shared" si="42"/>
        <v>1.2721508426497581</v>
      </c>
      <c r="S194" s="251">
        <f t="shared" si="43"/>
        <v>-5.3034277719482437E-2</v>
      </c>
      <c r="T194" s="252">
        <f>C194*'1. Share_Price_Analysis'!$E$11+T193*(1-'1. Share_Price_Analysis'!$E$11)</f>
        <v>198.95262792325906</v>
      </c>
      <c r="U194" s="253">
        <f t="shared" si="44"/>
        <v>216.53998616659612</v>
      </c>
    </row>
    <row r="195" spans="2:21" x14ac:dyDescent="0.2">
      <c r="B195" s="245">
        <v>45181</v>
      </c>
      <c r="C195" s="246">
        <v>214.77</v>
      </c>
      <c r="D195" s="246">
        <v>445.99</v>
      </c>
      <c r="E195" s="246">
        <v>40.98</v>
      </c>
      <c r="F195" s="248">
        <f t="shared" si="35"/>
        <v>-8.4029733598042222E-3</v>
      </c>
      <c r="G195" s="248">
        <f t="shared" si="36"/>
        <v>-5.4855613780799839E-3</v>
      </c>
      <c r="H195" s="248">
        <f t="shared" si="37"/>
        <v>-2.3128423615339511E-3</v>
      </c>
      <c r="I195" s="249">
        <f t="shared" si="38"/>
        <v>0.19456032037376936</v>
      </c>
      <c r="J195" s="249">
        <f t="shared" si="39"/>
        <v>0.10265285435260796</v>
      </c>
      <c r="K195" s="249">
        <f t="shared" si="40"/>
        <v>-1.5258921062116348E-2</v>
      </c>
      <c r="L195" s="250">
        <f t="shared" si="30"/>
        <v>119.45603203737696</v>
      </c>
      <c r="M195" s="250">
        <f t="shared" si="31"/>
        <v>110.26528543526095</v>
      </c>
      <c r="N195" s="250">
        <f t="shared" si="32"/>
        <v>98.474107893788286</v>
      </c>
      <c r="O195" s="248">
        <f t="shared" si="33"/>
        <v>8.3351224874053775E-2</v>
      </c>
      <c r="P195" s="247">
        <f t="shared" si="34"/>
        <v>0.21307046687053144</v>
      </c>
      <c r="Q195" s="251">
        <f t="shared" si="41"/>
        <v>1.1945603203737694</v>
      </c>
      <c r="R195" s="251">
        <f t="shared" si="42"/>
        <v>1.2721508426497581</v>
      </c>
      <c r="S195" s="251">
        <f t="shared" si="43"/>
        <v>-6.0991605456453324E-2</v>
      </c>
      <c r="T195" s="252">
        <f>C195*'1. Share_Price_Analysis'!$E$11+T194*(1-'1. Share_Price_Analysis'!$E$11)</f>
        <v>199.11001471009232</v>
      </c>
      <c r="U195" s="253">
        <f t="shared" si="44"/>
        <v>216.47057494437666</v>
      </c>
    </row>
    <row r="196" spans="2:21" x14ac:dyDescent="0.2">
      <c r="B196" s="245">
        <v>45182</v>
      </c>
      <c r="C196" s="246">
        <v>213.74</v>
      </c>
      <c r="D196" s="246">
        <v>446.51</v>
      </c>
      <c r="E196" s="246">
        <v>40.74</v>
      </c>
      <c r="F196" s="248">
        <f t="shared" si="35"/>
        <v>-4.7958280951715393E-3</v>
      </c>
      <c r="G196" s="248">
        <f t="shared" si="36"/>
        <v>1.1659454247852086E-3</v>
      </c>
      <c r="H196" s="248">
        <f t="shared" si="37"/>
        <v>-5.8565153733527442E-3</v>
      </c>
      <c r="I196" s="249">
        <f t="shared" si="38"/>
        <v>0.18883141442794371</v>
      </c>
      <c r="J196" s="249">
        <f t="shared" si="39"/>
        <v>0.10393848740326672</v>
      </c>
      <c r="K196" s="249">
        <f t="shared" si="40"/>
        <v>-2.1026072329688006E-2</v>
      </c>
      <c r="L196" s="250">
        <f t="shared" si="30"/>
        <v>118.88314144279437</v>
      </c>
      <c r="M196" s="250">
        <f t="shared" si="31"/>
        <v>110.39384874032683</v>
      </c>
      <c r="N196" s="250">
        <f t="shared" si="32"/>
        <v>97.897392767031121</v>
      </c>
      <c r="O196" s="248">
        <f t="shared" si="33"/>
        <v>7.6900051944348791E-2</v>
      </c>
      <c r="P196" s="247">
        <f t="shared" si="34"/>
        <v>0.21436473518455657</v>
      </c>
      <c r="Q196" s="251">
        <f t="shared" si="41"/>
        <v>1.1888314144279437</v>
      </c>
      <c r="R196" s="251">
        <f t="shared" si="42"/>
        <v>1.2721508426497581</v>
      </c>
      <c r="S196" s="251">
        <f t="shared" si="43"/>
        <v>-6.5494928296607191E-2</v>
      </c>
      <c r="T196" s="252">
        <f>C196*'1. Share_Price_Analysis'!$E$11+T195*(1-'1. Share_Price_Analysis'!$E$11)</f>
        <v>199.25558670302672</v>
      </c>
      <c r="U196" s="253">
        <f t="shared" si="44"/>
        <v>216.36349357400894</v>
      </c>
    </row>
    <row r="197" spans="2:21" x14ac:dyDescent="0.2">
      <c r="B197" s="245">
        <v>45183</v>
      </c>
      <c r="C197" s="246">
        <v>214.97</v>
      </c>
      <c r="D197" s="246">
        <v>450.36</v>
      </c>
      <c r="E197" s="246">
        <v>41.314999999999998</v>
      </c>
      <c r="F197" s="248">
        <f t="shared" si="35"/>
        <v>5.7546551885467867E-3</v>
      </c>
      <c r="G197" s="248">
        <f t="shared" si="36"/>
        <v>8.6224272692660975E-3</v>
      </c>
      <c r="H197" s="248">
        <f t="shared" si="37"/>
        <v>1.4113892979872311E-2</v>
      </c>
      <c r="I197" s="249">
        <f t="shared" si="38"/>
        <v>0.19567272929528889</v>
      </c>
      <c r="J197" s="249">
        <f t="shared" si="39"/>
        <v>0.11345711672064507</v>
      </c>
      <c r="K197" s="249">
        <f t="shared" si="40"/>
        <v>-7.2089390844639611E-3</v>
      </c>
      <c r="L197" s="250">
        <f t="shared" si="30"/>
        <v>119.56727292952888</v>
      </c>
      <c r="M197" s="250">
        <f t="shared" si="31"/>
        <v>111.34571167206467</v>
      </c>
      <c r="N197" s="250">
        <f t="shared" si="32"/>
        <v>99.279106091553516</v>
      </c>
      <c r="O197" s="248">
        <f t="shared" si="33"/>
        <v>7.3838149076441706E-2</v>
      </c>
      <c r="P197" s="247">
        <f t="shared" si="34"/>
        <v>0.20435485004534448</v>
      </c>
      <c r="Q197" s="251">
        <f t="shared" si="41"/>
        <v>1.1956727292952889</v>
      </c>
      <c r="R197" s="251">
        <f t="shared" si="42"/>
        <v>1.2721508426497581</v>
      </c>
      <c r="S197" s="251">
        <f t="shared" si="43"/>
        <v>-6.0117173837005988E-2</v>
      </c>
      <c r="T197" s="252">
        <f>C197*'1. Share_Price_Analysis'!$E$11+T196*(1-'1. Share_Price_Analysis'!$E$11)</f>
        <v>199.41194902438966</v>
      </c>
      <c r="U197" s="253">
        <f t="shared" si="44"/>
        <v>216.30884676718509</v>
      </c>
    </row>
    <row r="198" spans="2:21" x14ac:dyDescent="0.2">
      <c r="B198" s="245">
        <v>45184</v>
      </c>
      <c r="C198" s="246">
        <v>210.59</v>
      </c>
      <c r="D198" s="246">
        <v>443.37</v>
      </c>
      <c r="E198" s="246">
        <v>40.854999999999997</v>
      </c>
      <c r="F198" s="248">
        <f t="shared" si="35"/>
        <v>-2.0374936037586666E-2</v>
      </c>
      <c r="G198" s="248">
        <f t="shared" si="36"/>
        <v>-1.5520916600053281E-2</v>
      </c>
      <c r="H198" s="248">
        <f t="shared" si="37"/>
        <v>-1.1133970712816188E-2</v>
      </c>
      <c r="I198" s="249">
        <f t="shared" si="38"/>
        <v>0.17131097391401062</v>
      </c>
      <c r="J198" s="249">
        <f t="shared" si="39"/>
        <v>9.6175241674288037E-2</v>
      </c>
      <c r="K198" s="249">
        <f t="shared" si="40"/>
        <v>-1.8262645680643286E-2</v>
      </c>
      <c r="L198" s="250">
        <f t="shared" si="30"/>
        <v>117.13109739140108</v>
      </c>
      <c r="M198" s="250">
        <f t="shared" si="31"/>
        <v>109.61752416742898</v>
      </c>
      <c r="N198" s="250">
        <f t="shared" si="32"/>
        <v>98.173735431935583</v>
      </c>
      <c r="O198" s="248">
        <f t="shared" si="33"/>
        <v>6.8543540652278301E-2</v>
      </c>
      <c r="P198" s="247">
        <f t="shared" si="34"/>
        <v>0.19310013901435608</v>
      </c>
      <c r="Q198" s="251">
        <f t="shared" si="41"/>
        <v>1.1713109739140106</v>
      </c>
      <c r="R198" s="251">
        <f t="shared" si="42"/>
        <v>1.2721508426497581</v>
      </c>
      <c r="S198" s="251">
        <f t="shared" si="43"/>
        <v>-7.9267226302903282E-2</v>
      </c>
      <c r="T198" s="252">
        <f>C198*'1. Share_Price_Analysis'!$E$11+T197*(1-'1. Share_Price_Analysis'!$E$11)</f>
        <v>199.52317341220669</v>
      </c>
      <c r="U198" s="253">
        <f t="shared" si="44"/>
        <v>216.08457826651116</v>
      </c>
    </row>
    <row r="199" spans="2:21" x14ac:dyDescent="0.2">
      <c r="B199" s="245">
        <v>45187</v>
      </c>
      <c r="C199" s="246">
        <v>211.69</v>
      </c>
      <c r="D199" s="246">
        <v>443.63</v>
      </c>
      <c r="E199" s="246">
        <v>40.49</v>
      </c>
      <c r="F199" s="248">
        <f t="shared" si="35"/>
        <v>5.2234199154754801E-3</v>
      </c>
      <c r="G199" s="248">
        <f t="shared" si="36"/>
        <v>5.8641766470435286E-4</v>
      </c>
      <c r="H199" s="248">
        <f t="shared" si="37"/>
        <v>-8.9340350018356496E-3</v>
      </c>
      <c r="I199" s="249">
        <f t="shared" si="38"/>
        <v>0.17742922298236796</v>
      </c>
      <c r="J199" s="249">
        <f t="shared" si="39"/>
        <v>9.6818058199617418E-2</v>
      </c>
      <c r="K199" s="249">
        <f t="shared" si="40"/>
        <v>-2.7033521566741991E-2</v>
      </c>
      <c r="L199" s="250">
        <f t="shared" si="30"/>
        <v>117.74292229823683</v>
      </c>
      <c r="M199" s="250">
        <f t="shared" si="31"/>
        <v>109.68180581996192</v>
      </c>
      <c r="N199" s="250">
        <f t="shared" si="32"/>
        <v>97.296647843325729</v>
      </c>
      <c r="O199" s="248">
        <f t="shared" si="33"/>
        <v>7.3495475553229328E-2</v>
      </c>
      <c r="P199" s="247">
        <f t="shared" si="34"/>
        <v>0.21014366792816008</v>
      </c>
      <c r="Q199" s="251">
        <f t="shared" si="41"/>
        <v>1.177429222982368</v>
      </c>
      <c r="R199" s="251">
        <f t="shared" si="42"/>
        <v>1.2721508426497581</v>
      </c>
      <c r="S199" s="251">
        <f t="shared" si="43"/>
        <v>-7.4457852395942936E-2</v>
      </c>
      <c r="T199" s="252">
        <f>C199*'1. Share_Price_Analysis'!$E$11+T198*(1-'1. Share_Price_Analysis'!$E$11)</f>
        <v>199.64423636332901</v>
      </c>
      <c r="U199" s="253">
        <f t="shared" si="44"/>
        <v>215.91224186390289</v>
      </c>
    </row>
    <row r="200" spans="2:21" x14ac:dyDescent="0.2">
      <c r="B200" s="245">
        <v>45188</v>
      </c>
      <c r="C200" s="246">
        <v>209.88</v>
      </c>
      <c r="D200" s="246">
        <v>442.71</v>
      </c>
      <c r="E200" s="246">
        <v>40.454999999999998</v>
      </c>
      <c r="F200" s="248">
        <f t="shared" si="35"/>
        <v>-8.5502385563795968E-3</v>
      </c>
      <c r="G200" s="248">
        <f t="shared" si="36"/>
        <v>-2.073800238937884E-3</v>
      </c>
      <c r="H200" s="248">
        <f t="shared" si="37"/>
        <v>-8.6441096567058118E-4</v>
      </c>
      <c r="I200" s="249">
        <f t="shared" si="38"/>
        <v>0.16736192224261615</v>
      </c>
      <c r="J200" s="249">
        <f t="shared" si="39"/>
        <v>9.4543476648451641E-2</v>
      </c>
      <c r="K200" s="249">
        <f t="shared" si="40"/>
        <v>-2.787456445992964E-2</v>
      </c>
      <c r="L200" s="250">
        <f t="shared" si="30"/>
        <v>116.73619222426164</v>
      </c>
      <c r="M200" s="250">
        <f t="shared" si="31"/>
        <v>109.45434766484534</v>
      </c>
      <c r="N200" s="250">
        <f t="shared" si="32"/>
        <v>97.212543554006956</v>
      </c>
      <c r="O200" s="248">
        <f t="shared" si="33"/>
        <v>6.6528600414428762E-2</v>
      </c>
      <c r="P200" s="247">
        <f t="shared" si="34"/>
        <v>0.20083466553272622</v>
      </c>
      <c r="Q200" s="251">
        <f t="shared" si="41"/>
        <v>1.1673619222426161</v>
      </c>
      <c r="R200" s="251">
        <f t="shared" si="42"/>
        <v>1.2721508426497581</v>
      </c>
      <c r="S200" s="251">
        <f t="shared" si="43"/>
        <v>-8.2371458551941501E-2</v>
      </c>
      <c r="T200" s="252">
        <f>C200*'1. Share_Price_Analysis'!$E$11+T199*(1-'1. Share_Price_Analysis'!$E$11)</f>
        <v>199.74608475772374</v>
      </c>
      <c r="U200" s="253">
        <f t="shared" si="44"/>
        <v>215.67568335943611</v>
      </c>
    </row>
    <row r="201" spans="2:21" x14ac:dyDescent="0.2">
      <c r="B201" s="245">
        <v>45189</v>
      </c>
      <c r="C201" s="246">
        <v>209.55</v>
      </c>
      <c r="D201" s="246">
        <v>438.64</v>
      </c>
      <c r="E201" s="246">
        <v>40.03</v>
      </c>
      <c r="F201" s="248">
        <f t="shared" si="35"/>
        <v>-1.5723270440251014E-3</v>
      </c>
      <c r="G201" s="248">
        <f t="shared" si="36"/>
        <v>-9.1933771543447618E-3</v>
      </c>
      <c r="H201" s="248">
        <f t="shared" si="37"/>
        <v>-1.0505499938202822E-2</v>
      </c>
      <c r="I201" s="249">
        <f t="shared" si="38"/>
        <v>0.16552644752210899</v>
      </c>
      <c r="J201" s="249">
        <f t="shared" si="39"/>
        <v>8.448092565579457E-2</v>
      </c>
      <c r="K201" s="249">
        <f t="shared" si="40"/>
        <v>-3.8087228162921205E-2</v>
      </c>
      <c r="L201" s="250">
        <f t="shared" si="30"/>
        <v>116.55264475221092</v>
      </c>
      <c r="M201" s="250">
        <f t="shared" si="31"/>
        <v>108.44809256557963</v>
      </c>
      <c r="N201" s="250">
        <f t="shared" si="32"/>
        <v>96.191277183707797</v>
      </c>
      <c r="O201" s="248">
        <f t="shared" si="33"/>
        <v>7.4732086059794423E-2</v>
      </c>
      <c r="P201" s="247">
        <f t="shared" si="34"/>
        <v>0.21167582097508175</v>
      </c>
      <c r="Q201" s="251">
        <f t="shared" si="41"/>
        <v>1.165526447522109</v>
      </c>
      <c r="R201" s="251">
        <f t="shared" si="42"/>
        <v>1.2721508426497581</v>
      </c>
      <c r="S201" s="251">
        <f t="shared" si="43"/>
        <v>-8.3814270724029472E-2</v>
      </c>
      <c r="T201" s="252">
        <f>C201*'1. Share_Price_Analysis'!$E$11+T200*(1-'1. Share_Price_Analysis'!$E$11)</f>
        <v>199.84363615316926</v>
      </c>
      <c r="U201" s="253">
        <f t="shared" si="44"/>
        <v>215.43546048259549</v>
      </c>
    </row>
    <row r="202" spans="2:21" x14ac:dyDescent="0.2">
      <c r="B202" s="245">
        <v>45190</v>
      </c>
      <c r="C202" s="246">
        <v>202.35</v>
      </c>
      <c r="D202" s="246">
        <v>431.39</v>
      </c>
      <c r="E202" s="246">
        <v>39.225000000000001</v>
      </c>
      <c r="F202" s="248">
        <f t="shared" si="35"/>
        <v>-3.4359341445955649E-2</v>
      </c>
      <c r="G202" s="248">
        <f t="shared" si="36"/>
        <v>-1.6528360386649621E-2</v>
      </c>
      <c r="H202" s="248">
        <f t="shared" si="37"/>
        <v>-2.0109917561828672E-2</v>
      </c>
      <c r="I202" s="249">
        <f t="shared" si="38"/>
        <v>0.12547972634740523</v>
      </c>
      <c r="J202" s="249">
        <f t="shared" si="39"/>
        <v>6.6556234084108157E-2</v>
      </c>
      <c r="K202" s="249">
        <f t="shared" si="40"/>
        <v>-5.7431214706235023E-2</v>
      </c>
      <c r="L202" s="250">
        <f t="shared" si="30"/>
        <v>112.54797263474052</v>
      </c>
      <c r="M202" s="250">
        <f t="shared" si="31"/>
        <v>106.65562340841099</v>
      </c>
      <c r="N202" s="250">
        <f t="shared" si="32"/>
        <v>94.256878529376436</v>
      </c>
      <c r="O202" s="248">
        <f t="shared" si="33"/>
        <v>5.5246493696506249E-2</v>
      </c>
      <c r="P202" s="247">
        <f t="shared" si="34"/>
        <v>0.19405580145180967</v>
      </c>
      <c r="Q202" s="251">
        <f t="shared" si="41"/>
        <v>1.1254797263474052</v>
      </c>
      <c r="R202" s="251">
        <f t="shared" si="42"/>
        <v>1.2721508426497581</v>
      </c>
      <c r="S202" s="251">
        <f t="shared" si="43"/>
        <v>-0.11529380902413444</v>
      </c>
      <c r="T202" s="252">
        <f>C202*'1. Share_Price_Analysis'!$E$11+T201*(1-'1. Share_Price_Analysis'!$E$11)</f>
        <v>199.86857509691885</v>
      </c>
      <c r="U202" s="253">
        <f t="shared" si="44"/>
        <v>214.92230516955254</v>
      </c>
    </row>
    <row r="203" spans="2:21" x14ac:dyDescent="0.2">
      <c r="B203" s="245">
        <v>45191</v>
      </c>
      <c r="C203" s="246">
        <v>200.62</v>
      </c>
      <c r="D203" s="246">
        <v>430.42</v>
      </c>
      <c r="E203" s="246">
        <v>39.185000000000002</v>
      </c>
      <c r="F203" s="248">
        <f t="shared" si="35"/>
        <v>-8.5495428712626387E-3</v>
      </c>
      <c r="G203" s="248">
        <f t="shared" si="36"/>
        <v>-2.2485453997541649E-3</v>
      </c>
      <c r="H203" s="248">
        <f t="shared" si="37"/>
        <v>-1.019757807520727E-3</v>
      </c>
      <c r="I203" s="249">
        <f t="shared" si="38"/>
        <v>0.11585738917626109</v>
      </c>
      <c r="J203" s="249">
        <f t="shared" si="39"/>
        <v>6.4158033970379114E-2</v>
      </c>
      <c r="K203" s="249">
        <f t="shared" si="40"/>
        <v>-5.839240658416367E-2</v>
      </c>
      <c r="L203" s="250">
        <f t="shared" si="30"/>
        <v>111.58573891762613</v>
      </c>
      <c r="M203" s="250">
        <f t="shared" si="31"/>
        <v>106.41580339703809</v>
      </c>
      <c r="N203" s="250">
        <f t="shared" si="32"/>
        <v>94.160759341583571</v>
      </c>
      <c r="O203" s="248">
        <f t="shared" si="33"/>
        <v>4.8582403698999022E-2</v>
      </c>
      <c r="P203" s="247">
        <f t="shared" si="34"/>
        <v>0.18505563992778029</v>
      </c>
      <c r="Q203" s="251">
        <f t="shared" si="41"/>
        <v>1.1158573891762611</v>
      </c>
      <c r="R203" s="251">
        <f t="shared" si="42"/>
        <v>1.2721508426497581</v>
      </c>
      <c r="S203" s="251">
        <f t="shared" si="43"/>
        <v>-0.12285764253235409</v>
      </c>
      <c r="T203" s="252">
        <f>C203*'1. Share_Price_Analysis'!$E$11+T202*(1-'1. Share_Price_Analysis'!$E$11)</f>
        <v>199.87605196162613</v>
      </c>
      <c r="U203" s="253">
        <f t="shared" si="44"/>
        <v>214.36143045702107</v>
      </c>
    </row>
    <row r="204" spans="2:21" x14ac:dyDescent="0.2">
      <c r="B204" s="245">
        <v>45194</v>
      </c>
      <c r="C204" s="246">
        <v>202.04</v>
      </c>
      <c r="D204" s="246">
        <v>432.23</v>
      </c>
      <c r="E204" s="246">
        <v>39.494999999999997</v>
      </c>
      <c r="F204" s="248">
        <f t="shared" si="35"/>
        <v>7.078058020137501E-3</v>
      </c>
      <c r="G204" s="248">
        <f t="shared" si="36"/>
        <v>4.2051949258863353E-3</v>
      </c>
      <c r="H204" s="248">
        <f t="shared" si="37"/>
        <v>7.9111905065711863E-3</v>
      </c>
      <c r="I204" s="249">
        <f t="shared" si="38"/>
        <v>0.12375549251904983</v>
      </c>
      <c r="J204" s="249">
        <f t="shared" si="39"/>
        <v>6.863302593517262E-2</v>
      </c>
      <c r="K204" s="249">
        <f t="shared" si="40"/>
        <v>-5.0943169530216936E-2</v>
      </c>
      <c r="L204" s="250">
        <f t="shared" si="30"/>
        <v>112.375549251905</v>
      </c>
      <c r="M204" s="250">
        <f t="shared" si="31"/>
        <v>106.86330259351745</v>
      </c>
      <c r="N204" s="250">
        <f t="shared" si="32"/>
        <v>94.90568304697824</v>
      </c>
      <c r="O204" s="248">
        <f t="shared" si="33"/>
        <v>5.1582222564793945E-2</v>
      </c>
      <c r="P204" s="247">
        <f t="shared" si="34"/>
        <v>0.18407608105279727</v>
      </c>
      <c r="Q204" s="251">
        <f t="shared" si="41"/>
        <v>1.1237554925190498</v>
      </c>
      <c r="R204" s="251">
        <f t="shared" si="42"/>
        <v>1.2721508426497581</v>
      </c>
      <c r="S204" s="251">
        <f t="shared" si="43"/>
        <v>-0.11664917803427788</v>
      </c>
      <c r="T204" s="252">
        <f>C204*'1. Share_Price_Analysis'!$E$11+T203*(1-'1. Share_Price_Analysis'!$E$11)</f>
        <v>199.8975837829035</v>
      </c>
      <c r="U204" s="253">
        <f t="shared" si="44"/>
        <v>213.87823710576535</v>
      </c>
    </row>
    <row r="205" spans="2:21" x14ac:dyDescent="0.2">
      <c r="B205" s="245">
        <v>45195</v>
      </c>
      <c r="C205" s="246">
        <v>201.35</v>
      </c>
      <c r="D205" s="246">
        <v>425.88</v>
      </c>
      <c r="E205" s="246">
        <v>38.924999999999997</v>
      </c>
      <c r="F205" s="248">
        <f t="shared" si="35"/>
        <v>-3.4151653137992621E-3</v>
      </c>
      <c r="G205" s="248">
        <f t="shared" si="36"/>
        <v>-1.4691252342502903E-2</v>
      </c>
      <c r="H205" s="248">
        <f t="shared" si="37"/>
        <v>-1.4432206608431475E-2</v>
      </c>
      <c r="I205" s="249">
        <f t="shared" si="38"/>
        <v>0.11991768173980732</v>
      </c>
      <c r="J205" s="249">
        <f t="shared" si="39"/>
        <v>5.2933468489626545E-2</v>
      </c>
      <c r="K205" s="249">
        <f t="shared" si="40"/>
        <v>-6.4640153790699983E-2</v>
      </c>
      <c r="L205" s="250">
        <f t="shared" si="30"/>
        <v>111.99176817398076</v>
      </c>
      <c r="M205" s="250">
        <f t="shared" si="31"/>
        <v>105.29334684896283</v>
      </c>
      <c r="N205" s="250">
        <f t="shared" si="32"/>
        <v>93.535984620929952</v>
      </c>
      <c r="O205" s="248">
        <f t="shared" si="33"/>
        <v>6.3616757615527098E-2</v>
      </c>
      <c r="P205" s="247">
        <f t="shared" si="34"/>
        <v>0.19731212140275045</v>
      </c>
      <c r="Q205" s="251">
        <f t="shared" si="41"/>
        <v>1.1199176817398073</v>
      </c>
      <c r="R205" s="251">
        <f t="shared" si="42"/>
        <v>1.2721508426497581</v>
      </c>
      <c r="S205" s="251">
        <f t="shared" si="43"/>
        <v>-0.11966596712137134</v>
      </c>
      <c r="T205" s="252">
        <f>C205*'1. Share_Price_Analysis'!$E$11+T204*(1-'1. Share_Price_Analysis'!$E$11)</f>
        <v>199.91203568556116</v>
      </c>
      <c r="U205" s="253">
        <f t="shared" si="44"/>
        <v>213.38693368985301</v>
      </c>
    </row>
    <row r="206" spans="2:21" x14ac:dyDescent="0.2">
      <c r="B206" s="245">
        <v>45196</v>
      </c>
      <c r="C206" s="246">
        <v>203.6</v>
      </c>
      <c r="D206" s="246">
        <v>426.05</v>
      </c>
      <c r="E206" s="246">
        <v>38.92</v>
      </c>
      <c r="F206" s="248">
        <f t="shared" si="35"/>
        <v>1.1174571641420439E-2</v>
      </c>
      <c r="G206" s="248">
        <f t="shared" si="36"/>
        <v>3.99173476096637E-4</v>
      </c>
      <c r="H206" s="248">
        <f t="shared" si="37"/>
        <v>-1.284521515734216E-4</v>
      </c>
      <c r="I206" s="249">
        <f t="shared" si="38"/>
        <v>0.13243228210690239</v>
      </c>
      <c r="J206" s="249">
        <f t="shared" si="39"/>
        <v>5.3353771602342004E-2</v>
      </c>
      <c r="K206" s="249">
        <f t="shared" si="40"/>
        <v>-6.4760302775440981E-2</v>
      </c>
      <c r="L206" s="250">
        <f t="shared" si="30"/>
        <v>113.24322821069026</v>
      </c>
      <c r="M206" s="250">
        <f t="shared" si="31"/>
        <v>105.33537716023437</v>
      </c>
      <c r="N206" s="250">
        <f t="shared" si="32"/>
        <v>93.523969722455845</v>
      </c>
      <c r="O206" s="248">
        <f t="shared" si="33"/>
        <v>7.507307861466872E-2</v>
      </c>
      <c r="P206" s="247">
        <f t="shared" si="34"/>
        <v>0.21084710739667822</v>
      </c>
      <c r="Q206" s="251">
        <f t="shared" si="41"/>
        <v>1.1324322821069024</v>
      </c>
      <c r="R206" s="251">
        <f t="shared" si="42"/>
        <v>1.2721508426497581</v>
      </c>
      <c r="S206" s="251">
        <f t="shared" si="43"/>
        <v>-0.10982861140258837</v>
      </c>
      <c r="T206" s="252">
        <f>C206*'1. Share_Price_Analysis'!$E$11+T205*(1-'1. Share_Price_Analysis'!$E$11)</f>
        <v>199.9487318478939</v>
      </c>
      <c r="U206" s="253">
        <f t="shared" si="44"/>
        <v>213.00313236868232</v>
      </c>
    </row>
    <row r="207" spans="2:21" x14ac:dyDescent="0.2">
      <c r="B207" s="245">
        <v>45197</v>
      </c>
      <c r="C207" s="246">
        <v>205.03</v>
      </c>
      <c r="D207" s="246">
        <v>428.52</v>
      </c>
      <c r="E207" s="246">
        <v>39.340000000000003</v>
      </c>
      <c r="F207" s="248">
        <f t="shared" si="35"/>
        <v>7.0235756385068626E-3</v>
      </c>
      <c r="G207" s="248">
        <f t="shared" si="36"/>
        <v>5.7974416148338648E-3</v>
      </c>
      <c r="H207" s="248">
        <f t="shared" si="37"/>
        <v>1.0791366906474753E-2</v>
      </c>
      <c r="I207" s="249">
        <f t="shared" si="38"/>
        <v>0.14038600589576711</v>
      </c>
      <c r="J207" s="249">
        <f t="shared" si="39"/>
        <v>5.9460528592971684E-2</v>
      </c>
      <c r="K207" s="249">
        <f t="shared" si="40"/>
        <v>-5.4667788057190414E-2</v>
      </c>
      <c r="L207" s="250">
        <f t="shared" si="30"/>
        <v>114.03860058957673</v>
      </c>
      <c r="M207" s="250">
        <f t="shared" si="31"/>
        <v>105.94605285929734</v>
      </c>
      <c r="N207" s="250">
        <f t="shared" si="32"/>
        <v>94.533221194280912</v>
      </c>
      <c r="O207" s="248">
        <f t="shared" si="33"/>
        <v>7.6383664250587513E-2</v>
      </c>
      <c r="P207" s="247">
        <f t="shared" si="34"/>
        <v>0.20633359520468542</v>
      </c>
      <c r="Q207" s="251">
        <f t="shared" si="41"/>
        <v>1.1403860058957671</v>
      </c>
      <c r="R207" s="251">
        <f t="shared" si="42"/>
        <v>1.2721508426497581</v>
      </c>
      <c r="S207" s="251">
        <f t="shared" si="43"/>
        <v>-0.10357642532353983</v>
      </c>
      <c r="T207" s="252">
        <f>C207*'1. Share_Price_Analysis'!$E$11+T206*(1-'1. Share_Price_Analysis'!$E$11)</f>
        <v>199.99929173000439</v>
      </c>
      <c r="U207" s="253">
        <f t="shared" si="44"/>
        <v>212.69046051108694</v>
      </c>
    </row>
    <row r="208" spans="2:21" x14ac:dyDescent="0.2">
      <c r="B208" s="245">
        <v>45198</v>
      </c>
      <c r="C208" s="246">
        <v>202.02</v>
      </c>
      <c r="D208" s="246">
        <v>427.48</v>
      </c>
      <c r="E208" s="246">
        <v>39.274999999999999</v>
      </c>
      <c r="F208" s="248">
        <f t="shared" si="35"/>
        <v>-1.4680778422669793E-2</v>
      </c>
      <c r="G208" s="248">
        <f t="shared" si="36"/>
        <v>-2.4269579016147347E-3</v>
      </c>
      <c r="H208" s="248">
        <f t="shared" si="37"/>
        <v>-1.6522623284190852E-3</v>
      </c>
      <c r="I208" s="249">
        <f t="shared" si="38"/>
        <v>0.12364425162689785</v>
      </c>
      <c r="J208" s="249">
        <f t="shared" si="39"/>
        <v>5.6889262491654158E-2</v>
      </c>
      <c r="K208" s="249">
        <f t="shared" si="40"/>
        <v>-5.6229724858824603E-2</v>
      </c>
      <c r="L208" s="250">
        <f t="shared" si="30"/>
        <v>112.36442516268981</v>
      </c>
      <c r="M208" s="250">
        <f t="shared" si="31"/>
        <v>105.68892624916558</v>
      </c>
      <c r="N208" s="250">
        <f t="shared" si="32"/>
        <v>94.377027514117501</v>
      </c>
      <c r="O208" s="248">
        <f t="shared" si="33"/>
        <v>6.3161763019397466E-2</v>
      </c>
      <c r="P208" s="247">
        <f t="shared" si="34"/>
        <v>0.19059084739537457</v>
      </c>
      <c r="Q208" s="251">
        <f t="shared" si="41"/>
        <v>1.1236442516268978</v>
      </c>
      <c r="R208" s="251">
        <f t="shared" si="42"/>
        <v>1.2721508426497581</v>
      </c>
      <c r="S208" s="251">
        <f t="shared" si="43"/>
        <v>-0.11673662119622263</v>
      </c>
      <c r="T208" s="252">
        <f>C208*'1. Share_Price_Analysis'!$E$11+T207*(1-'1. Share_Price_Analysis'!$E$11)</f>
        <v>200.0193982799546</v>
      </c>
      <c r="U208" s="253">
        <f t="shared" si="44"/>
        <v>212.27201107927962</v>
      </c>
    </row>
    <row r="209" spans="2:21" x14ac:dyDescent="0.2">
      <c r="B209" s="245">
        <v>45201</v>
      </c>
      <c r="C209" s="246">
        <v>200.93</v>
      </c>
      <c r="D209" s="246">
        <v>427.31</v>
      </c>
      <c r="E209" s="246">
        <v>38.755000000000003</v>
      </c>
      <c r="F209" s="248">
        <f t="shared" si="35"/>
        <v>-5.3955053955053733E-3</v>
      </c>
      <c r="G209" s="248">
        <f t="shared" si="36"/>
        <v>-3.9767942359880681E-4</v>
      </c>
      <c r="H209" s="248">
        <f t="shared" si="37"/>
        <v>-1.3239974538510446E-2</v>
      </c>
      <c r="I209" s="249">
        <f t="shared" si="38"/>
        <v>0.11758162300461628</v>
      </c>
      <c r="J209" s="249">
        <f t="shared" si="39"/>
        <v>5.6468959378938699E-2</v>
      </c>
      <c r="K209" s="249">
        <f t="shared" si="40"/>
        <v>-6.8725219271896787E-2</v>
      </c>
      <c r="L209" s="250">
        <f t="shared" si="30"/>
        <v>111.75816230046165</v>
      </c>
      <c r="M209" s="250">
        <f t="shared" si="31"/>
        <v>105.64689593789403</v>
      </c>
      <c r="N209" s="250">
        <f t="shared" si="32"/>
        <v>93.127478072810291</v>
      </c>
      <c r="O209" s="248">
        <f t="shared" si="33"/>
        <v>5.7846151638571097E-2</v>
      </c>
      <c r="P209" s="247">
        <f t="shared" si="34"/>
        <v>0.20005571516803222</v>
      </c>
      <c r="Q209" s="251">
        <f t="shared" si="41"/>
        <v>1.1175816230046163</v>
      </c>
      <c r="R209" s="251">
        <f t="shared" si="42"/>
        <v>1.2721508426497581</v>
      </c>
      <c r="S209" s="251">
        <f t="shared" si="43"/>
        <v>-0.12150227352221077</v>
      </c>
      <c r="T209" s="252">
        <f>C209*'1. Share_Price_Analysis'!$E$11+T208*(1-'1. Share_Price_Analysis'!$E$11)</f>
        <v>200.0284589935869</v>
      </c>
      <c r="U209" s="253">
        <f t="shared" si="44"/>
        <v>211.82722633107258</v>
      </c>
    </row>
    <row r="210" spans="2:21" x14ac:dyDescent="0.2">
      <c r="B210" s="245">
        <v>45202</v>
      </c>
      <c r="C210" s="246">
        <v>199.99</v>
      </c>
      <c r="D210" s="246">
        <v>421.59</v>
      </c>
      <c r="E210" s="246">
        <v>38.65</v>
      </c>
      <c r="F210" s="248">
        <f t="shared" si="35"/>
        <v>-4.6782461553774857E-3</v>
      </c>
      <c r="G210" s="248">
        <f t="shared" si="36"/>
        <v>-1.3386066321874113E-2</v>
      </c>
      <c r="H210" s="248">
        <f t="shared" si="37"/>
        <v>-2.7093278286673961E-3</v>
      </c>
      <c r="I210" s="249">
        <f t="shared" si="38"/>
        <v>0.1123533010734743</v>
      </c>
      <c r="J210" s="249">
        <f t="shared" si="39"/>
        <v>4.2326995821690971E-2</v>
      </c>
      <c r="K210" s="249">
        <f t="shared" si="40"/>
        <v>-7.1248347951459512E-2</v>
      </c>
      <c r="L210" s="250">
        <f t="shared" si="30"/>
        <v>111.23533010734748</v>
      </c>
      <c r="M210" s="250">
        <f t="shared" si="31"/>
        <v>104.23269958216925</v>
      </c>
      <c r="N210" s="250">
        <f t="shared" si="32"/>
        <v>92.875165204854014</v>
      </c>
      <c r="O210" s="248">
        <f t="shared" si="33"/>
        <v>6.7182664876275222E-2</v>
      </c>
      <c r="P210" s="247">
        <f t="shared" si="34"/>
        <v>0.19768648445466019</v>
      </c>
      <c r="Q210" s="251">
        <f t="shared" si="41"/>
        <v>1.1123533010734743</v>
      </c>
      <c r="R210" s="251">
        <f t="shared" si="42"/>
        <v>1.2721508426497581</v>
      </c>
      <c r="S210" s="251">
        <f t="shared" si="43"/>
        <v>-0.1256121021336134</v>
      </c>
      <c r="T210" s="252">
        <f>C210*'1. Share_Price_Analysis'!$E$11+T209*(1-'1. Share_Price_Analysis'!$E$11)</f>
        <v>200.02807631703382</v>
      </c>
      <c r="U210" s="253">
        <f t="shared" si="44"/>
        <v>211.36302137691288</v>
      </c>
    </row>
    <row r="211" spans="2:21" x14ac:dyDescent="0.2">
      <c r="B211" s="245">
        <v>45203</v>
      </c>
      <c r="C211" s="246">
        <v>205.03</v>
      </c>
      <c r="D211" s="246">
        <v>424.66</v>
      </c>
      <c r="E211" s="246">
        <v>39.104999999999997</v>
      </c>
      <c r="F211" s="248">
        <f t="shared" si="35"/>
        <v>2.5201260063003161E-2</v>
      </c>
      <c r="G211" s="248">
        <f t="shared" si="36"/>
        <v>7.2819564031405548E-3</v>
      </c>
      <c r="H211" s="248">
        <f t="shared" si="37"/>
        <v>1.1772315653298726E-2</v>
      </c>
      <c r="I211" s="249">
        <f t="shared" si="38"/>
        <v>0.14038600589576689</v>
      </c>
      <c r="J211" s="249">
        <f t="shared" si="39"/>
        <v>4.9917175563080951E-2</v>
      </c>
      <c r="K211" s="249">
        <f t="shared" si="40"/>
        <v>-6.0314790340021407E-2</v>
      </c>
      <c r="L211" s="250">
        <f t="shared" si="30"/>
        <v>114.03860058957673</v>
      </c>
      <c r="M211" s="250">
        <f t="shared" si="31"/>
        <v>104.99171755630825</v>
      </c>
      <c r="N211" s="250">
        <f t="shared" si="32"/>
        <v>93.968520965997826</v>
      </c>
      <c r="O211" s="248">
        <f t="shared" si="33"/>
        <v>8.616758772820976E-2</v>
      </c>
      <c r="P211" s="247">
        <f t="shared" si="34"/>
        <v>0.2135830107493244</v>
      </c>
      <c r="Q211" s="251">
        <f t="shared" si="41"/>
        <v>1.1403860058957669</v>
      </c>
      <c r="R211" s="251">
        <f t="shared" si="42"/>
        <v>1.2721508426497581</v>
      </c>
      <c r="S211" s="251">
        <f t="shared" si="43"/>
        <v>-0.10357642532354006</v>
      </c>
      <c r="T211" s="252">
        <f>C211*'1. Share_Price_Analysis'!$E$11+T210*(1-'1. Share_Price_Analysis'!$E$11)</f>
        <v>200.07784670193897</v>
      </c>
      <c r="U211" s="253">
        <f t="shared" si="44"/>
        <v>211.11466759742609</v>
      </c>
    </row>
    <row r="212" spans="2:21" x14ac:dyDescent="0.2">
      <c r="B212" s="245">
        <v>45204</v>
      </c>
      <c r="C212" s="246">
        <v>206.95</v>
      </c>
      <c r="D212" s="246">
        <v>424.5</v>
      </c>
      <c r="E212" s="246">
        <v>38.630000000000003</v>
      </c>
      <c r="F212" s="248">
        <f t="shared" si="35"/>
        <v>9.3644832463541938E-3</v>
      </c>
      <c r="G212" s="248">
        <f t="shared" si="36"/>
        <v>-3.7677200584007586E-4</v>
      </c>
      <c r="H212" s="248">
        <f t="shared" si="37"/>
        <v>-1.2146784298682878E-2</v>
      </c>
      <c r="I212" s="249">
        <f t="shared" si="38"/>
        <v>0.15106513154235457</v>
      </c>
      <c r="J212" s="249">
        <f t="shared" si="39"/>
        <v>4.9521596162878101E-2</v>
      </c>
      <c r="K212" s="249">
        <f t="shared" si="40"/>
        <v>-7.1728943890423724E-2</v>
      </c>
      <c r="L212" s="250">
        <f t="shared" si="30"/>
        <v>115.1065131542355</v>
      </c>
      <c r="M212" s="250">
        <f t="shared" si="31"/>
        <v>104.95215961628797</v>
      </c>
      <c r="N212" s="250">
        <f t="shared" si="32"/>
        <v>92.827105610957588</v>
      </c>
      <c r="O212" s="248">
        <f t="shared" si="33"/>
        <v>9.6752211436835989E-2</v>
      </c>
      <c r="P212" s="247">
        <f t="shared" si="34"/>
        <v>0.24000971910781943</v>
      </c>
      <c r="Q212" s="251">
        <f t="shared" si="41"/>
        <v>1.1510651315423546</v>
      </c>
      <c r="R212" s="251">
        <f t="shared" si="42"/>
        <v>1.2721508426497581</v>
      </c>
      <c r="S212" s="251">
        <f t="shared" si="43"/>
        <v>-9.518188177684539E-2</v>
      </c>
      <c r="T212" s="252">
        <f>C212*'1. Share_Price_Analysis'!$E$11+T211*(1-'1. Share_Price_Analysis'!$E$11)</f>
        <v>200.14622633674557</v>
      </c>
      <c r="U212" s="253">
        <f t="shared" si="44"/>
        <v>210.95134729948782</v>
      </c>
    </row>
    <row r="213" spans="2:21" x14ac:dyDescent="0.2">
      <c r="B213" s="245">
        <v>45205</v>
      </c>
      <c r="C213" s="246">
        <v>212.4</v>
      </c>
      <c r="D213" s="246">
        <v>429.54</v>
      </c>
      <c r="E213" s="246">
        <v>38.994999999999997</v>
      </c>
      <c r="F213" s="248">
        <f t="shared" si="35"/>
        <v>2.6334863493597593E-2</v>
      </c>
      <c r="G213" s="248">
        <f t="shared" si="36"/>
        <v>1.1872791519434767E-2</v>
      </c>
      <c r="H213" s="248">
        <f t="shared" si="37"/>
        <v>9.4486150660106905E-3</v>
      </c>
      <c r="I213" s="249">
        <f t="shared" si="38"/>
        <v>0.18137827465376244</v>
      </c>
      <c r="J213" s="249">
        <f t="shared" si="39"/>
        <v>6.1982347269264437E-2</v>
      </c>
      <c r="K213" s="249">
        <f t="shared" si="40"/>
        <v>-6.295806800432513E-2</v>
      </c>
      <c r="L213" s="250">
        <f t="shared" si="30"/>
        <v>118.13782746537629</v>
      </c>
      <c r="M213" s="250">
        <f t="shared" si="31"/>
        <v>106.1982347269266</v>
      </c>
      <c r="N213" s="250">
        <f t="shared" si="32"/>
        <v>93.704193199567456</v>
      </c>
      <c r="O213" s="248">
        <f t="shared" si="33"/>
        <v>0.11242741246265298</v>
      </c>
      <c r="P213" s="247">
        <f t="shared" si="34"/>
        <v>0.26075283753599976</v>
      </c>
      <c r="Q213" s="251">
        <f t="shared" si="41"/>
        <v>1.1813782746537624</v>
      </c>
      <c r="R213" s="251">
        <f t="shared" si="42"/>
        <v>1.2721508426497581</v>
      </c>
      <c r="S213" s="251">
        <f t="shared" si="43"/>
        <v>-7.1353620146904717E-2</v>
      </c>
      <c r="T213" s="252">
        <f>C213*'1. Share_Price_Analysis'!$E$11+T212*(1-'1. Share_Price_Analysis'!$E$11)</f>
        <v>200.26815443289738</v>
      </c>
      <c r="U213" s="253">
        <f t="shared" si="44"/>
        <v>211.00815720931186</v>
      </c>
    </row>
    <row r="214" spans="2:21" x14ac:dyDescent="0.2">
      <c r="B214" s="245">
        <v>45208</v>
      </c>
      <c r="C214" s="246">
        <v>210.25</v>
      </c>
      <c r="D214" s="246">
        <v>432.29</v>
      </c>
      <c r="E214" s="246">
        <v>39.045000000000002</v>
      </c>
      <c r="F214" s="248">
        <f t="shared" si="35"/>
        <v>-1.0122410546139382E-2</v>
      </c>
      <c r="G214" s="248">
        <f t="shared" si="36"/>
        <v>6.4021976998649421E-3</v>
      </c>
      <c r="H214" s="248">
        <f t="shared" si="37"/>
        <v>1.2822156686755903E-3</v>
      </c>
      <c r="I214" s="249">
        <f t="shared" si="38"/>
        <v>0.16941987874742725</v>
      </c>
      <c r="J214" s="249">
        <f t="shared" si="39"/>
        <v>6.8781368210248939E-2</v>
      </c>
      <c r="K214" s="249">
        <f t="shared" si="40"/>
        <v>-6.1756578156914266E-2</v>
      </c>
      <c r="L214" s="250">
        <f t="shared" si="30"/>
        <v>116.94198787474276</v>
      </c>
      <c r="M214" s="250">
        <f t="shared" si="31"/>
        <v>106.87813682102505</v>
      </c>
      <c r="N214" s="250">
        <f t="shared" si="32"/>
        <v>93.824342184308534</v>
      </c>
      <c r="O214" s="248">
        <f t="shared" si="33"/>
        <v>9.4161924534392538E-2</v>
      </c>
      <c r="P214" s="247">
        <f t="shared" si="34"/>
        <v>0.24639283529451061</v>
      </c>
      <c r="Q214" s="251">
        <f t="shared" si="41"/>
        <v>1.1694198787474273</v>
      </c>
      <c r="R214" s="251">
        <f t="shared" si="42"/>
        <v>1.2721508426497581</v>
      </c>
      <c r="S214" s="251">
        <f t="shared" si="43"/>
        <v>-8.0753760055963908E-2</v>
      </c>
      <c r="T214" s="252">
        <f>C214*'1. Share_Price_Analysis'!$E$11+T213*(1-'1. Share_Price_Analysis'!$E$11)</f>
        <v>200.36747627933622</v>
      </c>
      <c r="U214" s="253">
        <f t="shared" si="44"/>
        <v>210.97842555404475</v>
      </c>
    </row>
    <row r="215" spans="2:21" x14ac:dyDescent="0.2">
      <c r="B215" s="245">
        <v>45209</v>
      </c>
      <c r="C215" s="246">
        <v>211</v>
      </c>
      <c r="D215" s="246">
        <v>434.54</v>
      </c>
      <c r="E215" s="246">
        <v>39.46</v>
      </c>
      <c r="F215" s="248">
        <f t="shared" si="35"/>
        <v>3.5671819262781401E-3</v>
      </c>
      <c r="G215" s="248">
        <f t="shared" si="36"/>
        <v>5.2048393439589891E-3</v>
      </c>
      <c r="H215" s="248">
        <f t="shared" si="37"/>
        <v>1.0628761685234966E-2</v>
      </c>
      <c r="I215" s="249">
        <f t="shared" si="38"/>
        <v>0.17359141220312546</v>
      </c>
      <c r="J215" s="249">
        <f t="shared" si="39"/>
        <v>7.4344203525599895E-2</v>
      </c>
      <c r="K215" s="249">
        <f t="shared" si="40"/>
        <v>-5.1784212423404696E-2</v>
      </c>
      <c r="L215" s="250">
        <f t="shared" si="30"/>
        <v>117.35914122031259</v>
      </c>
      <c r="M215" s="250">
        <f t="shared" si="31"/>
        <v>107.43442035256014</v>
      </c>
      <c r="N215" s="250">
        <f t="shared" si="32"/>
        <v>94.821578757659495</v>
      </c>
      <c r="O215" s="248">
        <f t="shared" si="33"/>
        <v>9.2379340207573213E-2</v>
      </c>
      <c r="P215" s="247">
        <f t="shared" si="34"/>
        <v>0.23768389809511015</v>
      </c>
      <c r="Q215" s="251">
        <f t="shared" si="41"/>
        <v>1.1735914122031255</v>
      </c>
      <c r="R215" s="251">
        <f t="shared" si="42"/>
        <v>1.2721508426497581</v>
      </c>
      <c r="S215" s="251">
        <f t="shared" si="43"/>
        <v>-7.7474641483036399E-2</v>
      </c>
      <c r="T215" s="252">
        <f>C215*'1. Share_Price_Analysis'!$E$11+T214*(1-'1. Share_Price_Analysis'!$E$11)</f>
        <v>200.47327253526322</v>
      </c>
      <c r="U215" s="253">
        <f t="shared" si="44"/>
        <v>210.9792716107489</v>
      </c>
    </row>
    <row r="216" spans="2:21" x14ac:dyDescent="0.2">
      <c r="B216" s="245">
        <v>45210</v>
      </c>
      <c r="C216" s="246">
        <v>214.76</v>
      </c>
      <c r="D216" s="246">
        <v>436.32</v>
      </c>
      <c r="E216" s="246">
        <v>39.555</v>
      </c>
      <c r="F216" s="248">
        <f t="shared" si="35"/>
        <v>1.7819905213270149E-2</v>
      </c>
      <c r="G216" s="248">
        <f t="shared" si="36"/>
        <v>4.0962857274358111E-3</v>
      </c>
      <c r="H216" s="248">
        <f t="shared" si="37"/>
        <v>2.4075012671058715E-3</v>
      </c>
      <c r="I216" s="249">
        <f t="shared" si="38"/>
        <v>0.19450469992769293</v>
      </c>
      <c r="J216" s="249">
        <f t="shared" si="39"/>
        <v>7.8745024352855131E-2</v>
      </c>
      <c r="K216" s="249">
        <f t="shared" si="40"/>
        <v>-4.9501381713324299E-2</v>
      </c>
      <c r="L216" s="250">
        <f t="shared" si="30"/>
        <v>119.45046999276934</v>
      </c>
      <c r="M216" s="250">
        <f t="shared" si="31"/>
        <v>107.87450243528566</v>
      </c>
      <c r="N216" s="250">
        <f t="shared" si="32"/>
        <v>95.049861828667545</v>
      </c>
      <c r="O216" s="248">
        <f t="shared" si="33"/>
        <v>0.10730958007827907</v>
      </c>
      <c r="P216" s="247">
        <f t="shared" si="34"/>
        <v>0.25671376785465627</v>
      </c>
      <c r="Q216" s="251">
        <f t="shared" si="41"/>
        <v>1.1945046999276929</v>
      </c>
      <c r="R216" s="251">
        <f t="shared" si="42"/>
        <v>1.2721508426497581</v>
      </c>
      <c r="S216" s="251">
        <f t="shared" si="43"/>
        <v>-6.103532703742609E-2</v>
      </c>
      <c r="T216" s="252">
        <f>C216*'1. Share_Price_Analysis'!$E$11+T215*(1-'1. Share_Price_Analysis'!$E$11)</f>
        <v>200.61542902744966</v>
      </c>
      <c r="U216" s="253">
        <f t="shared" si="44"/>
        <v>211.12753546915093</v>
      </c>
    </row>
    <row r="217" spans="2:21" x14ac:dyDescent="0.2">
      <c r="B217" s="245">
        <v>45211</v>
      </c>
      <c r="C217" s="246">
        <v>210.63</v>
      </c>
      <c r="D217" s="246">
        <v>433.66</v>
      </c>
      <c r="E217" s="246">
        <v>38.965000000000003</v>
      </c>
      <c r="F217" s="248">
        <f t="shared" si="35"/>
        <v>-1.9230769230769162E-2</v>
      </c>
      <c r="G217" s="248">
        <f t="shared" si="36"/>
        <v>-6.0964429776310114E-3</v>
      </c>
      <c r="H217" s="248">
        <f t="shared" si="37"/>
        <v>-1.4915939830615454E-2</v>
      </c>
      <c r="I217" s="249">
        <f t="shared" si="38"/>
        <v>0.17153345569831435</v>
      </c>
      <c r="J217" s="249">
        <f t="shared" si="39"/>
        <v>7.2168516824484774E-2</v>
      </c>
      <c r="K217" s="249">
        <f t="shared" si="40"/>
        <v>-6.3678961912771448E-2</v>
      </c>
      <c r="L217" s="250">
        <f t="shared" si="30"/>
        <v>117.15334556983149</v>
      </c>
      <c r="M217" s="250">
        <f t="shared" si="31"/>
        <v>107.21685168244863</v>
      </c>
      <c r="N217" s="250">
        <f t="shared" si="32"/>
        <v>93.632103808722817</v>
      </c>
      <c r="O217" s="248">
        <f t="shared" si="33"/>
        <v>9.2676605696393244E-2</v>
      </c>
      <c r="P217" s="247">
        <f t="shared" si="34"/>
        <v>0.25120915588054227</v>
      </c>
      <c r="Q217" s="251">
        <f t="shared" si="41"/>
        <v>1.1715334556983144</v>
      </c>
      <c r="R217" s="251">
        <f t="shared" si="42"/>
        <v>1.2721508426497581</v>
      </c>
      <c r="S217" s="251">
        <f t="shared" si="43"/>
        <v>-7.9092339979013992E-2</v>
      </c>
      <c r="T217" s="252">
        <f>C217*'1. Share_Price_Analysis'!$E$11+T216*(1-'1. Share_Price_Analysis'!$E$11)</f>
        <v>200.71507649981336</v>
      </c>
      <c r="U217" s="253">
        <f t="shared" si="44"/>
        <v>211.10802427428226</v>
      </c>
    </row>
    <row r="218" spans="2:21" x14ac:dyDescent="0.2">
      <c r="B218" s="245">
        <v>45212</v>
      </c>
      <c r="C218" s="246">
        <v>209.29</v>
      </c>
      <c r="D218" s="246">
        <v>431.5</v>
      </c>
      <c r="E218" s="246">
        <v>38.82</v>
      </c>
      <c r="F218" s="248">
        <f t="shared" si="35"/>
        <v>-6.36186678061057E-3</v>
      </c>
      <c r="G218" s="248">
        <f t="shared" si="36"/>
        <v>-4.9808605820228502E-3</v>
      </c>
      <c r="H218" s="248">
        <f t="shared" si="37"/>
        <v>-3.7212883356859683E-3</v>
      </c>
      <c r="I218" s="249">
        <f t="shared" si="38"/>
        <v>0.1640803159241333</v>
      </c>
      <c r="J218" s="249">
        <f t="shared" si="39"/>
        <v>6.6828194921747741E-2</v>
      </c>
      <c r="K218" s="249">
        <f t="shared" si="40"/>
        <v>-6.716328247026282E-2</v>
      </c>
      <c r="L218" s="250">
        <f t="shared" si="30"/>
        <v>116.40803159241338</v>
      </c>
      <c r="M218" s="250">
        <f t="shared" si="31"/>
        <v>106.68281949217493</v>
      </c>
      <c r="N218" s="250">
        <f t="shared" si="32"/>
        <v>93.283671752973689</v>
      </c>
      <c r="O218" s="248">
        <f t="shared" si="33"/>
        <v>9.1160058822328915E-2</v>
      </c>
      <c r="P218" s="247">
        <f t="shared" si="34"/>
        <v>0.24789289920615132</v>
      </c>
      <c r="Q218" s="251">
        <f t="shared" si="41"/>
        <v>1.1640803159241333</v>
      </c>
      <c r="R218" s="251">
        <f t="shared" si="42"/>
        <v>1.2721508426497581</v>
      </c>
      <c r="S218" s="251">
        <f t="shared" si="43"/>
        <v>-8.4951031829311296E-2</v>
      </c>
      <c r="T218" s="252">
        <f>C218*'1. Share_Price_Analysis'!$E$11+T217*(1-'1. Share_Price_Analysis'!$E$11)</f>
        <v>200.80039912170577</v>
      </c>
      <c r="U218" s="253">
        <f t="shared" si="44"/>
        <v>211.03672920470257</v>
      </c>
    </row>
    <row r="219" spans="2:21" x14ac:dyDescent="0.2">
      <c r="B219" s="245">
        <v>45215</v>
      </c>
      <c r="C219" s="246">
        <v>213.04</v>
      </c>
      <c r="D219" s="246">
        <v>436.04</v>
      </c>
      <c r="E219" s="246">
        <v>39.200000000000003</v>
      </c>
      <c r="F219" s="248">
        <f t="shared" si="35"/>
        <v>1.7917721821396171E-2</v>
      </c>
      <c r="G219" s="248">
        <f t="shared" si="36"/>
        <v>1.0521436848204058E-2</v>
      </c>
      <c r="H219" s="248">
        <f t="shared" si="37"/>
        <v>9.7887686759403625E-3</v>
      </c>
      <c r="I219" s="249">
        <f t="shared" si="38"/>
        <v>0.184937983202625</v>
      </c>
      <c r="J219" s="249">
        <f t="shared" si="39"/>
        <v>7.8052760402500532E-2</v>
      </c>
      <c r="K219" s="249">
        <f t="shared" si="40"/>
        <v>-5.8031959629940677E-2</v>
      </c>
      <c r="L219" s="250">
        <f t="shared" si="30"/>
        <v>118.49379832026253</v>
      </c>
      <c r="M219" s="250">
        <f t="shared" si="31"/>
        <v>107.80527604025021</v>
      </c>
      <c r="N219" s="250">
        <f t="shared" si="32"/>
        <v>94.19680403700589</v>
      </c>
      <c r="O219" s="248">
        <f t="shared" si="33"/>
        <v>9.9146560099913739E-2</v>
      </c>
      <c r="P219" s="247">
        <f t="shared" si="34"/>
        <v>0.25793862681064317</v>
      </c>
      <c r="Q219" s="251">
        <f t="shared" si="41"/>
        <v>1.184937983202625</v>
      </c>
      <c r="R219" s="251">
        <f t="shared" si="42"/>
        <v>1.2721508426497581</v>
      </c>
      <c r="S219" s="251">
        <f t="shared" si="43"/>
        <v>-6.8555438964673199E-2</v>
      </c>
      <c r="T219" s="252">
        <f>C219*'1. Share_Price_Analysis'!$E$11+T218*(1-'1. Share_Price_Analysis'!$E$11)</f>
        <v>200.92218619512164</v>
      </c>
      <c r="U219" s="253">
        <f t="shared" si="44"/>
        <v>211.11528884373382</v>
      </c>
    </row>
    <row r="220" spans="2:21" x14ac:dyDescent="0.2">
      <c r="B220" s="245">
        <v>45216</v>
      </c>
      <c r="C220" s="246">
        <v>214.79</v>
      </c>
      <c r="D220" s="246">
        <v>436.02</v>
      </c>
      <c r="E220" s="246">
        <v>39.585000000000001</v>
      </c>
      <c r="F220" s="248">
        <f t="shared" si="35"/>
        <v>8.2144198272624536E-3</v>
      </c>
      <c r="G220" s="248">
        <f t="shared" si="36"/>
        <v>-4.586735161915545E-5</v>
      </c>
      <c r="H220" s="248">
        <f t="shared" si="37"/>
        <v>9.8214285714284255E-3</v>
      </c>
      <c r="I220" s="249">
        <f t="shared" si="38"/>
        <v>0.19467156126592111</v>
      </c>
      <c r="J220" s="249">
        <f t="shared" si="39"/>
        <v>7.8003312977475092E-2</v>
      </c>
      <c r="K220" s="249">
        <f t="shared" si="40"/>
        <v>-4.8780487804877759E-2</v>
      </c>
      <c r="L220" s="250">
        <f t="shared" si="30"/>
        <v>119.46715612659213</v>
      </c>
      <c r="M220" s="250">
        <f t="shared" si="31"/>
        <v>107.80033129774766</v>
      </c>
      <c r="N220" s="250">
        <f t="shared" si="32"/>
        <v>95.121951219512198</v>
      </c>
      <c r="O220" s="248">
        <f t="shared" si="33"/>
        <v>0.10822624279901794</v>
      </c>
      <c r="P220" s="247">
        <f t="shared" si="34"/>
        <v>0.255936769535968</v>
      </c>
      <c r="Q220" s="251">
        <f t="shared" si="41"/>
        <v>1.1946715612659211</v>
      </c>
      <c r="R220" s="251">
        <f t="shared" si="42"/>
        <v>1.2721508426497581</v>
      </c>
      <c r="S220" s="251">
        <f t="shared" si="43"/>
        <v>-6.090416229450879E-2</v>
      </c>
      <c r="T220" s="252">
        <f>C220*'1. Share_Price_Analysis'!$E$11+T219*(1-'1. Share_Price_Analysis'!$E$11)</f>
        <v>201.0601743921851</v>
      </c>
      <c r="U220" s="253">
        <f t="shared" si="44"/>
        <v>211.25939516358739</v>
      </c>
    </row>
    <row r="221" spans="2:21" x14ac:dyDescent="0.2">
      <c r="B221" s="245">
        <v>45217</v>
      </c>
      <c r="C221" s="246">
        <v>203.74</v>
      </c>
      <c r="D221" s="246">
        <v>430.21</v>
      </c>
      <c r="E221" s="246">
        <v>38.56</v>
      </c>
      <c r="F221" s="248">
        <f t="shared" si="35"/>
        <v>-5.1445598025978811E-2</v>
      </c>
      <c r="G221" s="248">
        <f t="shared" si="36"/>
        <v>-1.332507683133799E-2</v>
      </c>
      <c r="H221" s="248">
        <f t="shared" si="37"/>
        <v>-2.5893646583301733E-2</v>
      </c>
      <c r="I221" s="249">
        <f t="shared" si="38"/>
        <v>0.133210968351966</v>
      </c>
      <c r="J221" s="249">
        <f t="shared" si="39"/>
        <v>6.3638836007613442E-2</v>
      </c>
      <c r="K221" s="249">
        <f t="shared" si="40"/>
        <v>-7.3411029676798911E-2</v>
      </c>
      <c r="L221" s="250">
        <f t="shared" si="30"/>
        <v>113.32109683519663</v>
      </c>
      <c r="M221" s="250">
        <f t="shared" si="31"/>
        <v>106.36388360076148</v>
      </c>
      <c r="N221" s="250">
        <f t="shared" si="32"/>
        <v>92.65889703232007</v>
      </c>
      <c r="O221" s="248">
        <f t="shared" si="33"/>
        <v>6.5409545034565308E-2</v>
      </c>
      <c r="P221" s="247">
        <f t="shared" si="34"/>
        <v>0.2229920759327555</v>
      </c>
      <c r="Q221" s="251">
        <f t="shared" si="41"/>
        <v>1.133210968351966</v>
      </c>
      <c r="R221" s="251">
        <f t="shared" si="42"/>
        <v>1.2721508426497581</v>
      </c>
      <c r="S221" s="251">
        <f t="shared" si="43"/>
        <v>-0.1092165092689753</v>
      </c>
      <c r="T221" s="252">
        <f>C221*'1. Share_Price_Analysis'!$E$11+T220*(1-'1. Share_Price_Analysis'!$E$11)</f>
        <v>201.08683932360617</v>
      </c>
      <c r="U221" s="253">
        <f t="shared" si="44"/>
        <v>210.9645169218781</v>
      </c>
    </row>
    <row r="222" spans="2:21" x14ac:dyDescent="0.2">
      <c r="B222" s="245">
        <v>45218</v>
      </c>
      <c r="C222" s="246">
        <v>202.69</v>
      </c>
      <c r="D222" s="246">
        <v>426.43</v>
      </c>
      <c r="E222" s="246">
        <v>38.11</v>
      </c>
      <c r="F222" s="248">
        <f t="shared" si="35"/>
        <v>-5.1536271718858329E-3</v>
      </c>
      <c r="G222" s="248">
        <f t="shared" si="36"/>
        <v>-8.7864066386182937E-3</v>
      </c>
      <c r="H222" s="248">
        <f t="shared" si="37"/>
        <v>-1.167012448132787E-2</v>
      </c>
      <c r="I222" s="249">
        <f t="shared" si="38"/>
        <v>0.12737082151398815</v>
      </c>
      <c r="J222" s="249">
        <f t="shared" si="39"/>
        <v>5.4293272677824023E-2</v>
      </c>
      <c r="K222" s="249">
        <f t="shared" si="40"/>
        <v>-8.422443830349613E-2</v>
      </c>
      <c r="L222" s="250">
        <f t="shared" si="30"/>
        <v>112.73708215139887</v>
      </c>
      <c r="M222" s="250">
        <f t="shared" si="31"/>
        <v>105.42932726778254</v>
      </c>
      <c r="N222" s="250">
        <f t="shared" si="32"/>
        <v>91.577556169650364</v>
      </c>
      <c r="O222" s="248">
        <f t="shared" si="33"/>
        <v>6.9314251290395479E-2</v>
      </c>
      <c r="P222" s="247">
        <f t="shared" si="34"/>
        <v>0.23105580522971936</v>
      </c>
      <c r="Q222" s="251">
        <f t="shared" si="41"/>
        <v>1.1273708215139882</v>
      </c>
      <c r="R222" s="251">
        <f t="shared" si="42"/>
        <v>1.2721508426497581</v>
      </c>
      <c r="S222" s="251">
        <f t="shared" si="43"/>
        <v>-0.11380727527107415</v>
      </c>
      <c r="T222" s="252">
        <f>C222*'1. Share_Price_Analysis'!$E$11+T221*(1-'1. Share_Price_Analysis'!$E$11)</f>
        <v>201.10279117113248</v>
      </c>
      <c r="U222" s="253">
        <f t="shared" si="44"/>
        <v>210.6400260621966</v>
      </c>
    </row>
    <row r="223" spans="2:21" x14ac:dyDescent="0.2">
      <c r="B223" s="245">
        <v>45219</v>
      </c>
      <c r="C223" s="246">
        <v>201.55</v>
      </c>
      <c r="D223" s="246">
        <v>421.19</v>
      </c>
      <c r="E223" s="246">
        <v>37.65</v>
      </c>
      <c r="F223" s="248">
        <f t="shared" si="35"/>
        <v>-5.6243524594207228E-3</v>
      </c>
      <c r="G223" s="248">
        <f t="shared" si="36"/>
        <v>-1.2288066036629686E-2</v>
      </c>
      <c r="H223" s="248">
        <f t="shared" si="37"/>
        <v>-1.207032274993447E-2</v>
      </c>
      <c r="I223" s="249">
        <f t="shared" si="38"/>
        <v>0.12103009066132686</v>
      </c>
      <c r="J223" s="249">
        <f t="shared" si="39"/>
        <v>4.1338047321184401E-2</v>
      </c>
      <c r="K223" s="249">
        <f t="shared" si="40"/>
        <v>-9.5278144899675454E-2</v>
      </c>
      <c r="L223" s="250">
        <f t="shared" si="30"/>
        <v>112.10300906613273</v>
      </c>
      <c r="M223" s="250">
        <f t="shared" si="31"/>
        <v>104.13380473211858</v>
      </c>
      <c r="N223" s="250">
        <f t="shared" si="32"/>
        <v>90.472185510032432</v>
      </c>
      <c r="O223" s="248">
        <f t="shared" si="33"/>
        <v>7.6528504403683417E-2</v>
      </c>
      <c r="P223" s="247">
        <f t="shared" si="34"/>
        <v>0.23908810684916637</v>
      </c>
      <c r="Q223" s="251">
        <f t="shared" si="41"/>
        <v>1.1210300906613269</v>
      </c>
      <c r="R223" s="251">
        <f t="shared" si="42"/>
        <v>1.2721508426497581</v>
      </c>
      <c r="S223" s="251">
        <f t="shared" si="43"/>
        <v>-0.11879153550192401</v>
      </c>
      <c r="T223" s="252">
        <f>C223*'1. Share_Price_Analysis'!$E$11+T222*(1-'1. Share_Price_Analysis'!$E$11)</f>
        <v>201.10724101022569</v>
      </c>
      <c r="U223" s="253">
        <f t="shared" si="44"/>
        <v>210.2835544519144</v>
      </c>
    </row>
    <row r="224" spans="2:21" x14ac:dyDescent="0.2">
      <c r="B224" s="245">
        <v>45222</v>
      </c>
      <c r="C224" s="246">
        <v>202.5</v>
      </c>
      <c r="D224" s="246">
        <v>420.46</v>
      </c>
      <c r="E224" s="246">
        <v>37.229999999999997</v>
      </c>
      <c r="F224" s="248">
        <f t="shared" si="35"/>
        <v>4.7134706028280071E-3</v>
      </c>
      <c r="G224" s="248">
        <f t="shared" si="36"/>
        <v>-1.7331845485411002E-3</v>
      </c>
      <c r="H224" s="248">
        <f t="shared" si="37"/>
        <v>-1.1155378486055856E-2</v>
      </c>
      <c r="I224" s="249">
        <f t="shared" si="38"/>
        <v>0.1263140330385446</v>
      </c>
      <c r="J224" s="249">
        <f t="shared" si="39"/>
        <v>3.95332163077593E-2</v>
      </c>
      <c r="K224" s="249">
        <f t="shared" si="40"/>
        <v>-0.10537065961792613</v>
      </c>
      <c r="L224" s="250">
        <f t="shared" si="30"/>
        <v>112.63140330385451</v>
      </c>
      <c r="M224" s="250">
        <f t="shared" si="31"/>
        <v>103.95332163077606</v>
      </c>
      <c r="N224" s="250">
        <f t="shared" si="32"/>
        <v>89.462934038207365</v>
      </c>
      <c r="O224" s="248">
        <f t="shared" si="33"/>
        <v>8.3480561630359107E-2</v>
      </c>
      <c r="P224" s="247">
        <f t="shared" si="34"/>
        <v>0.25897283064461529</v>
      </c>
      <c r="Q224" s="251">
        <f t="shared" si="41"/>
        <v>1.1263140330385446</v>
      </c>
      <c r="R224" s="251">
        <f t="shared" si="42"/>
        <v>1.2721508426497581</v>
      </c>
      <c r="S224" s="251">
        <f t="shared" si="43"/>
        <v>-0.11463798530954905</v>
      </c>
      <c r="T224" s="252">
        <f>C224*'1. Share_Price_Analysis'!$E$11+T223*(1-'1. Share_Price_Analysis'!$E$11)</f>
        <v>201.12109930863141</v>
      </c>
      <c r="U224" s="253">
        <f t="shared" si="44"/>
        <v>209.97831702242758</v>
      </c>
    </row>
    <row r="225" spans="2:21" x14ac:dyDescent="0.2">
      <c r="B225" s="245">
        <v>45223</v>
      </c>
      <c r="C225" s="246">
        <v>205.15</v>
      </c>
      <c r="D225" s="246">
        <v>423.63</v>
      </c>
      <c r="E225" s="246">
        <v>37.67</v>
      </c>
      <c r="F225" s="248">
        <f t="shared" si="35"/>
        <v>1.3086419753086442E-2</v>
      </c>
      <c r="G225" s="248">
        <f t="shared" si="36"/>
        <v>7.5393616515244677E-3</v>
      </c>
      <c r="H225" s="248">
        <f t="shared" si="37"/>
        <v>1.1818426000537396E-2</v>
      </c>
      <c r="I225" s="249">
        <f t="shared" si="38"/>
        <v>0.14105345124867874</v>
      </c>
      <c r="J225" s="249">
        <f t="shared" si="39"/>
        <v>4.7370633174275811E-2</v>
      </c>
      <c r="K225" s="249">
        <f t="shared" si="40"/>
        <v>-9.479754896071102E-2</v>
      </c>
      <c r="L225" s="250">
        <f t="shared" si="30"/>
        <v>114.10534512486792</v>
      </c>
      <c r="M225" s="250">
        <f t="shared" si="31"/>
        <v>104.73706331742774</v>
      </c>
      <c r="N225" s="250">
        <f t="shared" si="32"/>
        <v>90.520245103928872</v>
      </c>
      <c r="O225" s="248">
        <f t="shared" si="33"/>
        <v>8.9445717788055212E-2</v>
      </c>
      <c r="P225" s="247">
        <f t="shared" si="34"/>
        <v>0.26055055412035455</v>
      </c>
      <c r="Q225" s="251">
        <f t="shared" si="41"/>
        <v>1.1410534512486787</v>
      </c>
      <c r="R225" s="251">
        <f t="shared" si="42"/>
        <v>1.2721508426497581</v>
      </c>
      <c r="S225" s="251">
        <f t="shared" si="43"/>
        <v>-0.10305176635187152</v>
      </c>
      <c r="T225" s="252">
        <f>C225*'1. Share_Price_Analysis'!$E$11+T224*(1-'1. Share_Price_Analysis'!$E$11)</f>
        <v>201.16118787272464</v>
      </c>
      <c r="U225" s="253">
        <f t="shared" si="44"/>
        <v>209.78897125684216</v>
      </c>
    </row>
    <row r="226" spans="2:21" x14ac:dyDescent="0.2">
      <c r="B226" s="245">
        <v>45224</v>
      </c>
      <c r="C226" s="246">
        <v>203.37</v>
      </c>
      <c r="D226" s="246">
        <v>417.55</v>
      </c>
      <c r="E226" s="246">
        <v>37.229999999999997</v>
      </c>
      <c r="F226" s="248">
        <f t="shared" si="35"/>
        <v>-8.6765781135754727E-3</v>
      </c>
      <c r="G226" s="248">
        <f t="shared" si="36"/>
        <v>-1.435214692066189E-2</v>
      </c>
      <c r="H226" s="248">
        <f t="shared" si="37"/>
        <v>-1.1680382267056144E-2</v>
      </c>
      <c r="I226" s="249">
        <f t="shared" si="38"/>
        <v>0.13115301184715467</v>
      </c>
      <c r="J226" s="249">
        <f t="shared" si="39"/>
        <v>3.2338615966571949E-2</v>
      </c>
      <c r="K226" s="249">
        <f t="shared" si="40"/>
        <v>-0.10537065961792613</v>
      </c>
      <c r="L226" s="250">
        <f t="shared" si="30"/>
        <v>113.11530118471551</v>
      </c>
      <c r="M226" s="250">
        <f t="shared" si="31"/>
        <v>103.23386159665735</v>
      </c>
      <c r="N226" s="250">
        <f t="shared" si="32"/>
        <v>89.462934038207365</v>
      </c>
      <c r="O226" s="248">
        <f t="shared" si="33"/>
        <v>9.5718976653860199E-2</v>
      </c>
      <c r="P226" s="247">
        <f t="shared" si="34"/>
        <v>0.26438175095405136</v>
      </c>
      <c r="Q226" s="251">
        <f t="shared" si="41"/>
        <v>1.1311530118471547</v>
      </c>
      <c r="R226" s="251">
        <f t="shared" si="42"/>
        <v>1.2721508426497581</v>
      </c>
      <c r="S226" s="251">
        <f t="shared" si="43"/>
        <v>-0.11083420776495312</v>
      </c>
      <c r="T226" s="252">
        <f>C226*'1. Share_Price_Analysis'!$E$11+T225*(1-'1. Share_Price_Analysis'!$E$11)</f>
        <v>201.1831661028468</v>
      </c>
      <c r="U226" s="253">
        <f t="shared" si="44"/>
        <v>209.53724689382875</v>
      </c>
    </row>
    <row r="227" spans="2:21" x14ac:dyDescent="0.2">
      <c r="B227" s="245">
        <v>45225</v>
      </c>
      <c r="C227" s="246">
        <v>193.97</v>
      </c>
      <c r="D227" s="246">
        <v>412.55</v>
      </c>
      <c r="E227" s="246">
        <v>37.49</v>
      </c>
      <c r="F227" s="248">
        <f t="shared" si="35"/>
        <v>-4.6221173231056678E-2</v>
      </c>
      <c r="G227" s="248">
        <f t="shared" si="36"/>
        <v>-1.1974613818704349E-2</v>
      </c>
      <c r="H227" s="248">
        <f t="shared" si="37"/>
        <v>6.9836153639539766E-3</v>
      </c>
      <c r="I227" s="249">
        <f t="shared" si="38"/>
        <v>7.8869792535735783E-2</v>
      </c>
      <c r="J227" s="249">
        <f t="shared" si="39"/>
        <v>1.9976759710236491E-2</v>
      </c>
      <c r="K227" s="249">
        <f t="shared" si="40"/>
        <v>-9.9122912411389819E-2</v>
      </c>
      <c r="L227" s="250">
        <f t="shared" si="30"/>
        <v>107.88697925357363</v>
      </c>
      <c r="M227" s="250">
        <f t="shared" si="31"/>
        <v>101.99767597102381</v>
      </c>
      <c r="N227" s="250">
        <f t="shared" si="32"/>
        <v>90.087708758860984</v>
      </c>
      <c r="O227" s="248">
        <f t="shared" si="33"/>
        <v>5.773958304915694E-2</v>
      </c>
      <c r="P227" s="247">
        <f t="shared" si="34"/>
        <v>0.19757712500332425</v>
      </c>
      <c r="Q227" s="251">
        <f t="shared" si="41"/>
        <v>1.0788697925357358</v>
      </c>
      <c r="R227" s="251">
        <f t="shared" si="42"/>
        <v>1.2721508426497581</v>
      </c>
      <c r="S227" s="251">
        <f t="shared" si="43"/>
        <v>-0.151932493878979</v>
      </c>
      <c r="T227" s="252">
        <f>C227*'1. Share_Price_Analysis'!$E$11+T226*(1-'1. Share_Price_Analysis'!$E$11)</f>
        <v>201.11139330580355</v>
      </c>
      <c r="U227" s="253">
        <f t="shared" si="44"/>
        <v>208.92676662348251</v>
      </c>
    </row>
    <row r="228" spans="2:21" x14ac:dyDescent="0.2">
      <c r="B228" s="245">
        <v>45226</v>
      </c>
      <c r="C228" s="246">
        <v>193.69</v>
      </c>
      <c r="D228" s="246">
        <v>410.68</v>
      </c>
      <c r="E228" s="246">
        <v>37.475000000000001</v>
      </c>
      <c r="F228" s="248">
        <f t="shared" si="35"/>
        <v>-1.443522194153779E-3</v>
      </c>
      <c r="G228" s="248">
        <f t="shared" si="36"/>
        <v>-4.5327839049812413E-3</v>
      </c>
      <c r="H228" s="248">
        <f t="shared" si="37"/>
        <v>-4.0010669511869601E-4</v>
      </c>
      <c r="I228" s="249">
        <f t="shared" si="38"/>
        <v>7.7312420045608343E-2</v>
      </c>
      <c r="J228" s="249">
        <f t="shared" si="39"/>
        <v>1.535342547036711E-2</v>
      </c>
      <c r="K228" s="249">
        <f t="shared" si="40"/>
        <v>-9.9483359365613033E-2</v>
      </c>
      <c r="L228" s="250">
        <f t="shared" si="30"/>
        <v>107.73124200456088</v>
      </c>
      <c r="M228" s="250">
        <f t="shared" si="31"/>
        <v>101.53534254703686</v>
      </c>
      <c r="N228" s="250">
        <f t="shared" si="32"/>
        <v>90.051664063438665</v>
      </c>
      <c r="O228" s="248">
        <f t="shared" si="33"/>
        <v>6.1022096366630585E-2</v>
      </c>
      <c r="P228" s="247">
        <f t="shared" si="34"/>
        <v>0.19632705430815145</v>
      </c>
      <c r="Q228" s="251">
        <f t="shared" si="41"/>
        <v>1.0773124200456083</v>
      </c>
      <c r="R228" s="251">
        <f t="shared" si="42"/>
        <v>1.2721508426497581</v>
      </c>
      <c r="S228" s="251">
        <f t="shared" si="43"/>
        <v>-0.15315669814620536</v>
      </c>
      <c r="T228" s="252">
        <f>C228*'1. Share_Price_Analysis'!$E$11+T227*(1-'1. Share_Price_Analysis'!$E$11)</f>
        <v>201.03754859629308</v>
      </c>
      <c r="U228" s="253">
        <f t="shared" si="44"/>
        <v>208.32924636373809</v>
      </c>
    </row>
    <row r="229" spans="2:21" x14ac:dyDescent="0.2">
      <c r="B229" s="245">
        <v>45229</v>
      </c>
      <c r="C229" s="246">
        <v>195.99</v>
      </c>
      <c r="D229" s="246">
        <v>415.59</v>
      </c>
      <c r="E229" s="246">
        <v>37.86</v>
      </c>
      <c r="F229" s="248">
        <f t="shared" si="35"/>
        <v>1.1874645051370702E-2</v>
      </c>
      <c r="G229" s="248">
        <f t="shared" si="36"/>
        <v>1.195578065647207E-2</v>
      </c>
      <c r="H229" s="248">
        <f t="shared" si="37"/>
        <v>1.0273515677118095E-2</v>
      </c>
      <c r="I229" s="249">
        <f t="shared" si="38"/>
        <v>9.0105122643083124E-2</v>
      </c>
      <c r="J229" s="249">
        <f t="shared" si="39"/>
        <v>2.7492768314088423E-2</v>
      </c>
      <c r="K229" s="249">
        <f t="shared" si="40"/>
        <v>-9.0231887540549893E-2</v>
      </c>
      <c r="L229" s="250">
        <f t="shared" si="30"/>
        <v>109.01051226430837</v>
      </c>
      <c r="M229" s="250">
        <f t="shared" si="31"/>
        <v>102.74927683140899</v>
      </c>
      <c r="N229" s="250">
        <f t="shared" si="32"/>
        <v>90.976811245944972</v>
      </c>
      <c r="O229" s="248">
        <f t="shared" si="33"/>
        <v>6.0937026770250702E-2</v>
      </c>
      <c r="P229" s="247">
        <f t="shared" si="34"/>
        <v>0.19822305015298158</v>
      </c>
      <c r="Q229" s="251">
        <f t="shared" si="41"/>
        <v>1.0901051226430831</v>
      </c>
      <c r="R229" s="251">
        <f t="shared" si="42"/>
        <v>1.2721508426497581</v>
      </c>
      <c r="S229" s="251">
        <f t="shared" si="43"/>
        <v>-0.14310073452256078</v>
      </c>
      <c r="T229" s="252">
        <f>C229*'1. Share_Price_Analysis'!$E$11+T228*(1-'1. Share_Price_Analysis'!$E$11)</f>
        <v>200.98732423215088</v>
      </c>
      <c r="U229" s="253">
        <f t="shared" si="44"/>
        <v>207.84535434947387</v>
      </c>
    </row>
    <row r="230" spans="2:21" x14ac:dyDescent="0.2">
      <c r="B230" s="245">
        <v>45230</v>
      </c>
      <c r="C230" s="246">
        <v>196.49</v>
      </c>
      <c r="D230" s="246">
        <v>418.2</v>
      </c>
      <c r="E230" s="246">
        <v>38.03</v>
      </c>
      <c r="F230" s="248">
        <f t="shared" si="35"/>
        <v>2.551150568906646E-3</v>
      </c>
      <c r="G230" s="248">
        <f t="shared" si="36"/>
        <v>6.2802281094347379E-3</v>
      </c>
      <c r="H230" s="248">
        <f t="shared" si="37"/>
        <v>4.4902271526676696E-3</v>
      </c>
      <c r="I230" s="249">
        <f t="shared" si="38"/>
        <v>9.2886144946882077E-2</v>
      </c>
      <c r="J230" s="249">
        <f t="shared" si="39"/>
        <v>3.3945657279895514E-2</v>
      </c>
      <c r="K230" s="249">
        <f t="shared" si="40"/>
        <v>-8.6146822059353312E-2</v>
      </c>
      <c r="L230" s="250">
        <f t="shared" si="30"/>
        <v>109.28861449468825</v>
      </c>
      <c r="M230" s="250">
        <f t="shared" si="31"/>
        <v>103.3945657279897</v>
      </c>
      <c r="N230" s="250">
        <f t="shared" si="32"/>
        <v>91.385317794064633</v>
      </c>
      <c r="O230" s="248">
        <f t="shared" si="33"/>
        <v>5.7005401833252201E-2</v>
      </c>
      <c r="P230" s="247">
        <f t="shared" si="34"/>
        <v>0.19590999005954468</v>
      </c>
      <c r="Q230" s="251">
        <f t="shared" si="41"/>
        <v>1.0928861449468821</v>
      </c>
      <c r="R230" s="251">
        <f t="shared" si="42"/>
        <v>1.2721508426497581</v>
      </c>
      <c r="S230" s="251">
        <f t="shared" si="43"/>
        <v>-0.14091465547394222</v>
      </c>
      <c r="T230" s="252">
        <f>C230*'1. Share_Price_Analysis'!$E$11+T229*(1-'1. Share_Price_Analysis'!$E$11)</f>
        <v>200.9425747373036</v>
      </c>
      <c r="U230" s="253">
        <f t="shared" si="44"/>
        <v>207.40004633576902</v>
      </c>
    </row>
    <row r="231" spans="2:21" x14ac:dyDescent="0.2">
      <c r="B231" s="245">
        <v>45231</v>
      </c>
      <c r="C231" s="246">
        <v>203.8</v>
      </c>
      <c r="D231" s="246">
        <v>422.66</v>
      </c>
      <c r="E231" s="246">
        <v>38.049999999999997</v>
      </c>
      <c r="F231" s="248">
        <f t="shared" si="35"/>
        <v>3.7202911089622814E-2</v>
      </c>
      <c r="G231" s="248">
        <f t="shared" si="36"/>
        <v>1.0664753706360663E-2</v>
      </c>
      <c r="H231" s="248">
        <f t="shared" si="37"/>
        <v>5.2590060478552303E-4</v>
      </c>
      <c r="I231" s="249">
        <f t="shared" si="38"/>
        <v>0.13354469102842148</v>
      </c>
      <c r="J231" s="249">
        <f t="shared" si="39"/>
        <v>4.4972433060546768E-2</v>
      </c>
      <c r="K231" s="249">
        <f t="shared" si="40"/>
        <v>-8.56662261203891E-2</v>
      </c>
      <c r="L231" s="250">
        <f t="shared" si="30"/>
        <v>113.35446910284222</v>
      </c>
      <c r="M231" s="250">
        <f t="shared" si="31"/>
        <v>104.49724330605483</v>
      </c>
      <c r="N231" s="250">
        <f t="shared" si="32"/>
        <v>91.433377387961059</v>
      </c>
      <c r="O231" s="248">
        <f t="shared" si="33"/>
        <v>8.4760377561790445E-2</v>
      </c>
      <c r="P231" s="247">
        <f t="shared" si="34"/>
        <v>0.23974933816419841</v>
      </c>
      <c r="Q231" s="251">
        <f t="shared" si="41"/>
        <v>1.1335446910284215</v>
      </c>
      <c r="R231" s="251">
        <f t="shared" si="42"/>
        <v>1.2721508426497581</v>
      </c>
      <c r="S231" s="251">
        <f t="shared" si="43"/>
        <v>-0.10895417978314148</v>
      </c>
      <c r="T231" s="252">
        <f>C231*'1. Share_Price_Analysis'!$E$11+T230*(1-'1. Share_Price_Analysis'!$E$11)</f>
        <v>200.97100682946976</v>
      </c>
      <c r="U231" s="253">
        <f t="shared" si="44"/>
        <v>207.25886804809181</v>
      </c>
    </row>
    <row r="232" spans="2:21" x14ac:dyDescent="0.2">
      <c r="B232" s="245">
        <v>45232</v>
      </c>
      <c r="C232" s="246">
        <v>206.82</v>
      </c>
      <c r="D232" s="246">
        <v>430.76</v>
      </c>
      <c r="E232" s="246">
        <v>38.784999999999997</v>
      </c>
      <c r="F232" s="248">
        <f t="shared" si="35"/>
        <v>1.4818449460255012E-2</v>
      </c>
      <c r="G232" s="248">
        <f t="shared" si="36"/>
        <v>1.9164340131547775E-2</v>
      </c>
      <c r="H232" s="248">
        <f t="shared" si="37"/>
        <v>1.9316688567674101E-2</v>
      </c>
      <c r="I232" s="249">
        <f t="shared" si="38"/>
        <v>0.1503420657433665</v>
      </c>
      <c r="J232" s="249">
        <f t="shared" si="39"/>
        <v>6.4998640195810031E-2</v>
      </c>
      <c r="K232" s="249">
        <f t="shared" si="40"/>
        <v>-6.8004325363450469E-2</v>
      </c>
      <c r="L232" s="250">
        <f t="shared" si="30"/>
        <v>115.03420657433672</v>
      </c>
      <c r="M232" s="250">
        <f t="shared" si="31"/>
        <v>106.49986401958118</v>
      </c>
      <c r="N232" s="250">
        <f t="shared" si="32"/>
        <v>93.199567463654915</v>
      </c>
      <c r="O232" s="248">
        <f t="shared" si="33"/>
        <v>8.0134774192636815E-2</v>
      </c>
      <c r="P232" s="247">
        <f t="shared" si="34"/>
        <v>0.2342783309503722</v>
      </c>
      <c r="Q232" s="251">
        <f t="shared" si="41"/>
        <v>1.1503420657433665</v>
      </c>
      <c r="R232" s="251">
        <f t="shared" si="42"/>
        <v>1.2721508426497581</v>
      </c>
      <c r="S232" s="251">
        <f t="shared" si="43"/>
        <v>-9.5750262329486469E-2</v>
      </c>
      <c r="T232" s="252">
        <f>C232*'1. Share_Price_Analysis'!$E$11+T231*(1-'1. Share_Price_Analysis'!$E$11)</f>
        <v>201.02920576648998</v>
      </c>
      <c r="U232" s="253">
        <f t="shared" si="44"/>
        <v>207.24165753640193</v>
      </c>
    </row>
    <row r="233" spans="2:21" x14ac:dyDescent="0.2">
      <c r="B233" s="245">
        <v>45233</v>
      </c>
      <c r="C233" s="246">
        <v>207.78</v>
      </c>
      <c r="D233" s="246">
        <v>434.69</v>
      </c>
      <c r="E233" s="246">
        <v>39.395000000000003</v>
      </c>
      <c r="F233" s="248">
        <f t="shared" si="35"/>
        <v>4.6417174354511648E-3</v>
      </c>
      <c r="G233" s="248">
        <f t="shared" si="36"/>
        <v>9.1234097873527098E-3</v>
      </c>
      <c r="H233" s="248">
        <f t="shared" si="37"/>
        <v>1.5727729792445633E-2</v>
      </c>
      <c r="I233" s="249">
        <f t="shared" si="38"/>
        <v>0.15568162856666046</v>
      </c>
      <c r="J233" s="249">
        <f t="shared" si="39"/>
        <v>7.4715059213289914E-2</v>
      </c>
      <c r="K233" s="249">
        <f t="shared" si="40"/>
        <v>-5.3346149225038775E-2</v>
      </c>
      <c r="L233" s="250">
        <f t="shared" si="30"/>
        <v>115.56816285666611</v>
      </c>
      <c r="M233" s="250">
        <f t="shared" si="31"/>
        <v>107.47150592132914</v>
      </c>
      <c r="N233" s="250">
        <f t="shared" si="32"/>
        <v>94.665385077496097</v>
      </c>
      <c r="O233" s="248">
        <f t="shared" si="33"/>
        <v>7.5337708036434803E-2</v>
      </c>
      <c r="P233" s="247">
        <f t="shared" si="34"/>
        <v>0.22080697989088871</v>
      </c>
      <c r="Q233" s="251">
        <f t="shared" si="41"/>
        <v>1.1556816285666605</v>
      </c>
      <c r="R233" s="251">
        <f t="shared" si="42"/>
        <v>1.2721508426497581</v>
      </c>
      <c r="S233" s="251">
        <f t="shared" si="43"/>
        <v>-9.155299055613908E-2</v>
      </c>
      <c r="T233" s="252">
        <f>C233*'1. Share_Price_Analysis'!$E$11+T232*(1-'1. Share_Price_Analysis'!$E$11)</f>
        <v>201.09637784841544</v>
      </c>
      <c r="U233" s="253">
        <f t="shared" si="44"/>
        <v>207.26276900556266</v>
      </c>
    </row>
    <row r="234" spans="2:21" x14ac:dyDescent="0.2">
      <c r="B234" s="245">
        <v>45236</v>
      </c>
      <c r="C234" s="246">
        <v>207.14</v>
      </c>
      <c r="D234" s="246">
        <v>435.69</v>
      </c>
      <c r="E234" s="246">
        <v>39.200000000000003</v>
      </c>
      <c r="F234" s="248">
        <f t="shared" si="35"/>
        <v>-3.0801809606315622E-3</v>
      </c>
      <c r="G234" s="248">
        <f t="shared" si="36"/>
        <v>2.3004900043708254E-3</v>
      </c>
      <c r="H234" s="248">
        <f t="shared" si="37"/>
        <v>-4.9498667343571556E-3</v>
      </c>
      <c r="I234" s="249">
        <f t="shared" si="38"/>
        <v>0.15212192001779767</v>
      </c>
      <c r="J234" s="249">
        <f t="shared" si="39"/>
        <v>7.7187430464556783E-2</v>
      </c>
      <c r="K234" s="249">
        <f t="shared" si="40"/>
        <v>-5.8031959629940899E-2</v>
      </c>
      <c r="L234" s="250">
        <f t="shared" si="30"/>
        <v>115.21219200177985</v>
      </c>
      <c r="M234" s="250">
        <f t="shared" si="31"/>
        <v>107.71874304645586</v>
      </c>
      <c r="N234" s="250">
        <f t="shared" si="32"/>
        <v>94.19680403700589</v>
      </c>
      <c r="O234" s="248">
        <f t="shared" si="33"/>
        <v>6.9564949825792199E-2</v>
      </c>
      <c r="P234" s="247">
        <f t="shared" si="34"/>
        <v>0.22310085973317961</v>
      </c>
      <c r="Q234" s="251">
        <f t="shared" si="41"/>
        <v>1.1521219200177977</v>
      </c>
      <c r="R234" s="251">
        <f t="shared" si="42"/>
        <v>1.2721508426497581</v>
      </c>
      <c r="S234" s="251">
        <f t="shared" si="43"/>
        <v>-9.435117173837082E-2</v>
      </c>
      <c r="T234" s="252">
        <f>C234*'1. Share_Price_Analysis'!$E$11+T233*(1-'1. Share_Price_Analysis'!$E$11)</f>
        <v>201.15651339221233</v>
      </c>
      <c r="U234" s="253">
        <f t="shared" si="44"/>
        <v>207.25795453475629</v>
      </c>
    </row>
    <row r="235" spans="2:21" x14ac:dyDescent="0.2">
      <c r="B235" s="245">
        <v>45237</v>
      </c>
      <c r="C235" s="246">
        <v>207.21</v>
      </c>
      <c r="D235" s="246">
        <v>436.93</v>
      </c>
      <c r="E235" s="246">
        <v>38.44</v>
      </c>
      <c r="F235" s="248">
        <f t="shared" si="35"/>
        <v>3.3793569566498149E-4</v>
      </c>
      <c r="G235" s="248">
        <f t="shared" si="36"/>
        <v>2.8460602722120143E-3</v>
      </c>
      <c r="H235" s="248">
        <f t="shared" si="37"/>
        <v>-1.9387755102040938E-2</v>
      </c>
      <c r="I235" s="249">
        <f t="shared" si="38"/>
        <v>0.15251126314032981</v>
      </c>
      <c r="J235" s="249">
        <f t="shared" si="39"/>
        <v>8.0253170816128039E-2</v>
      </c>
      <c r="K235" s="249">
        <f t="shared" si="40"/>
        <v>-7.6294605310584962E-2</v>
      </c>
      <c r="L235" s="250">
        <f t="shared" si="30"/>
        <v>115.25112631403304</v>
      </c>
      <c r="M235" s="250">
        <f t="shared" si="31"/>
        <v>108.02531708161295</v>
      </c>
      <c r="N235" s="250">
        <f t="shared" si="32"/>
        <v>92.370539468941487</v>
      </c>
      <c r="O235" s="248">
        <f t="shared" si="33"/>
        <v>6.6889960868720344E-2</v>
      </c>
      <c r="P235" s="247">
        <f t="shared" si="34"/>
        <v>0.24770437605579643</v>
      </c>
      <c r="Q235" s="251">
        <f t="shared" si="41"/>
        <v>1.1525112631403298</v>
      </c>
      <c r="R235" s="251">
        <f t="shared" si="42"/>
        <v>1.2721508426497581</v>
      </c>
      <c r="S235" s="251">
        <f t="shared" si="43"/>
        <v>-9.4045120671564009E-2</v>
      </c>
      <c r="T235" s="252">
        <f>C235*'1. Share_Price_Analysis'!$E$11+T234*(1-'1. Share_Price_Analysis'!$E$11)</f>
        <v>201.21674708980228</v>
      </c>
      <c r="U235" s="253">
        <f t="shared" si="44"/>
        <v>207.25607396476585</v>
      </c>
    </row>
    <row r="236" spans="2:21" x14ac:dyDescent="0.2">
      <c r="B236" s="245">
        <v>45238</v>
      </c>
      <c r="C236" s="246">
        <v>208.43</v>
      </c>
      <c r="D236" s="246">
        <v>437.25</v>
      </c>
      <c r="E236" s="246">
        <v>38.56</v>
      </c>
      <c r="F236" s="248">
        <f t="shared" si="35"/>
        <v>5.8877467303701803E-3</v>
      </c>
      <c r="G236" s="248">
        <f t="shared" si="36"/>
        <v>7.3238276154063975E-4</v>
      </c>
      <c r="H236" s="248">
        <f t="shared" si="37"/>
        <v>3.1217481789802548E-3</v>
      </c>
      <c r="I236" s="249">
        <f t="shared" si="38"/>
        <v>0.15929695756159901</v>
      </c>
      <c r="J236" s="249">
        <f t="shared" si="39"/>
        <v>8.1044329616533295E-2</v>
      </c>
      <c r="K236" s="249">
        <f t="shared" si="40"/>
        <v>-7.3411029676799022E-2</v>
      </c>
      <c r="L236" s="250">
        <f t="shared" si="30"/>
        <v>115.92969575615997</v>
      </c>
      <c r="M236" s="250">
        <f t="shared" si="31"/>
        <v>108.1044329616535</v>
      </c>
      <c r="N236" s="250">
        <f t="shared" si="32"/>
        <v>92.65889703232007</v>
      </c>
      <c r="O236" s="248">
        <f t="shared" si="33"/>
        <v>7.2386141623649536E-2</v>
      </c>
      <c r="P236" s="247">
        <f t="shared" si="34"/>
        <v>0.2511447844638468</v>
      </c>
      <c r="Q236" s="251">
        <f t="shared" si="41"/>
        <v>1.159296957561599</v>
      </c>
      <c r="R236" s="251">
        <f t="shared" si="42"/>
        <v>1.2721508426497581</v>
      </c>
      <c r="S236" s="251">
        <f t="shared" si="43"/>
        <v>-8.8711087792935128E-2</v>
      </c>
      <c r="T236" s="252">
        <f>C236*'1. Share_Price_Analysis'!$E$11+T235*(1-'1. Share_Price_Analysis'!$E$11)</f>
        <v>201.28852075060027</v>
      </c>
      <c r="U236" s="253">
        <f t="shared" si="44"/>
        <v>207.30211027987309</v>
      </c>
    </row>
    <row r="237" spans="2:21" x14ac:dyDescent="0.2">
      <c r="B237" s="245">
        <v>45239</v>
      </c>
      <c r="C237" s="246">
        <v>209.23</v>
      </c>
      <c r="D237" s="246">
        <v>433.84</v>
      </c>
      <c r="E237" s="246">
        <v>38.229999999999997</v>
      </c>
      <c r="F237" s="248">
        <f t="shared" si="35"/>
        <v>3.8382190663530658E-3</v>
      </c>
      <c r="G237" s="248">
        <f t="shared" si="36"/>
        <v>-7.7987421383648448E-3</v>
      </c>
      <c r="H237" s="248">
        <f t="shared" si="37"/>
        <v>-8.5580912863072456E-3</v>
      </c>
      <c r="I237" s="249">
        <f t="shared" si="38"/>
        <v>0.16374659324767693</v>
      </c>
      <c r="J237" s="249">
        <f t="shared" si="39"/>
        <v>7.2613543649712398E-2</v>
      </c>
      <c r="K237" s="249">
        <f t="shared" si="40"/>
        <v>-8.1340862669710412E-2</v>
      </c>
      <c r="L237" s="250">
        <f t="shared" si="30"/>
        <v>116.37465932476778</v>
      </c>
      <c r="M237" s="250">
        <f t="shared" si="31"/>
        <v>107.26135436497144</v>
      </c>
      <c r="N237" s="250">
        <f t="shared" si="32"/>
        <v>91.865913733028947</v>
      </c>
      <c r="O237" s="248">
        <f t="shared" si="33"/>
        <v>8.496354547964402E-2</v>
      </c>
      <c r="P237" s="247">
        <f t="shared" si="34"/>
        <v>0.26678824164274317</v>
      </c>
      <c r="Q237" s="251">
        <f t="shared" si="41"/>
        <v>1.1637465932476769</v>
      </c>
      <c r="R237" s="251">
        <f t="shared" si="42"/>
        <v>1.2721508426497581</v>
      </c>
      <c r="S237" s="251">
        <f t="shared" si="43"/>
        <v>-8.5213361315145897E-2</v>
      </c>
      <c r="T237" s="252">
        <f>C237*'1. Share_Price_Analysis'!$E$11+T236*(1-'1. Share_Price_Analysis'!$E$11)</f>
        <v>201.36754044462415</v>
      </c>
      <c r="U237" s="253">
        <f t="shared" si="44"/>
        <v>207.37771379830946</v>
      </c>
    </row>
    <row r="238" spans="2:21" x14ac:dyDescent="0.2">
      <c r="B238" s="245">
        <v>45240</v>
      </c>
      <c r="C238" s="246">
        <v>211.66</v>
      </c>
      <c r="D238" s="246">
        <v>440.61</v>
      </c>
      <c r="E238" s="246">
        <v>38.68</v>
      </c>
      <c r="F238" s="248">
        <f t="shared" si="35"/>
        <v>1.1614013286813663E-2</v>
      </c>
      <c r="G238" s="248">
        <f t="shared" si="36"/>
        <v>1.5604831274202535E-2</v>
      </c>
      <c r="H238" s="248">
        <f t="shared" si="37"/>
        <v>1.1770860580695874E-2</v>
      </c>
      <c r="I238" s="249">
        <f t="shared" si="38"/>
        <v>0.17726236164413955</v>
      </c>
      <c r="J238" s="249">
        <f t="shared" si="39"/>
        <v>8.9351497020790704E-2</v>
      </c>
      <c r="K238" s="249">
        <f t="shared" si="40"/>
        <v>-7.0527454043013194E-2</v>
      </c>
      <c r="L238" s="250">
        <f t="shared" si="30"/>
        <v>117.72623616441405</v>
      </c>
      <c r="M238" s="250">
        <f t="shared" si="31"/>
        <v>108.93514970207927</v>
      </c>
      <c r="N238" s="250">
        <f t="shared" si="32"/>
        <v>92.947254595698652</v>
      </c>
      <c r="O238" s="248">
        <f t="shared" si="33"/>
        <v>8.0700182506538543E-2</v>
      </c>
      <c r="P238" s="247">
        <f t="shared" si="34"/>
        <v>0.26659186090539966</v>
      </c>
      <c r="Q238" s="251">
        <f t="shared" si="41"/>
        <v>1.1772623616441396</v>
      </c>
      <c r="R238" s="251">
        <f t="shared" si="42"/>
        <v>1.2721508426497581</v>
      </c>
      <c r="S238" s="251">
        <f t="shared" si="43"/>
        <v>-7.4589017138860458E-2</v>
      </c>
      <c r="T238" s="252">
        <f>C238*'1. Share_Price_Analysis'!$E$11+T237*(1-'1. Share_Price_Analysis'!$E$11)</f>
        <v>201.46995297751346</v>
      </c>
      <c r="U238" s="253">
        <f t="shared" si="44"/>
        <v>207.54564659053264</v>
      </c>
    </row>
    <row r="239" spans="2:21" x14ac:dyDescent="0.2">
      <c r="B239" s="245">
        <v>45243</v>
      </c>
      <c r="C239" s="246">
        <v>210.49</v>
      </c>
      <c r="D239" s="246">
        <v>440.19</v>
      </c>
      <c r="E239" s="246">
        <v>38.625</v>
      </c>
      <c r="F239" s="248">
        <f t="shared" si="35"/>
        <v>-5.5277331569497656E-3</v>
      </c>
      <c r="G239" s="248">
        <f t="shared" si="36"/>
        <v>-9.5322393953845008E-4</v>
      </c>
      <c r="H239" s="248">
        <f t="shared" si="37"/>
        <v>-1.4219234746638554E-3</v>
      </c>
      <c r="I239" s="249">
        <f t="shared" si="38"/>
        <v>0.1707547694532503</v>
      </c>
      <c r="J239" s="249">
        <f t="shared" si="39"/>
        <v>8.8313101095258473E-2</v>
      </c>
      <c r="K239" s="249">
        <f t="shared" si="40"/>
        <v>-7.1849092875165055E-2</v>
      </c>
      <c r="L239" s="250">
        <f t="shared" si="30"/>
        <v>117.07547694532512</v>
      </c>
      <c r="M239" s="250">
        <f t="shared" si="31"/>
        <v>108.83131010952604</v>
      </c>
      <c r="N239" s="250">
        <f t="shared" si="32"/>
        <v>92.815090712483467</v>
      </c>
      <c r="O239" s="248">
        <f t="shared" si="33"/>
        <v>7.5751792636718163E-2</v>
      </c>
      <c r="P239" s="247">
        <f t="shared" si="34"/>
        <v>0.26138407070024594</v>
      </c>
      <c r="Q239" s="251">
        <f t="shared" si="41"/>
        <v>1.1707547694532503</v>
      </c>
      <c r="R239" s="251">
        <f t="shared" si="42"/>
        <v>1.2721508426497581</v>
      </c>
      <c r="S239" s="251">
        <f t="shared" si="43"/>
        <v>-7.9704442112627394E-2</v>
      </c>
      <c r="T239" s="252">
        <f>C239*'1. Share_Price_Analysis'!$E$11+T238*(1-'1. Share_Price_Analysis'!$E$11)</f>
        <v>201.55970468918002</v>
      </c>
      <c r="U239" s="253">
        <f t="shared" si="44"/>
        <v>207.6611114301196</v>
      </c>
    </row>
    <row r="240" spans="2:21" x14ac:dyDescent="0.2">
      <c r="B240" s="245">
        <v>45244</v>
      </c>
      <c r="C240" s="246">
        <v>216.54</v>
      </c>
      <c r="D240" s="246">
        <v>448.73</v>
      </c>
      <c r="E240" s="246">
        <v>39.765000000000001</v>
      </c>
      <c r="F240" s="248">
        <f t="shared" si="35"/>
        <v>2.8742458074017652E-2</v>
      </c>
      <c r="G240" s="248">
        <f t="shared" si="36"/>
        <v>1.9400713328335595E-2</v>
      </c>
      <c r="H240" s="248">
        <f t="shared" si="37"/>
        <v>2.9514563106796121E-2</v>
      </c>
      <c r="I240" s="249">
        <f t="shared" si="38"/>
        <v>0.20440513932921656</v>
      </c>
      <c r="J240" s="249">
        <f t="shared" si="39"/>
        <v>0.10942715158107941</v>
      </c>
      <c r="K240" s="249">
        <f t="shared" si="40"/>
        <v>-4.4455124354199071E-2</v>
      </c>
      <c r="L240" s="250">
        <f t="shared" si="30"/>
        <v>120.44051393292175</v>
      </c>
      <c r="M240" s="250">
        <f t="shared" si="31"/>
        <v>110.94271515810814</v>
      </c>
      <c r="N240" s="250">
        <f t="shared" si="32"/>
        <v>95.554487564580072</v>
      </c>
      <c r="O240" s="248">
        <f t="shared" si="33"/>
        <v>8.5609936274572807E-2</v>
      </c>
      <c r="P240" s="247">
        <f t="shared" si="34"/>
        <v>0.26043807049378453</v>
      </c>
      <c r="Q240" s="251">
        <f t="shared" si="41"/>
        <v>1.2044051393292166</v>
      </c>
      <c r="R240" s="251">
        <f t="shared" si="42"/>
        <v>1.2721508426497581</v>
      </c>
      <c r="S240" s="251">
        <f t="shared" si="43"/>
        <v>-5.3252885624344826E-2</v>
      </c>
      <c r="T240" s="252">
        <f>C240*'1. Share_Price_Analysis'!$E$11+T239*(1-'1. Share_Price_Analysis'!$E$11)</f>
        <v>201.70876235396432</v>
      </c>
      <c r="U240" s="253">
        <f t="shared" si="44"/>
        <v>208.00930313874238</v>
      </c>
    </row>
    <row r="241" spans="2:21" x14ac:dyDescent="0.2">
      <c r="B241" s="245">
        <v>45245</v>
      </c>
      <c r="C241" s="246">
        <v>210.87</v>
      </c>
      <c r="D241" s="246">
        <v>449.68</v>
      </c>
      <c r="E241" s="246">
        <v>39.94</v>
      </c>
      <c r="F241" s="248">
        <f t="shared" si="35"/>
        <v>-2.6184538653366562E-2</v>
      </c>
      <c r="G241" s="248">
        <f t="shared" si="36"/>
        <v>2.1170859982617696E-3</v>
      </c>
      <c r="H241" s="248">
        <f t="shared" si="37"/>
        <v>4.4008550232614851E-3</v>
      </c>
      <c r="I241" s="249">
        <f t="shared" si="38"/>
        <v>0.1728683464041374</v>
      </c>
      <c r="J241" s="249">
        <f t="shared" si="39"/>
        <v>0.11177590426978323</v>
      </c>
      <c r="K241" s="249">
        <f t="shared" si="40"/>
        <v>-4.0249909888261493E-2</v>
      </c>
      <c r="L241" s="250">
        <f t="shared" si="30"/>
        <v>117.28683464041383</v>
      </c>
      <c r="M241" s="250">
        <f t="shared" si="31"/>
        <v>111.1775904269785</v>
      </c>
      <c r="N241" s="250">
        <f t="shared" si="32"/>
        <v>95.975009011173853</v>
      </c>
      <c r="O241" s="248">
        <f t="shared" si="33"/>
        <v>5.495032038356662E-2</v>
      </c>
      <c r="P241" s="247">
        <f t="shared" si="34"/>
        <v>0.22205598987501696</v>
      </c>
      <c r="Q241" s="251">
        <f t="shared" si="41"/>
        <v>1.1728683464041374</v>
      </c>
      <c r="R241" s="251">
        <f t="shared" si="42"/>
        <v>1.2721508426497581</v>
      </c>
      <c r="S241" s="251">
        <f t="shared" si="43"/>
        <v>-7.8043022035677478E-2</v>
      </c>
      <c r="T241" s="252">
        <f>C241*'1. Share_Price_Analysis'!$E$11+T240*(1-'1. Share_Price_Analysis'!$E$11)</f>
        <v>201.7999189474572</v>
      </c>
      <c r="U241" s="253">
        <f t="shared" si="44"/>
        <v>208.12148732937996</v>
      </c>
    </row>
    <row r="242" spans="2:21" x14ac:dyDescent="0.2">
      <c r="B242" s="245">
        <v>45246</v>
      </c>
      <c r="C242" s="246">
        <v>212.27</v>
      </c>
      <c r="D242" s="246">
        <v>450.23</v>
      </c>
      <c r="E242" s="246">
        <v>40.06</v>
      </c>
      <c r="F242" s="248">
        <f t="shared" si="35"/>
        <v>6.6391615687391159E-3</v>
      </c>
      <c r="G242" s="248">
        <f t="shared" si="36"/>
        <v>1.2230919765165993E-3</v>
      </c>
      <c r="H242" s="248">
        <f t="shared" si="37"/>
        <v>3.0045067601403019E-3</v>
      </c>
      <c r="I242" s="249">
        <f t="shared" si="38"/>
        <v>0.18065520885477437</v>
      </c>
      <c r="J242" s="249">
        <f t="shared" si="39"/>
        <v>0.11313570845798004</v>
      </c>
      <c r="K242" s="249">
        <f t="shared" si="40"/>
        <v>-3.7366334254475553E-2</v>
      </c>
      <c r="L242" s="250">
        <f t="shared" si="30"/>
        <v>118.0655208854775</v>
      </c>
      <c r="M242" s="250">
        <f t="shared" si="31"/>
        <v>111.31357084579821</v>
      </c>
      <c r="N242" s="250">
        <f t="shared" si="32"/>
        <v>96.26336657455245</v>
      </c>
      <c r="O242" s="248">
        <f t="shared" si="33"/>
        <v>6.0657024910582225E-2</v>
      </c>
      <c r="P242" s="247">
        <f t="shared" si="34"/>
        <v>0.22648443625789905</v>
      </c>
      <c r="Q242" s="251">
        <f t="shared" si="41"/>
        <v>1.1806552088547744</v>
      </c>
      <c r="R242" s="251">
        <f t="shared" si="42"/>
        <v>1.2721508426497581</v>
      </c>
      <c r="S242" s="251">
        <f t="shared" si="43"/>
        <v>-7.1922000699545796E-2</v>
      </c>
      <c r="T242" s="252">
        <f>C242*'1. Share_Price_Analysis'!$E$11+T241*(1-'1. Share_Price_Analysis'!$E$11)</f>
        <v>201.9040988584278</v>
      </c>
      <c r="U242" s="253">
        <f t="shared" si="44"/>
        <v>208.28417410077682</v>
      </c>
    </row>
    <row r="243" spans="2:21" x14ac:dyDescent="0.2">
      <c r="B243" s="245">
        <v>45247</v>
      </c>
      <c r="C243" s="246">
        <v>212.35</v>
      </c>
      <c r="D243" s="246">
        <v>450.79</v>
      </c>
      <c r="E243" s="246">
        <v>40.134999999999998</v>
      </c>
      <c r="F243" s="248">
        <f t="shared" si="35"/>
        <v>3.7687850379231058E-4</v>
      </c>
      <c r="G243" s="248">
        <f t="shared" si="36"/>
        <v>1.243808719987527E-3</v>
      </c>
      <c r="H243" s="248">
        <f t="shared" si="37"/>
        <v>1.8721917124311371E-3</v>
      </c>
      <c r="I243" s="249">
        <f t="shared" si="38"/>
        <v>0.18110017242338206</v>
      </c>
      <c r="J243" s="249">
        <f t="shared" si="39"/>
        <v>0.11452023635868946</v>
      </c>
      <c r="K243" s="249">
        <f t="shared" si="40"/>
        <v>-3.556409948335959E-2</v>
      </c>
      <c r="L243" s="250">
        <f t="shared" si="30"/>
        <v>118.1100172423383</v>
      </c>
      <c r="M243" s="250">
        <f t="shared" si="31"/>
        <v>111.45202363586917</v>
      </c>
      <c r="N243" s="250">
        <f t="shared" si="32"/>
        <v>96.443590051664046</v>
      </c>
      <c r="O243" s="248">
        <f t="shared" si="33"/>
        <v>5.9738651567440071E-2</v>
      </c>
      <c r="P243" s="247">
        <f t="shared" si="34"/>
        <v>0.22465388502302375</v>
      </c>
      <c r="Q243" s="251">
        <f t="shared" si="41"/>
        <v>1.1811001724233821</v>
      </c>
      <c r="R243" s="251">
        <f t="shared" si="42"/>
        <v>1.2721508426497581</v>
      </c>
      <c r="S243" s="251">
        <f t="shared" si="43"/>
        <v>-7.1572228051766995E-2</v>
      </c>
      <c r="T243" s="252">
        <f>C243*'1. Share_Price_Analysis'!$E$11+T242*(1-'1. Share_Price_Analysis'!$E$11)</f>
        <v>202.00803817326931</v>
      </c>
      <c r="U243" s="253">
        <f t="shared" si="44"/>
        <v>208.44361825368753</v>
      </c>
    </row>
    <row r="244" spans="2:21" x14ac:dyDescent="0.2">
      <c r="B244" s="245">
        <v>45250</v>
      </c>
      <c r="C244" s="246">
        <v>210.38</v>
      </c>
      <c r="D244" s="246">
        <v>454.26</v>
      </c>
      <c r="E244" s="246">
        <v>40.204999999999998</v>
      </c>
      <c r="F244" s="248">
        <f t="shared" si="35"/>
        <v>-9.2771368024487932E-3</v>
      </c>
      <c r="G244" s="248">
        <f t="shared" si="36"/>
        <v>7.6975975509661065E-3</v>
      </c>
      <c r="H244" s="248">
        <f t="shared" si="37"/>
        <v>1.7441136165441407E-3</v>
      </c>
      <c r="I244" s="249">
        <f t="shared" si="38"/>
        <v>0.17014294454641443</v>
      </c>
      <c r="J244" s="249">
        <f t="shared" si="39"/>
        <v>0.12309936460058624</v>
      </c>
      <c r="K244" s="249">
        <f t="shared" si="40"/>
        <v>-3.3882013696984514E-2</v>
      </c>
      <c r="L244" s="250">
        <f t="shared" si="30"/>
        <v>117.01429445464153</v>
      </c>
      <c r="M244" s="250">
        <f t="shared" si="31"/>
        <v>112.30993646005882</v>
      </c>
      <c r="N244" s="250">
        <f t="shared" si="32"/>
        <v>96.611798630301564</v>
      </c>
      <c r="O244" s="248">
        <f t="shared" si="33"/>
        <v>4.1887282130694148E-2</v>
      </c>
      <c r="P244" s="247">
        <f t="shared" si="34"/>
        <v>0.21118016757366131</v>
      </c>
      <c r="Q244" s="251">
        <f t="shared" si="41"/>
        <v>1.1701429445464144</v>
      </c>
      <c r="R244" s="251">
        <f t="shared" si="42"/>
        <v>1.2721508426497581</v>
      </c>
      <c r="S244" s="251">
        <f t="shared" si="43"/>
        <v>-8.0185379503323495E-2</v>
      </c>
      <c r="T244" s="252">
        <f>C244*'1. Share_Price_Analysis'!$E$11+T243*(1-'1. Share_Price_Analysis'!$E$11)</f>
        <v>202.09134127602286</v>
      </c>
      <c r="U244" s="253">
        <f t="shared" si="44"/>
        <v>208.51955479275861</v>
      </c>
    </row>
    <row r="245" spans="2:21" x14ac:dyDescent="0.2">
      <c r="B245" s="245">
        <v>45251</v>
      </c>
      <c r="C245" s="246">
        <v>209.84</v>
      </c>
      <c r="D245" s="246">
        <v>453.27</v>
      </c>
      <c r="E245" s="246">
        <v>40.36</v>
      </c>
      <c r="F245" s="248">
        <f t="shared" si="35"/>
        <v>-2.5667839148207916E-3</v>
      </c>
      <c r="G245" s="248">
        <f t="shared" si="36"/>
        <v>-2.179368643508095E-3</v>
      </c>
      <c r="H245" s="248">
        <f t="shared" si="37"/>
        <v>3.8552418853377013E-3</v>
      </c>
      <c r="I245" s="249">
        <f t="shared" si="38"/>
        <v>0.16713944045831175</v>
      </c>
      <c r="J245" s="249">
        <f t="shared" si="39"/>
        <v>0.12065171706183175</v>
      </c>
      <c r="K245" s="249">
        <f t="shared" si="40"/>
        <v>-3.0157395170011037E-2</v>
      </c>
      <c r="L245" s="250">
        <f t="shared" si="30"/>
        <v>116.71394404583127</v>
      </c>
      <c r="M245" s="250">
        <f t="shared" si="31"/>
        <v>112.06517170618339</v>
      </c>
      <c r="N245" s="250">
        <f t="shared" si="32"/>
        <v>96.984260482998906</v>
      </c>
      <c r="O245" s="248">
        <f t="shared" si="33"/>
        <v>4.1482757478267462E-2</v>
      </c>
      <c r="P245" s="247">
        <f t="shared" si="34"/>
        <v>0.20343180908505087</v>
      </c>
      <c r="Q245" s="251">
        <f t="shared" si="41"/>
        <v>1.1671394404583117</v>
      </c>
      <c r="R245" s="251">
        <f t="shared" si="42"/>
        <v>1.2721508426497581</v>
      </c>
      <c r="S245" s="251">
        <f t="shared" si="43"/>
        <v>-8.2546344875831346E-2</v>
      </c>
      <c r="T245" s="252">
        <f>C245*'1. Share_Price_Analysis'!$E$11+T244*(1-'1. Share_Price_Analysis'!$E$11)</f>
        <v>202.16844235785351</v>
      </c>
      <c r="U245" s="253">
        <f t="shared" si="44"/>
        <v>208.57133695774846</v>
      </c>
    </row>
    <row r="246" spans="2:21" x14ac:dyDescent="0.2">
      <c r="B246" s="245">
        <v>45252</v>
      </c>
      <c r="C246" s="246">
        <v>211.9</v>
      </c>
      <c r="D246" s="246">
        <v>455.02</v>
      </c>
      <c r="E246" s="246">
        <v>40.384999999999998</v>
      </c>
      <c r="F246" s="248">
        <f t="shared" si="35"/>
        <v>9.8170034311857446E-3</v>
      </c>
      <c r="G246" s="248">
        <f t="shared" si="36"/>
        <v>3.8608334987977333E-3</v>
      </c>
      <c r="H246" s="248">
        <f t="shared" si="37"/>
        <v>6.1942517343904768E-4</v>
      </c>
      <c r="I246" s="249">
        <f t="shared" si="38"/>
        <v>0.17859725234996326</v>
      </c>
      <c r="J246" s="249">
        <f t="shared" si="39"/>
        <v>0.12497836675154916</v>
      </c>
      <c r="K246" s="249">
        <f t="shared" si="40"/>
        <v>-2.9556650246305605E-2</v>
      </c>
      <c r="L246" s="250">
        <f t="shared" si="30"/>
        <v>117.85972523499639</v>
      </c>
      <c r="M246" s="250">
        <f t="shared" si="31"/>
        <v>112.49783667515514</v>
      </c>
      <c r="N246" s="250">
        <f t="shared" si="32"/>
        <v>97.044334975369452</v>
      </c>
      <c r="O246" s="248">
        <f t="shared" si="33"/>
        <v>4.7662148164895113E-2</v>
      </c>
      <c r="P246" s="247">
        <f t="shared" si="34"/>
        <v>0.21449361536569844</v>
      </c>
      <c r="Q246" s="251">
        <f t="shared" si="41"/>
        <v>1.1785972523499633</v>
      </c>
      <c r="R246" s="251">
        <f t="shared" si="42"/>
        <v>1.2721508426497581</v>
      </c>
      <c r="S246" s="251">
        <f t="shared" si="43"/>
        <v>-7.3539699195523389E-2</v>
      </c>
      <c r="T246" s="252">
        <f>C246*'1. Share_Price_Analysis'!$E$11+T245*(1-'1. Share_Price_Analysis'!$E$11)</f>
        <v>202.26527377717835</v>
      </c>
      <c r="U246" s="253">
        <f t="shared" si="44"/>
        <v>208.70187276332695</v>
      </c>
    </row>
    <row r="247" spans="2:21" x14ac:dyDescent="0.2">
      <c r="B247" s="245">
        <v>45254</v>
      </c>
      <c r="C247" s="246">
        <v>211.68</v>
      </c>
      <c r="D247" s="246">
        <v>455.3</v>
      </c>
      <c r="E247" s="246">
        <v>40.56</v>
      </c>
      <c r="F247" s="248">
        <f t="shared" si="35"/>
        <v>-1.0382255781028471E-3</v>
      </c>
      <c r="G247" s="248">
        <f t="shared" si="36"/>
        <v>6.153575667005029E-4</v>
      </c>
      <c r="H247" s="248">
        <f t="shared" si="37"/>
        <v>4.333292063885219E-3</v>
      </c>
      <c r="I247" s="249">
        <f t="shared" si="38"/>
        <v>0.17737360253629175</v>
      </c>
      <c r="J247" s="249">
        <f t="shared" si="39"/>
        <v>0.12567063070190421</v>
      </c>
      <c r="K247" s="249">
        <f t="shared" si="40"/>
        <v>-2.5351435780367693E-2</v>
      </c>
      <c r="L247" s="250">
        <f t="shared" si="30"/>
        <v>117.73736025362925</v>
      </c>
      <c r="M247" s="250">
        <f t="shared" si="31"/>
        <v>112.56706307019061</v>
      </c>
      <c r="N247" s="250">
        <f t="shared" si="32"/>
        <v>97.464856421963233</v>
      </c>
      <c r="O247" s="248">
        <f t="shared" si="33"/>
        <v>4.5930817082922903E-2</v>
      </c>
      <c r="P247" s="247">
        <f t="shared" si="34"/>
        <v>0.20799808849969881</v>
      </c>
      <c r="Q247" s="251">
        <f t="shared" si="41"/>
        <v>1.1773736025362918</v>
      </c>
      <c r="R247" s="251">
        <f t="shared" si="42"/>
        <v>1.2721508426497581</v>
      </c>
      <c r="S247" s="251">
        <f t="shared" si="43"/>
        <v>-7.4501573976915481E-2</v>
      </c>
      <c r="T247" s="252">
        <f>C247*'1. Share_Price_Analysis'!$E$11+T246*(1-'1. Share_Price_Analysis'!$E$11)</f>
        <v>202.35895264506715</v>
      </c>
      <c r="U247" s="253">
        <f t="shared" si="44"/>
        <v>208.81866206672589</v>
      </c>
    </row>
    <row r="248" spans="2:21" x14ac:dyDescent="0.2">
      <c r="B248" s="245">
        <v>45257</v>
      </c>
      <c r="C248" s="246">
        <v>212.85</v>
      </c>
      <c r="D248" s="246">
        <v>454.48</v>
      </c>
      <c r="E248" s="246">
        <v>40.51</v>
      </c>
      <c r="F248" s="248">
        <f t="shared" si="35"/>
        <v>5.527210884353595E-3</v>
      </c>
      <c r="G248" s="248">
        <f t="shared" si="36"/>
        <v>-1.8010103228640606E-3</v>
      </c>
      <c r="H248" s="248">
        <f t="shared" si="37"/>
        <v>-1.2327416173570915E-3</v>
      </c>
      <c r="I248" s="249">
        <f t="shared" si="38"/>
        <v>0.18388119472718101</v>
      </c>
      <c r="J248" s="249">
        <f t="shared" si="39"/>
        <v>0.12364328627586518</v>
      </c>
      <c r="K248" s="249">
        <f t="shared" si="40"/>
        <v>-2.6552925627778556E-2</v>
      </c>
      <c r="L248" s="250">
        <f t="shared" si="30"/>
        <v>118.38811947271817</v>
      </c>
      <c r="M248" s="250">
        <f t="shared" si="31"/>
        <v>112.36432862758672</v>
      </c>
      <c r="N248" s="250">
        <f t="shared" si="32"/>
        <v>97.344707437222141</v>
      </c>
      <c r="O248" s="248">
        <f t="shared" si="33"/>
        <v>5.360945879093415E-2</v>
      </c>
      <c r="P248" s="247">
        <f t="shared" si="34"/>
        <v>0.21617417720492815</v>
      </c>
      <c r="Q248" s="251">
        <f t="shared" si="41"/>
        <v>1.183881194727181</v>
      </c>
      <c r="R248" s="251">
        <f t="shared" si="42"/>
        <v>1.2721508426497581</v>
      </c>
      <c r="S248" s="251">
        <f t="shared" si="43"/>
        <v>-6.9386149003148545E-2</v>
      </c>
      <c r="T248" s="252">
        <f>C248*'1. Share_Price_Analysis'!$E$11+T247*(1-'1. Share_Price_Analysis'!$E$11)</f>
        <v>202.46334117596203</v>
      </c>
      <c r="U248" s="253">
        <f t="shared" si="44"/>
        <v>208.97675375038369</v>
      </c>
    </row>
    <row r="249" spans="2:21" x14ac:dyDescent="0.2">
      <c r="B249" s="245">
        <v>45258</v>
      </c>
      <c r="C249" s="246">
        <v>211.16</v>
      </c>
      <c r="D249" s="246">
        <v>454.93</v>
      </c>
      <c r="E249" s="246">
        <v>40.590000000000003</v>
      </c>
      <c r="F249" s="248">
        <f t="shared" si="35"/>
        <v>-7.9398637538172778E-3</v>
      </c>
      <c r="G249" s="248">
        <f t="shared" si="36"/>
        <v>9.9014258053164994E-4</v>
      </c>
      <c r="H249" s="248">
        <f t="shared" si="37"/>
        <v>1.9748210318442094E-3</v>
      </c>
      <c r="I249" s="249">
        <f t="shared" si="38"/>
        <v>0.17448133934034082</v>
      </c>
      <c r="J249" s="249">
        <f t="shared" si="39"/>
        <v>0.12475585333893546</v>
      </c>
      <c r="K249" s="249">
        <f t="shared" si="40"/>
        <v>-2.4630541871921041E-2</v>
      </c>
      <c r="L249" s="250">
        <f t="shared" si="30"/>
        <v>117.44813393403415</v>
      </c>
      <c r="M249" s="250">
        <f t="shared" si="31"/>
        <v>112.47558533389372</v>
      </c>
      <c r="N249" s="250">
        <f t="shared" si="32"/>
        <v>97.536945812807886</v>
      </c>
      <c r="O249" s="248">
        <f t="shared" si="33"/>
        <v>4.4210026428216365E-2</v>
      </c>
      <c r="P249" s="247">
        <f t="shared" si="34"/>
        <v>0.2041399590206523</v>
      </c>
      <c r="Q249" s="251">
        <f t="shared" si="41"/>
        <v>1.1744813393403408</v>
      </c>
      <c r="R249" s="251">
        <f t="shared" si="42"/>
        <v>1.2721508426497581</v>
      </c>
      <c r="S249" s="251">
        <f t="shared" si="43"/>
        <v>-7.6775096187478686E-2</v>
      </c>
      <c r="T249" s="252">
        <f>C249*'1. Share_Price_Analysis'!$E$11+T248*(1-'1. Share_Price_Analysis'!$E$11)</f>
        <v>202.54987509460918</v>
      </c>
      <c r="U249" s="253">
        <f t="shared" si="44"/>
        <v>209.06237125036864</v>
      </c>
    </row>
    <row r="250" spans="2:21" x14ac:dyDescent="0.2">
      <c r="B250" s="245">
        <v>45259</v>
      </c>
      <c r="C250" s="246">
        <v>212.68</v>
      </c>
      <c r="D250" s="246">
        <v>454.61</v>
      </c>
      <c r="E250" s="246">
        <v>40.799999999999997</v>
      </c>
      <c r="F250" s="248">
        <f t="shared" si="35"/>
        <v>7.1983330176170757E-3</v>
      </c>
      <c r="G250" s="248">
        <f t="shared" si="36"/>
        <v>-7.034049194380998E-4</v>
      </c>
      <c r="H250" s="248">
        <f t="shared" si="37"/>
        <v>5.1736881005171043E-3</v>
      </c>
      <c r="I250" s="249">
        <f t="shared" si="38"/>
        <v>0.18293564714388943</v>
      </c>
      <c r="J250" s="249">
        <f t="shared" si="39"/>
        <v>0.12396469453852998</v>
      </c>
      <c r="K250" s="249">
        <f t="shared" si="40"/>
        <v>-1.9584284512796035E-2</v>
      </c>
      <c r="L250" s="250">
        <f t="shared" si="30"/>
        <v>118.29356471438901</v>
      </c>
      <c r="M250" s="250">
        <f t="shared" si="31"/>
        <v>112.39646945385317</v>
      </c>
      <c r="N250" s="250">
        <f t="shared" si="32"/>
        <v>98.041571548720398</v>
      </c>
      <c r="O250" s="248">
        <f t="shared" si="33"/>
        <v>5.2466908339653173E-2</v>
      </c>
      <c r="P250" s="247">
        <f t="shared" si="34"/>
        <v>0.2065653665660041</v>
      </c>
      <c r="Q250" s="251">
        <f t="shared" si="41"/>
        <v>1.1829356471438894</v>
      </c>
      <c r="R250" s="251">
        <f t="shared" si="42"/>
        <v>1.2721508426497581</v>
      </c>
      <c r="S250" s="251">
        <f t="shared" si="43"/>
        <v>-7.0129415879678803E-2</v>
      </c>
      <c r="T250" s="252">
        <f>C250*'1. Share_Price_Analysis'!$E$11+T249*(1-'1. Share_Price_Analysis'!$E$11)</f>
        <v>202.65067235734938</v>
      </c>
      <c r="U250" s="253">
        <f t="shared" si="44"/>
        <v>209.20423904447185</v>
      </c>
    </row>
    <row r="251" spans="2:21" x14ac:dyDescent="0.2">
      <c r="B251" s="245">
        <v>45260</v>
      </c>
      <c r="C251" s="246">
        <v>213.56</v>
      </c>
      <c r="D251" s="246">
        <v>456.4</v>
      </c>
      <c r="E251" s="246">
        <v>41.204999999999998</v>
      </c>
      <c r="F251" s="248">
        <f t="shared" si="35"/>
        <v>4.1376716193342045E-3</v>
      </c>
      <c r="G251" s="248">
        <f t="shared" si="36"/>
        <v>3.9374408833945385E-3</v>
      </c>
      <c r="H251" s="248">
        <f t="shared" si="37"/>
        <v>9.9264705882353699E-3</v>
      </c>
      <c r="I251" s="249">
        <f t="shared" si="38"/>
        <v>0.18783024639857548</v>
      </c>
      <c r="J251" s="249">
        <f t="shared" si="39"/>
        <v>0.12839023907829805</v>
      </c>
      <c r="K251" s="249">
        <f t="shared" si="40"/>
        <v>-9.8522167487685719E-3</v>
      </c>
      <c r="L251" s="250">
        <f t="shared" si="30"/>
        <v>118.78302463985762</v>
      </c>
      <c r="M251" s="250">
        <f t="shared" si="31"/>
        <v>112.83902390782998</v>
      </c>
      <c r="N251" s="250">
        <f t="shared" si="32"/>
        <v>99.014778325123146</v>
      </c>
      <c r="O251" s="248">
        <f t="shared" si="33"/>
        <v>5.2676818056162755E-2</v>
      </c>
      <c r="P251" s="247">
        <f t="shared" si="34"/>
        <v>0.19964945283040225</v>
      </c>
      <c r="Q251" s="251">
        <f t="shared" si="41"/>
        <v>1.1878302463985755</v>
      </c>
      <c r="R251" s="251">
        <f t="shared" si="42"/>
        <v>1.2721508426497581</v>
      </c>
      <c r="S251" s="251">
        <f t="shared" si="43"/>
        <v>-6.6281916754110326E-2</v>
      </c>
      <c r="T251" s="252">
        <f>C251*'1. Share_Price_Analysis'!$E$11+T250*(1-'1. Share_Price_Analysis'!$E$11)</f>
        <v>202.75922288115683</v>
      </c>
      <c r="U251" s="253">
        <f t="shared" si="44"/>
        <v>209.37505319959061</v>
      </c>
    </row>
    <row r="252" spans="2:21" x14ac:dyDescent="0.2">
      <c r="B252" s="245">
        <v>45261</v>
      </c>
      <c r="C252" s="246">
        <v>215.63</v>
      </c>
      <c r="D252" s="246">
        <v>459.1</v>
      </c>
      <c r="E252" s="246">
        <v>41.674999999999997</v>
      </c>
      <c r="F252" s="248">
        <f t="shared" si="35"/>
        <v>9.692826371979768E-3</v>
      </c>
      <c r="G252" s="248">
        <f t="shared" si="36"/>
        <v>5.9158632778266718E-3</v>
      </c>
      <c r="H252" s="248">
        <f t="shared" si="37"/>
        <v>1.1406382720543506E-2</v>
      </c>
      <c r="I252" s="249">
        <f t="shared" si="38"/>
        <v>0.19934367873630277</v>
      </c>
      <c r="J252" s="249">
        <f t="shared" si="39"/>
        <v>0.13506564145671951</v>
      </c>
      <c r="K252" s="249">
        <f t="shared" si="40"/>
        <v>1.4417878168926368E-3</v>
      </c>
      <c r="L252" s="250">
        <f t="shared" si="30"/>
        <v>119.93436787363035</v>
      </c>
      <c r="M252" s="250">
        <f t="shared" si="31"/>
        <v>113.5065641456721</v>
      </c>
      <c r="N252" s="250">
        <f t="shared" si="32"/>
        <v>100.14417878168929</v>
      </c>
      <c r="O252" s="248">
        <f t="shared" si="33"/>
        <v>5.6629356868815206E-2</v>
      </c>
      <c r="P252" s="247">
        <f t="shared" si="34"/>
        <v>0.19761696918083405</v>
      </c>
      <c r="Q252" s="251">
        <f t="shared" si="41"/>
        <v>1.1993436787363028</v>
      </c>
      <c r="R252" s="251">
        <f t="shared" si="42"/>
        <v>1.2721508426497581</v>
      </c>
      <c r="S252" s="251">
        <f t="shared" si="43"/>
        <v>-5.7231549492830269E-2</v>
      </c>
      <c r="T252" s="252">
        <f>C252*'1. Share_Price_Analysis'!$E$11+T251*(1-'1. Share_Price_Analysis'!$E$11)</f>
        <v>202.88729031517519</v>
      </c>
      <c r="U252" s="253">
        <f t="shared" si="44"/>
        <v>209.62034523097924</v>
      </c>
    </row>
    <row r="253" spans="2:21" x14ac:dyDescent="0.2">
      <c r="B253" s="245">
        <v>45264</v>
      </c>
      <c r="C253" s="246">
        <v>214.8</v>
      </c>
      <c r="D253" s="246">
        <v>456.69</v>
      </c>
      <c r="E253" s="246">
        <v>41.19</v>
      </c>
      <c r="F253" s="248">
        <f t="shared" si="35"/>
        <v>-3.8491861058294052E-3</v>
      </c>
      <c r="G253" s="248">
        <f t="shared" si="36"/>
        <v>-5.2494010019603632E-3</v>
      </c>
      <c r="H253" s="248">
        <f t="shared" si="37"/>
        <v>-1.1637672465506843E-2</v>
      </c>
      <c r="I253" s="249">
        <f t="shared" si="38"/>
        <v>0.19472718171199666</v>
      </c>
      <c r="J253" s="249">
        <f t="shared" si="39"/>
        <v>0.12910722674116593</v>
      </c>
      <c r="K253" s="249">
        <f t="shared" si="40"/>
        <v>-1.0212663702992009E-2</v>
      </c>
      <c r="L253" s="250">
        <f t="shared" si="30"/>
        <v>119.47271817119976</v>
      </c>
      <c r="M253" s="250">
        <f t="shared" si="31"/>
        <v>112.91072267411676</v>
      </c>
      <c r="N253" s="250">
        <f t="shared" si="32"/>
        <v>98.978733629700827</v>
      </c>
      <c r="O253" s="248">
        <f t="shared" si="33"/>
        <v>5.8116672550421411E-2</v>
      </c>
      <c r="P253" s="247">
        <f t="shared" si="34"/>
        <v>0.2070544226012323</v>
      </c>
      <c r="Q253" s="251">
        <f t="shared" si="41"/>
        <v>1.1947271817119967</v>
      </c>
      <c r="R253" s="251">
        <f t="shared" si="42"/>
        <v>1.2721508426497581</v>
      </c>
      <c r="S253" s="251">
        <f t="shared" si="43"/>
        <v>-6.0860440713536801E-2</v>
      </c>
      <c r="T253" s="252">
        <f>C253*'1. Share_Price_Analysis'!$E$11+T252*(1-'1. Share_Price_Analysis'!$E$11)</f>
        <v>203.00582473989982</v>
      </c>
      <c r="U253" s="253">
        <f t="shared" si="44"/>
        <v>209.82346894741144</v>
      </c>
    </row>
    <row r="254" spans="2:21" x14ac:dyDescent="0.2">
      <c r="B254" s="245">
        <v>45265</v>
      </c>
      <c r="C254" s="246">
        <v>212.02</v>
      </c>
      <c r="D254" s="246">
        <v>456.6</v>
      </c>
      <c r="E254" s="246">
        <v>40.625</v>
      </c>
      <c r="F254" s="248">
        <f t="shared" si="35"/>
        <v>-1.2942271880819423E-2</v>
      </c>
      <c r="G254" s="248">
        <f t="shared" si="36"/>
        <v>-1.9707022268933283E-4</v>
      </c>
      <c r="H254" s="248">
        <f t="shared" si="37"/>
        <v>-1.3716921582908381E-2</v>
      </c>
      <c r="I254" s="249">
        <f t="shared" si="38"/>
        <v>0.1792646977028749</v>
      </c>
      <c r="J254" s="249">
        <f t="shared" si="39"/>
        <v>0.128884713328552</v>
      </c>
      <c r="K254" s="249">
        <f t="shared" si="40"/>
        <v>-2.3789498978733836E-2</v>
      </c>
      <c r="L254" s="250">
        <f t="shared" si="30"/>
        <v>117.92646977028758</v>
      </c>
      <c r="M254" s="250">
        <f t="shared" si="31"/>
        <v>112.88847133285533</v>
      </c>
      <c r="N254" s="250">
        <f t="shared" si="32"/>
        <v>97.621050102126631</v>
      </c>
      <c r="O254" s="248">
        <f t="shared" si="33"/>
        <v>4.462810398572592E-2</v>
      </c>
      <c r="P254" s="247">
        <f t="shared" si="34"/>
        <v>0.20800247125920368</v>
      </c>
      <c r="Q254" s="251">
        <f t="shared" si="41"/>
        <v>1.1792646977028749</v>
      </c>
      <c r="R254" s="251">
        <f t="shared" si="42"/>
        <v>1.2721508426497581</v>
      </c>
      <c r="S254" s="251">
        <f t="shared" si="43"/>
        <v>-7.3015040223855077E-2</v>
      </c>
      <c r="T254" s="252">
        <f>C254*'1. Share_Price_Analysis'!$E$11+T253*(1-'1. Share_Price_Analysis'!$E$11)</f>
        <v>203.09551802606998</v>
      </c>
      <c r="U254" s="253">
        <f t="shared" si="44"/>
        <v>209.90960742006197</v>
      </c>
    </row>
    <row r="255" spans="2:21" x14ac:dyDescent="0.2">
      <c r="B255" s="245">
        <v>45266</v>
      </c>
      <c r="C255" s="246">
        <v>211.93</v>
      </c>
      <c r="D255" s="246">
        <v>454.76</v>
      </c>
      <c r="E255" s="246">
        <v>40.54</v>
      </c>
      <c r="F255" s="248">
        <f t="shared" si="35"/>
        <v>-4.2448825582497296E-4</v>
      </c>
      <c r="G255" s="248">
        <f t="shared" si="36"/>
        <v>-4.0297853701271036E-3</v>
      </c>
      <c r="H255" s="248">
        <f t="shared" si="37"/>
        <v>-2.0923076923077266E-3</v>
      </c>
      <c r="I255" s="249">
        <f t="shared" si="38"/>
        <v>0.17876411368819101</v>
      </c>
      <c r="J255" s="249">
        <f t="shared" si="39"/>
        <v>0.12433555022622045</v>
      </c>
      <c r="K255" s="249">
        <f t="shared" si="40"/>
        <v>-2.5832031719332238E-2</v>
      </c>
      <c r="L255" s="250">
        <f t="shared" si="30"/>
        <v>117.87641136881919</v>
      </c>
      <c r="M255" s="250">
        <f t="shared" si="31"/>
        <v>112.43355502262217</v>
      </c>
      <c r="N255" s="250">
        <f t="shared" si="32"/>
        <v>97.416796828066794</v>
      </c>
      <c r="O255" s="248">
        <f t="shared" si="33"/>
        <v>4.8409537038137218E-2</v>
      </c>
      <c r="P255" s="247">
        <f t="shared" si="34"/>
        <v>0.21002142553364789</v>
      </c>
      <c r="Q255" s="251">
        <f t="shared" si="41"/>
        <v>1.178764113688191</v>
      </c>
      <c r="R255" s="251">
        <f t="shared" si="42"/>
        <v>1.2721508426497581</v>
      </c>
      <c r="S255" s="251">
        <f t="shared" si="43"/>
        <v>-7.3408534452606422E-2</v>
      </c>
      <c r="T255" s="252">
        <f>C255*'1. Share_Price_Analysis'!$E$11+T254*(1-'1. Share_Price_Analysis'!$E$11)</f>
        <v>203.18342331934295</v>
      </c>
      <c r="U255" s="253">
        <f t="shared" si="44"/>
        <v>209.98883850162818</v>
      </c>
    </row>
    <row r="256" spans="2:21" x14ac:dyDescent="0.2">
      <c r="B256" s="245">
        <v>45267</v>
      </c>
      <c r="C256" s="246">
        <v>214.17</v>
      </c>
      <c r="D256" s="246">
        <v>458.23</v>
      </c>
      <c r="E256" s="246">
        <v>40.814999999999998</v>
      </c>
      <c r="F256" s="248">
        <f t="shared" si="35"/>
        <v>1.0569527674231916E-2</v>
      </c>
      <c r="G256" s="248">
        <f t="shared" si="36"/>
        <v>7.6303984519308088E-3</v>
      </c>
      <c r="H256" s="248">
        <f t="shared" si="37"/>
        <v>6.783423778983666E-3</v>
      </c>
      <c r="I256" s="249">
        <f t="shared" si="38"/>
        <v>0.19122309360920986</v>
      </c>
      <c r="J256" s="249">
        <f t="shared" si="39"/>
        <v>0.13291467846811744</v>
      </c>
      <c r="K256" s="249">
        <f t="shared" si="40"/>
        <v>-1.9223837558572932E-2</v>
      </c>
      <c r="L256" s="250">
        <f t="shared" ref="L256:L319" si="45">(C256/$C$64)*100</f>
        <v>119.12230936092108</v>
      </c>
      <c r="M256" s="250">
        <f t="shared" ref="M256:M319" si="46">(D256/$D$64)*100</f>
        <v>113.29146784681188</v>
      </c>
      <c r="N256" s="250">
        <f t="shared" ref="N256:N319" si="47">(E256/$E$64)*100</f>
        <v>98.077616244142732</v>
      </c>
      <c r="O256" s="248">
        <f t="shared" ref="O256:O319" si="48">(1+I256)/(1+J256)-1</f>
        <v>5.1467613801186474E-2</v>
      </c>
      <c r="P256" s="247">
        <f t="shared" ref="P256:P319" si="49">(1+I256)/(1+K256)-1</f>
        <v>0.21457182507772354</v>
      </c>
      <c r="Q256" s="251">
        <f t="shared" si="41"/>
        <v>1.1912230936092099</v>
      </c>
      <c r="R256" s="251">
        <f t="shared" si="42"/>
        <v>1.2721508426497581</v>
      </c>
      <c r="S256" s="251">
        <f t="shared" si="43"/>
        <v>-6.3614900314796108E-2</v>
      </c>
      <c r="T256" s="252">
        <f>C256*'1. Share_Price_Analysis'!$E$11+T255*(1-'1. Share_Price_Analysis'!$E$11)</f>
        <v>203.29274249029478</v>
      </c>
      <c r="U256" s="253">
        <f t="shared" si="44"/>
        <v>210.15280561921139</v>
      </c>
    </row>
    <row r="257" spans="2:21" x14ac:dyDescent="0.2">
      <c r="B257" s="245">
        <v>45268</v>
      </c>
      <c r="C257" s="246">
        <v>216.03</v>
      </c>
      <c r="D257" s="246">
        <v>460.2</v>
      </c>
      <c r="E257" s="246">
        <v>40.965000000000003</v>
      </c>
      <c r="F257" s="248">
        <f t="shared" ref="F257:F320" si="50">C257/C256-1</f>
        <v>8.6846897324555083E-3</v>
      </c>
      <c r="G257" s="248">
        <f t="shared" ref="G257:G320" si="51">D257/D256 - 1</f>
        <v>4.2991510813346068E-3</v>
      </c>
      <c r="H257" s="248">
        <f t="shared" ref="H257:H320" si="52">E257/E256 - 1</f>
        <v>3.675119441381991E-3</v>
      </c>
      <c r="I257" s="249">
        <f t="shared" ref="I257:I320" si="53">(1+F257)*(1+I256)-1</f>
        <v>0.20156849657934162</v>
      </c>
      <c r="J257" s="249">
        <f t="shared" ref="J257:J320" si="54">(1+G257)*(1+J256)-1</f>
        <v>0.13778524983311358</v>
      </c>
      <c r="K257" s="249">
        <f t="shared" ref="K257:K320" si="55">(1+H257)*(1+K256)-1</f>
        <v>-1.5619368016340451E-2</v>
      </c>
      <c r="L257" s="250">
        <f t="shared" si="45"/>
        <v>120.15684965793427</v>
      </c>
      <c r="M257" s="250">
        <f t="shared" si="46"/>
        <v>113.77852498331148</v>
      </c>
      <c r="N257" s="250">
        <f t="shared" si="47"/>
        <v>98.438063198365981</v>
      </c>
      <c r="O257" s="248">
        <f t="shared" si="48"/>
        <v>5.6059126057033559E-2</v>
      </c>
      <c r="P257" s="247">
        <f t="shared" si="49"/>
        <v>0.22063402868666704</v>
      </c>
      <c r="Q257" s="251">
        <f t="shared" ref="Q257:Q320" si="56">Q256*(1+F257)</f>
        <v>1.2015684965793416</v>
      </c>
      <c r="R257" s="251">
        <f t="shared" ref="R257:R320" si="57">MAX(Q257,R256)</f>
        <v>1.2721508426497581</v>
      </c>
      <c r="S257" s="251">
        <f t="shared" ref="S257:S320" si="58">Q257/R257-1</f>
        <v>-5.5482686253935709E-2</v>
      </c>
      <c r="T257" s="252">
        <f>C257*'1. Share_Price_Analysis'!$E$11+T256*(1-'1. Share_Price_Analysis'!$E$11)</f>
        <v>203.41948137098836</v>
      </c>
      <c r="U257" s="253">
        <f t="shared" ref="U257:U320" si="59">C257*$L$5+U256*(1-$L$5)</f>
        <v>210.38328383022272</v>
      </c>
    </row>
    <row r="258" spans="2:21" x14ac:dyDescent="0.2">
      <c r="B258" s="245">
        <v>45271</v>
      </c>
      <c r="C258" s="246">
        <v>218.86</v>
      </c>
      <c r="D258" s="246">
        <v>461.99</v>
      </c>
      <c r="E258" s="246">
        <v>41.255000000000003</v>
      </c>
      <c r="F258" s="248">
        <f t="shared" si="50"/>
        <v>1.3100032402907136E-2</v>
      </c>
      <c r="G258" s="248">
        <f t="shared" si="51"/>
        <v>3.8896132116470472E-3</v>
      </c>
      <c r="H258" s="248">
        <f t="shared" si="52"/>
        <v>7.0792139631392637E-3</v>
      </c>
      <c r="I258" s="249">
        <f t="shared" si="53"/>
        <v>0.21730908281884331</v>
      </c>
      <c r="J258" s="249">
        <f t="shared" si="54"/>
        <v>0.14221079437288164</v>
      </c>
      <c r="K258" s="249">
        <f t="shared" si="55"/>
        <v>-8.6507269013579302E-3</v>
      </c>
      <c r="L258" s="250">
        <f t="shared" si="45"/>
        <v>121.73090828188444</v>
      </c>
      <c r="M258" s="250">
        <f t="shared" si="46"/>
        <v>114.2210794372883</v>
      </c>
      <c r="N258" s="250">
        <f t="shared" si="47"/>
        <v>99.134927309864224</v>
      </c>
      <c r="O258" s="248">
        <f t="shared" si="48"/>
        <v>6.5748186600874892E-2</v>
      </c>
      <c r="P258" s="247">
        <f t="shared" si="49"/>
        <v>0.22793158360213739</v>
      </c>
      <c r="Q258" s="251">
        <f t="shared" si="56"/>
        <v>1.2173090828188433</v>
      </c>
      <c r="R258" s="251">
        <f t="shared" si="57"/>
        <v>1.2721508426497581</v>
      </c>
      <c r="S258" s="251">
        <f t="shared" si="58"/>
        <v>-4.3109478838755488E-2</v>
      </c>
      <c r="T258" s="252">
        <f>C258*'1. Share_Price_Analysis'!$E$11+T257*(1-'1. Share_Price_Analysis'!$E$11)</f>
        <v>203.57311837227206</v>
      </c>
      <c r="U258" s="253">
        <f t="shared" si="59"/>
        <v>210.71570407217479</v>
      </c>
    </row>
    <row r="259" spans="2:21" x14ac:dyDescent="0.2">
      <c r="B259" s="245">
        <v>45272</v>
      </c>
      <c r="C259" s="246">
        <v>220.9</v>
      </c>
      <c r="D259" s="246">
        <v>464.1</v>
      </c>
      <c r="E259" s="246">
        <v>41.494999999999997</v>
      </c>
      <c r="F259" s="248">
        <f t="shared" si="50"/>
        <v>9.321027140637872E-3</v>
      </c>
      <c r="G259" s="248">
        <f t="shared" si="51"/>
        <v>4.5671984242083852E-3</v>
      </c>
      <c r="H259" s="248">
        <f t="shared" si="52"/>
        <v>5.8174766694945035E-3</v>
      </c>
      <c r="I259" s="249">
        <f t="shared" si="53"/>
        <v>0.22865565381834285</v>
      </c>
      <c r="J259" s="249">
        <f t="shared" si="54"/>
        <v>0.14742749771305519</v>
      </c>
      <c r="K259" s="249">
        <f t="shared" si="55"/>
        <v>-2.8835756337862728E-3</v>
      </c>
      <c r="L259" s="250">
        <f t="shared" si="45"/>
        <v>122.86556538183437</v>
      </c>
      <c r="M259" s="250">
        <f t="shared" si="46"/>
        <v>114.74274977130565</v>
      </c>
      <c r="N259" s="250">
        <f t="shared" si="47"/>
        <v>99.711642436621389</v>
      </c>
      <c r="O259" s="248">
        <f t="shared" si="48"/>
        <v>7.0791536953039635E-2</v>
      </c>
      <c r="P259" s="247">
        <f t="shared" si="49"/>
        <v>0.23220882115074959</v>
      </c>
      <c r="Q259" s="251">
        <f t="shared" si="56"/>
        <v>1.2286556538183429</v>
      </c>
      <c r="R259" s="251">
        <f t="shared" si="57"/>
        <v>1.2721508426497581</v>
      </c>
      <c r="S259" s="251">
        <f t="shared" si="58"/>
        <v>-3.4190276320392399E-2</v>
      </c>
      <c r="T259" s="252">
        <f>C259*'1. Share_Price_Analysis'!$E$11+T258*(1-'1. Share_Price_Analysis'!$E$11)</f>
        <v>203.74552515463751</v>
      </c>
      <c r="U259" s="253">
        <f t="shared" si="59"/>
        <v>211.11508822620715</v>
      </c>
    </row>
    <row r="260" spans="2:21" x14ac:dyDescent="0.2">
      <c r="B260" s="245">
        <v>45273</v>
      </c>
      <c r="C260" s="246">
        <v>223.67</v>
      </c>
      <c r="D260" s="246">
        <v>470.5</v>
      </c>
      <c r="E260" s="246">
        <v>42</v>
      </c>
      <c r="F260" s="248">
        <f t="shared" si="50"/>
        <v>1.2539610683567126E-2</v>
      </c>
      <c r="G260" s="248">
        <f t="shared" si="51"/>
        <v>1.3790131437190212E-2</v>
      </c>
      <c r="H260" s="248">
        <f t="shared" si="52"/>
        <v>1.2170140980841238E-2</v>
      </c>
      <c r="I260" s="249">
        <f t="shared" si="53"/>
        <v>0.2440625173813884</v>
      </c>
      <c r="J260" s="249">
        <f t="shared" si="54"/>
        <v>0.16325067372116453</v>
      </c>
      <c r="K260" s="249">
        <f t="shared" si="55"/>
        <v>9.251471825062918E-3</v>
      </c>
      <c r="L260" s="250">
        <f t="shared" si="45"/>
        <v>124.40625173813893</v>
      </c>
      <c r="M260" s="250">
        <f t="shared" si="46"/>
        <v>116.32506737211659</v>
      </c>
      <c r="N260" s="250">
        <f t="shared" si="47"/>
        <v>100.92514718250631</v>
      </c>
      <c r="O260" s="248">
        <f t="shared" si="48"/>
        <v>6.9470704368226999E-2</v>
      </c>
      <c r="P260" s="247">
        <f t="shared" si="49"/>
        <v>0.2326586109720592</v>
      </c>
      <c r="Q260" s="251">
        <f t="shared" si="56"/>
        <v>1.2440625173813884</v>
      </c>
      <c r="R260" s="251">
        <f t="shared" si="57"/>
        <v>1.2721508426497581</v>
      </c>
      <c r="S260" s="251">
        <f t="shared" si="58"/>
        <v>-2.2079398391046667E-2</v>
      </c>
      <c r="T260" s="252">
        <f>C260*'1. Share_Price_Analysis'!$E$11+T259*(1-'1. Share_Price_Analysis'!$E$11)</f>
        <v>203.9437786356859</v>
      </c>
      <c r="U260" s="253">
        <f t="shared" si="59"/>
        <v>211.60743770753237</v>
      </c>
    </row>
    <row r="261" spans="2:21" x14ac:dyDescent="0.2">
      <c r="B261" s="245">
        <v>45274</v>
      </c>
      <c r="C261" s="246">
        <v>224.76</v>
      </c>
      <c r="D261" s="246">
        <v>472.01</v>
      </c>
      <c r="E261" s="246">
        <v>42.695</v>
      </c>
      <c r="F261" s="248">
        <f t="shared" si="50"/>
        <v>4.873250771225468E-3</v>
      </c>
      <c r="G261" s="248">
        <f t="shared" si="51"/>
        <v>3.2093517534537153E-3</v>
      </c>
      <c r="H261" s="248">
        <f t="shared" si="52"/>
        <v>1.6547619047619033E-2</v>
      </c>
      <c r="I261" s="249">
        <f t="shared" si="53"/>
        <v>0.25012514600366997</v>
      </c>
      <c r="J261" s="249">
        <f t="shared" si="54"/>
        <v>0.16698395431057778</v>
      </c>
      <c r="K261" s="249">
        <f t="shared" si="55"/>
        <v>2.5952180704072791E-2</v>
      </c>
      <c r="L261" s="250">
        <f t="shared" si="45"/>
        <v>125.01251460036708</v>
      </c>
      <c r="M261" s="250">
        <f t="shared" si="46"/>
        <v>116.69839543105792</v>
      </c>
      <c r="N261" s="250">
        <f t="shared" si="47"/>
        <v>102.5952180704073</v>
      </c>
      <c r="O261" s="248">
        <f t="shared" si="48"/>
        <v>7.1244502879398874E-2</v>
      </c>
      <c r="P261" s="247">
        <f t="shared" si="49"/>
        <v>0.21850235275659302</v>
      </c>
      <c r="Q261" s="251">
        <f t="shared" si="56"/>
        <v>1.25012514600367</v>
      </c>
      <c r="R261" s="251">
        <f t="shared" si="57"/>
        <v>1.2721508426497581</v>
      </c>
      <c r="S261" s="251">
        <f t="shared" si="58"/>
        <v>-1.7313746065058533E-2</v>
      </c>
      <c r="T261" s="252">
        <f>C261*'1. Share_Price_Analysis'!$E$11+T260*(1-'1. Share_Price_Analysis'!$E$11)</f>
        <v>204.15090521642534</v>
      </c>
      <c r="U261" s="253">
        <f t="shared" si="59"/>
        <v>212.12322446409974</v>
      </c>
    </row>
    <row r="262" spans="2:21" x14ac:dyDescent="0.2">
      <c r="B262" s="245">
        <v>45275</v>
      </c>
      <c r="C262" s="246">
        <v>224.35</v>
      </c>
      <c r="D262" s="246">
        <v>469.33</v>
      </c>
      <c r="E262" s="246">
        <v>42.585000000000001</v>
      </c>
      <c r="F262" s="248">
        <f t="shared" si="50"/>
        <v>-1.8241680014237094E-3</v>
      </c>
      <c r="G262" s="248">
        <f t="shared" si="51"/>
        <v>-5.6778458083515115E-3</v>
      </c>
      <c r="H262" s="248">
        <f t="shared" si="52"/>
        <v>-2.576414100011748E-3</v>
      </c>
      <c r="I262" s="249">
        <f t="shared" si="53"/>
        <v>0.24784470771455491</v>
      </c>
      <c r="J262" s="249">
        <f t="shared" si="54"/>
        <v>0.16035799935718198</v>
      </c>
      <c r="K262" s="249">
        <f t="shared" si="55"/>
        <v>2.3308903039769069E-2</v>
      </c>
      <c r="L262" s="250">
        <f t="shared" si="45"/>
        <v>124.78447077145557</v>
      </c>
      <c r="M262" s="250">
        <f t="shared" si="46"/>
        <v>116.03579993571833</v>
      </c>
      <c r="N262" s="250">
        <f t="shared" si="47"/>
        <v>102.33089030397693</v>
      </c>
      <c r="O262" s="248">
        <f t="shared" si="48"/>
        <v>7.5396307351558001E-2</v>
      </c>
      <c r="P262" s="247">
        <f t="shared" si="49"/>
        <v>0.21942133407399833</v>
      </c>
      <c r="Q262" s="251">
        <f t="shared" si="56"/>
        <v>1.2478447077145549</v>
      </c>
      <c r="R262" s="251">
        <f t="shared" si="57"/>
        <v>1.2721508426497581</v>
      </c>
      <c r="S262" s="251">
        <f t="shared" si="58"/>
        <v>-1.9106330884925526E-2</v>
      </c>
      <c r="T262" s="252">
        <f>C262*'1. Share_Price_Analysis'!$E$11+T261*(1-'1. Share_Price_Analysis'!$E$11)</f>
        <v>204.35189123417237</v>
      </c>
      <c r="U262" s="253">
        <f t="shared" si="59"/>
        <v>212.60270585766443</v>
      </c>
    </row>
    <row r="263" spans="2:21" x14ac:dyDescent="0.2">
      <c r="B263" s="245">
        <v>45278</v>
      </c>
      <c r="C263" s="246">
        <v>222.7</v>
      </c>
      <c r="D263" s="246">
        <v>471.97</v>
      </c>
      <c r="E263" s="246">
        <v>42.354999999999997</v>
      </c>
      <c r="F263" s="248">
        <f t="shared" si="50"/>
        <v>-7.3545798974816723E-3</v>
      </c>
      <c r="G263" s="248">
        <f t="shared" si="51"/>
        <v>5.625039950567956E-3</v>
      </c>
      <c r="H263" s="248">
        <f t="shared" si="52"/>
        <v>-5.4009627803217608E-3</v>
      </c>
      <c r="I263" s="249">
        <f t="shared" si="53"/>
        <v>0.23866733411201846</v>
      </c>
      <c r="J263" s="249">
        <f t="shared" si="54"/>
        <v>0.16688505946052734</v>
      </c>
      <c r="K263" s="249">
        <f t="shared" si="55"/>
        <v>1.7782049741679407E-2</v>
      </c>
      <c r="L263" s="250">
        <f t="shared" si="45"/>
        <v>123.86673341120196</v>
      </c>
      <c r="M263" s="250">
        <f t="shared" si="46"/>
        <v>116.68850594605287</v>
      </c>
      <c r="N263" s="250">
        <f t="shared" si="47"/>
        <v>101.77820497416796</v>
      </c>
      <c r="O263" s="248">
        <f t="shared" si="48"/>
        <v>6.1516148543951266E-2</v>
      </c>
      <c r="P263" s="247">
        <f t="shared" si="49"/>
        <v>0.21702611519470349</v>
      </c>
      <c r="Q263" s="251">
        <f t="shared" si="56"/>
        <v>1.2386673341120185</v>
      </c>
      <c r="R263" s="251">
        <f t="shared" si="57"/>
        <v>1.2721508426497581</v>
      </c>
      <c r="S263" s="251">
        <f t="shared" si="58"/>
        <v>-2.6320391745366378E-2</v>
      </c>
      <c r="T263" s="252">
        <f>C263*'1. Share_Price_Analysis'!$E$11+T262*(1-'1. Share_Price_Analysis'!$E$11)</f>
        <v>204.53445948059854</v>
      </c>
      <c r="U263" s="253">
        <f t="shared" si="59"/>
        <v>212.99867817697171</v>
      </c>
    </row>
    <row r="264" spans="2:21" x14ac:dyDescent="0.2">
      <c r="B264" s="245">
        <v>45279</v>
      </c>
      <c r="C264" s="246">
        <v>224.69</v>
      </c>
      <c r="D264" s="246">
        <v>474.84</v>
      </c>
      <c r="E264" s="246">
        <v>42.744999999999997</v>
      </c>
      <c r="F264" s="248">
        <f t="shared" si="50"/>
        <v>8.9357880556804048E-3</v>
      </c>
      <c r="G264" s="248">
        <f t="shared" si="51"/>
        <v>6.0808949721380401E-3</v>
      </c>
      <c r="H264" s="248">
        <f t="shared" si="52"/>
        <v>9.2078857277770876E-3</v>
      </c>
      <c r="I264" s="249">
        <f t="shared" si="53"/>
        <v>0.24973580288113806</v>
      </c>
      <c r="J264" s="249">
        <f t="shared" si="54"/>
        <v>0.17398076495166381</v>
      </c>
      <c r="K264" s="249">
        <f t="shared" si="55"/>
        <v>2.7153670551483433E-2</v>
      </c>
      <c r="L264" s="250">
        <f t="shared" si="45"/>
        <v>124.97358028811392</v>
      </c>
      <c r="M264" s="250">
        <f t="shared" si="46"/>
        <v>117.39807649516649</v>
      </c>
      <c r="N264" s="250">
        <f t="shared" si="47"/>
        <v>102.71536705514836</v>
      </c>
      <c r="O264" s="248">
        <f t="shared" si="48"/>
        <v>6.4528346793308211E-2</v>
      </c>
      <c r="P264" s="247">
        <f t="shared" si="49"/>
        <v>0.21669798659255068</v>
      </c>
      <c r="Q264" s="251">
        <f t="shared" si="56"/>
        <v>1.2497358028811381</v>
      </c>
      <c r="R264" s="251">
        <f t="shared" si="57"/>
        <v>1.2721508426497581</v>
      </c>
      <c r="S264" s="251">
        <f t="shared" si="58"/>
        <v>-1.7619797131865123E-2</v>
      </c>
      <c r="T264" s="252">
        <f>C264*'1. Share_Price_Analysis'!$E$11+T263*(1-'1. Share_Price_Analysis'!$E$11)</f>
        <v>204.73501212258265</v>
      </c>
      <c r="U264" s="253">
        <f t="shared" si="59"/>
        <v>213.45716138571791</v>
      </c>
    </row>
    <row r="265" spans="2:21" x14ac:dyDescent="0.2">
      <c r="B265" s="245">
        <v>45280</v>
      </c>
      <c r="C265" s="246">
        <v>221.18</v>
      </c>
      <c r="D265" s="246">
        <v>468.26</v>
      </c>
      <c r="E265" s="246">
        <v>42.09</v>
      </c>
      <c r="F265" s="248">
        <f t="shared" si="50"/>
        <v>-1.5621522987226855E-2</v>
      </c>
      <c r="G265" s="248">
        <f t="shared" si="51"/>
        <v>-1.3857299300817139E-2</v>
      </c>
      <c r="H265" s="248">
        <f t="shared" si="52"/>
        <v>-1.5323429640893504E-2</v>
      </c>
      <c r="I265" s="249">
        <f t="shared" si="53"/>
        <v>0.23021302630846985</v>
      </c>
      <c r="J265" s="249">
        <f t="shared" si="54"/>
        <v>0.1577125621183264</v>
      </c>
      <c r="K265" s="249">
        <f t="shared" si="55"/>
        <v>1.1414153550402206E-2</v>
      </c>
      <c r="L265" s="250">
        <f t="shared" si="45"/>
        <v>123.02130263084712</v>
      </c>
      <c r="M265" s="250">
        <f t="shared" si="46"/>
        <v>115.77125621183275</v>
      </c>
      <c r="N265" s="250">
        <f t="shared" si="47"/>
        <v>101.14141535504024</v>
      </c>
      <c r="O265" s="248">
        <f t="shared" si="48"/>
        <v>6.262389004183011E-2</v>
      </c>
      <c r="P265" s="247">
        <f t="shared" si="49"/>
        <v>0.2163296528825609</v>
      </c>
      <c r="Q265" s="251">
        <f t="shared" si="56"/>
        <v>1.2302130263084698</v>
      </c>
      <c r="R265" s="251">
        <f t="shared" si="57"/>
        <v>1.2721508426497581</v>
      </c>
      <c r="S265" s="251">
        <f t="shared" si="58"/>
        <v>-3.2966072053166373E-2</v>
      </c>
      <c r="T265" s="252">
        <f>C265*'1. Share_Price_Analysis'!$E$11+T264*(1-'1. Share_Price_Analysis'!$E$11)</f>
        <v>204.89864384275597</v>
      </c>
      <c r="U265" s="253">
        <f t="shared" si="59"/>
        <v>213.7600178019643</v>
      </c>
    </row>
    <row r="266" spans="2:21" x14ac:dyDescent="0.2">
      <c r="B266" s="245">
        <v>45281</v>
      </c>
      <c r="C266" s="246">
        <v>223.28</v>
      </c>
      <c r="D266" s="246">
        <v>472.7</v>
      </c>
      <c r="E266" s="246">
        <v>42.534999999999997</v>
      </c>
      <c r="F266" s="248">
        <f t="shared" si="50"/>
        <v>9.4945293426167421E-3</v>
      </c>
      <c r="G266" s="248">
        <f t="shared" si="51"/>
        <v>9.4819117584248325E-3</v>
      </c>
      <c r="H266" s="248">
        <f t="shared" si="52"/>
        <v>1.0572582561178212E-2</v>
      </c>
      <c r="I266" s="249">
        <f t="shared" si="53"/>
        <v>0.24189331998442487</v>
      </c>
      <c r="J266" s="249">
        <f t="shared" si="54"/>
        <v>0.16868989047395222</v>
      </c>
      <c r="K266" s="249">
        <f t="shared" si="55"/>
        <v>2.2107413192357983E-2</v>
      </c>
      <c r="L266" s="250">
        <f t="shared" si="45"/>
        <v>124.18933199844264</v>
      </c>
      <c r="M266" s="250">
        <f t="shared" si="46"/>
        <v>116.86898904739536</v>
      </c>
      <c r="N266" s="250">
        <f t="shared" si="47"/>
        <v>102.21074131923584</v>
      </c>
      <c r="O266" s="248">
        <f t="shared" si="48"/>
        <v>6.2637171851281703E-2</v>
      </c>
      <c r="P266" s="247">
        <f t="shared" si="49"/>
        <v>0.21503210323620237</v>
      </c>
      <c r="Q266" s="251">
        <f t="shared" si="56"/>
        <v>1.2418933199844249</v>
      </c>
      <c r="R266" s="251">
        <f t="shared" si="57"/>
        <v>1.2721508426497581</v>
      </c>
      <c r="S266" s="251">
        <f t="shared" si="58"/>
        <v>-2.3784540048969349E-2</v>
      </c>
      <c r="T266" s="252">
        <f>C266*'1. Share_Price_Analysis'!$E$11+T265*(1-'1. Share_Price_Analysis'!$E$11)</f>
        <v>205.08154290899722</v>
      </c>
      <c r="U266" s="253">
        <f t="shared" si="59"/>
        <v>214.13335043718138</v>
      </c>
    </row>
    <row r="267" spans="2:21" x14ac:dyDescent="0.2">
      <c r="B267" s="245">
        <v>45282</v>
      </c>
      <c r="C267" s="246">
        <v>224.93</v>
      </c>
      <c r="D267" s="246">
        <v>473.65</v>
      </c>
      <c r="E267" s="246">
        <v>42.8</v>
      </c>
      <c r="F267" s="248">
        <f t="shared" si="50"/>
        <v>7.3898244356862541E-3</v>
      </c>
      <c r="G267" s="248">
        <f t="shared" si="51"/>
        <v>2.0097313306537412E-3</v>
      </c>
      <c r="H267" s="248">
        <f t="shared" si="52"/>
        <v>6.2301633948513846E-3</v>
      </c>
      <c r="I267" s="249">
        <f t="shared" si="53"/>
        <v>0.25107069358696132</v>
      </c>
      <c r="J267" s="249">
        <f t="shared" si="54"/>
        <v>0.17103864316265605</v>
      </c>
      <c r="K267" s="249">
        <f t="shared" si="55"/>
        <v>2.8475309383635183E-2</v>
      </c>
      <c r="L267" s="250">
        <f t="shared" si="45"/>
        <v>125.10706935869626</v>
      </c>
      <c r="M267" s="250">
        <f t="shared" si="46"/>
        <v>117.10386431626571</v>
      </c>
      <c r="N267" s="250">
        <f t="shared" si="47"/>
        <v>102.84753093836356</v>
      </c>
      <c r="O267" s="248">
        <f t="shared" si="48"/>
        <v>6.8342792009118192E-2</v>
      </c>
      <c r="P267" s="247">
        <f t="shared" si="49"/>
        <v>0.21643240452386503</v>
      </c>
      <c r="Q267" s="251">
        <f t="shared" si="56"/>
        <v>1.2510706935869613</v>
      </c>
      <c r="R267" s="251">
        <f t="shared" si="57"/>
        <v>1.2721508426497581</v>
      </c>
      <c r="S267" s="251">
        <f t="shared" si="58"/>
        <v>-1.6570479188528497E-2</v>
      </c>
      <c r="T267" s="252">
        <f>C267*'1. Share_Price_Analysis'!$E$11+T266*(1-'1. Share_Price_Analysis'!$E$11)</f>
        <v>205.27903999447986</v>
      </c>
      <c r="U267" s="253">
        <f t="shared" si="59"/>
        <v>214.5567484592527</v>
      </c>
    </row>
    <row r="268" spans="2:21" x14ac:dyDescent="0.2">
      <c r="B268" s="245">
        <v>45286</v>
      </c>
      <c r="C268" s="246">
        <v>225.65</v>
      </c>
      <c r="D268" s="246">
        <v>475.65</v>
      </c>
      <c r="E268" s="246">
        <v>43</v>
      </c>
      <c r="F268" s="248">
        <f t="shared" si="50"/>
        <v>3.2009958653802517E-3</v>
      </c>
      <c r="G268" s="248">
        <f t="shared" si="51"/>
        <v>4.2225271825186983E-3</v>
      </c>
      <c r="H268" s="248">
        <f t="shared" si="52"/>
        <v>4.6728971962617383E-3</v>
      </c>
      <c r="I268" s="249">
        <f t="shared" si="53"/>
        <v>0.25507536570443157</v>
      </c>
      <c r="J268" s="249">
        <f t="shared" si="54"/>
        <v>0.17598338566519023</v>
      </c>
      <c r="K268" s="249">
        <f t="shared" si="55"/>
        <v>3.3281268773278416E-2</v>
      </c>
      <c r="L268" s="250">
        <f t="shared" si="45"/>
        <v>125.50753657044331</v>
      </c>
      <c r="M268" s="250">
        <f t="shared" si="46"/>
        <v>117.59833856651913</v>
      </c>
      <c r="N268" s="250">
        <f t="shared" si="47"/>
        <v>103.32812687732789</v>
      </c>
      <c r="O268" s="248">
        <f t="shared" si="48"/>
        <v>6.7256035249599444E-2</v>
      </c>
      <c r="P268" s="247">
        <f t="shared" si="49"/>
        <v>0.21465026380906838</v>
      </c>
      <c r="Q268" s="251">
        <f t="shared" si="56"/>
        <v>1.2550753657044316</v>
      </c>
      <c r="R268" s="251">
        <f t="shared" si="57"/>
        <v>1.2721508426497581</v>
      </c>
      <c r="S268" s="251">
        <f t="shared" si="58"/>
        <v>-1.3422525358518067E-2</v>
      </c>
      <c r="T268" s="252">
        <f>C268*'1. Share_Price_Analysis'!$E$11+T267*(1-'1. Share_Price_Analysis'!$E$11)</f>
        <v>205.48173611393779</v>
      </c>
      <c r="U268" s="253">
        <f t="shared" si="59"/>
        <v>214.99177793143886</v>
      </c>
    </row>
    <row r="269" spans="2:21" x14ac:dyDescent="0.2">
      <c r="B269" s="245">
        <v>45287</v>
      </c>
      <c r="C269" s="246">
        <v>225.82</v>
      </c>
      <c r="D269" s="246">
        <v>476.51</v>
      </c>
      <c r="E269" s="246">
        <v>43.104999999999997</v>
      </c>
      <c r="F269" s="248">
        <f t="shared" si="50"/>
        <v>7.5337912696649134E-4</v>
      </c>
      <c r="G269" s="248">
        <f t="shared" si="51"/>
        <v>1.8080521391778959E-3</v>
      </c>
      <c r="H269" s="248">
        <f t="shared" si="52"/>
        <v>2.4418604651161857E-3</v>
      </c>
      <c r="I269" s="249">
        <f t="shared" si="53"/>
        <v>0.25602091328772314</v>
      </c>
      <c r="J269" s="249">
        <f t="shared" si="54"/>
        <v>0.17810962494127991</v>
      </c>
      <c r="K269" s="249">
        <f t="shared" si="55"/>
        <v>3.580439745284103E-2</v>
      </c>
      <c r="L269" s="250">
        <f t="shared" si="45"/>
        <v>125.60209132877247</v>
      </c>
      <c r="M269" s="250">
        <f t="shared" si="46"/>
        <v>117.81096249412811</v>
      </c>
      <c r="N269" s="250">
        <f t="shared" si="47"/>
        <v>103.58043974528415</v>
      </c>
      <c r="O269" s="248">
        <f t="shared" si="48"/>
        <v>6.6132460593662179E-2</v>
      </c>
      <c r="P269" s="247">
        <f t="shared" si="49"/>
        <v>0.21260434535363926</v>
      </c>
      <c r="Q269" s="251">
        <f t="shared" si="56"/>
        <v>1.2560209132877231</v>
      </c>
      <c r="R269" s="251">
        <f t="shared" si="57"/>
        <v>1.2721508426497581</v>
      </c>
      <c r="S269" s="251">
        <f t="shared" si="58"/>
        <v>-1.267925848198781E-2</v>
      </c>
      <c r="T269" s="252">
        <f>C269*'1. Share_Price_Analysis'!$E$11+T268*(1-'1. Share_Price_Analysis'!$E$11)</f>
        <v>205.68410689887372</v>
      </c>
      <c r="U269" s="253">
        <f t="shared" si="59"/>
        <v>215.41641409099029</v>
      </c>
    </row>
    <row r="270" spans="2:21" x14ac:dyDescent="0.2">
      <c r="B270" s="245">
        <v>45288</v>
      </c>
      <c r="C270" s="246">
        <v>225.44</v>
      </c>
      <c r="D270" s="246">
        <v>476.69</v>
      </c>
      <c r="E270" s="246">
        <v>42.94</v>
      </c>
      <c r="F270" s="248">
        <f t="shared" si="50"/>
        <v>-1.6827561774864774E-3</v>
      </c>
      <c r="G270" s="248">
        <f t="shared" si="51"/>
        <v>3.7774653207689468E-4</v>
      </c>
      <c r="H270" s="248">
        <f t="shared" si="52"/>
        <v>-3.8278621969608517E-3</v>
      </c>
      <c r="I270" s="249">
        <f t="shared" si="53"/>
        <v>0.25390733633683604</v>
      </c>
      <c r="J270" s="249">
        <f t="shared" si="54"/>
        <v>0.17855465176650798</v>
      </c>
      <c r="K270" s="249">
        <f t="shared" si="55"/>
        <v>3.1839480956385557E-2</v>
      </c>
      <c r="L270" s="250">
        <f t="shared" si="45"/>
        <v>125.39073363368374</v>
      </c>
      <c r="M270" s="250">
        <f t="shared" si="46"/>
        <v>117.85546517665091</v>
      </c>
      <c r="N270" s="250">
        <f t="shared" si="47"/>
        <v>103.18394809563858</v>
      </c>
      <c r="O270" s="248">
        <f t="shared" si="48"/>
        <v>6.3936521278316283E-2</v>
      </c>
      <c r="P270" s="247">
        <f t="shared" si="49"/>
        <v>0.2152155053949103</v>
      </c>
      <c r="Q270" s="251">
        <f t="shared" si="56"/>
        <v>1.253907336336836</v>
      </c>
      <c r="R270" s="251">
        <f t="shared" si="57"/>
        <v>1.2721508426497581</v>
      </c>
      <c r="S270" s="251">
        <f t="shared" si="58"/>
        <v>-1.4340678558937836E-2</v>
      </c>
      <c r="T270" s="252">
        <f>C270*'1. Share_Price_Analysis'!$E$11+T269*(1-'1. Share_Price_Analysis'!$E$11)</f>
        <v>205.88068294963122</v>
      </c>
      <c r="U270" s="253">
        <f t="shared" si="59"/>
        <v>215.80949589134363</v>
      </c>
    </row>
    <row r="271" spans="2:21" x14ac:dyDescent="0.2">
      <c r="B271" s="245">
        <v>45289</v>
      </c>
      <c r="C271" s="246">
        <v>227.01</v>
      </c>
      <c r="D271" s="246">
        <v>475.31</v>
      </c>
      <c r="E271" s="246">
        <v>42.77</v>
      </c>
      <c r="F271" s="248">
        <f t="shared" si="50"/>
        <v>6.9641589779985136E-3</v>
      </c>
      <c r="G271" s="248">
        <f t="shared" si="51"/>
        <v>-2.8949631836203693E-3</v>
      </c>
      <c r="H271" s="248">
        <f t="shared" si="52"/>
        <v>-3.959012575686871E-3</v>
      </c>
      <c r="I271" s="249">
        <f t="shared" si="53"/>
        <v>0.26263974637076437</v>
      </c>
      <c r="J271" s="249">
        <f t="shared" si="54"/>
        <v>0.17514277943975931</v>
      </c>
      <c r="K271" s="249">
        <f t="shared" si="55"/>
        <v>2.7754415475188976E-2</v>
      </c>
      <c r="L271" s="250">
        <f t="shared" si="45"/>
        <v>126.26397463707659</v>
      </c>
      <c r="M271" s="250">
        <f t="shared" si="46"/>
        <v>117.51427794397607</v>
      </c>
      <c r="N271" s="250">
        <f t="shared" si="47"/>
        <v>102.77544154751892</v>
      </c>
      <c r="O271" s="248">
        <f t="shared" si="48"/>
        <v>7.4456456238210178E-2</v>
      </c>
      <c r="P271" s="247">
        <f t="shared" si="49"/>
        <v>0.22854227367826452</v>
      </c>
      <c r="Q271" s="251">
        <f t="shared" si="56"/>
        <v>1.2626397463707644</v>
      </c>
      <c r="R271" s="251">
        <f t="shared" si="57"/>
        <v>1.2721508426497581</v>
      </c>
      <c r="S271" s="251">
        <f t="shared" si="58"/>
        <v>-7.4763903462761183E-3</v>
      </c>
      <c r="T271" s="252">
        <f>C271*'1. Share_Price_Analysis'!$E$11+T270*(1-'1. Share_Price_Analysis'!$E$11)</f>
        <v>206.09092491033141</v>
      </c>
      <c r="U271" s="253">
        <f t="shared" si="59"/>
        <v>216.24873134658506</v>
      </c>
    </row>
    <row r="272" spans="2:21" x14ac:dyDescent="0.2">
      <c r="B272" s="245">
        <v>45293</v>
      </c>
      <c r="C272" s="246">
        <v>223.6</v>
      </c>
      <c r="D272" s="246">
        <v>472.65</v>
      </c>
      <c r="E272" s="246">
        <v>42.695</v>
      </c>
      <c r="F272" s="248">
        <f t="shared" si="50"/>
        <v>-1.5021364697590411E-2</v>
      </c>
      <c r="G272" s="248">
        <f t="shared" si="51"/>
        <v>-5.5963476467989492E-3</v>
      </c>
      <c r="H272" s="248">
        <f t="shared" si="52"/>
        <v>-1.753565583352934E-3</v>
      </c>
      <c r="I272" s="249">
        <f t="shared" si="53"/>
        <v>0.24367317425885604</v>
      </c>
      <c r="J272" s="249">
        <f t="shared" si="54"/>
        <v>0.16856627191138873</v>
      </c>
      <c r="K272" s="249">
        <f t="shared" si="55"/>
        <v>2.5952180704072569E-2</v>
      </c>
      <c r="L272" s="250">
        <f t="shared" si="45"/>
        <v>124.36731742588576</v>
      </c>
      <c r="M272" s="250">
        <f t="shared" si="46"/>
        <v>116.85662719113901</v>
      </c>
      <c r="N272" s="250">
        <f t="shared" si="47"/>
        <v>102.5952180704073</v>
      </c>
      <c r="O272" s="248">
        <f t="shared" si="48"/>
        <v>6.4272693943679515E-2</v>
      </c>
      <c r="P272" s="247">
        <f t="shared" si="49"/>
        <v>0.21221358816681857</v>
      </c>
      <c r="Q272" s="251">
        <f t="shared" si="56"/>
        <v>1.243673174258856</v>
      </c>
      <c r="R272" s="251">
        <f t="shared" si="57"/>
        <v>1.2721508426497581</v>
      </c>
      <c r="S272" s="251">
        <f t="shared" si="58"/>
        <v>-2.238544945785359E-2</v>
      </c>
      <c r="T272" s="252">
        <f>C272*'1. Share_Price_Analysis'!$E$11+T271*(1-'1. Share_Price_Analysis'!$E$11)</f>
        <v>206.26514456296496</v>
      </c>
      <c r="U272" s="253">
        <f t="shared" si="59"/>
        <v>216.53701639181705</v>
      </c>
    </row>
    <row r="273" spans="2:21" x14ac:dyDescent="0.2">
      <c r="B273" s="245">
        <v>45294</v>
      </c>
      <c r="C273" s="246">
        <v>219.33</v>
      </c>
      <c r="D273" s="246">
        <v>468.79</v>
      </c>
      <c r="E273" s="246">
        <v>42.234999999999999</v>
      </c>
      <c r="F273" s="248">
        <f t="shared" si="50"/>
        <v>-1.909660107334521E-2</v>
      </c>
      <c r="G273" s="248">
        <f t="shared" si="51"/>
        <v>-8.1667195599279818E-3</v>
      </c>
      <c r="H273" s="248">
        <f t="shared" si="52"/>
        <v>-1.0774095327321764E-2</v>
      </c>
      <c r="I273" s="249">
        <f t="shared" si="53"/>
        <v>0.21992324378441364</v>
      </c>
      <c r="J273" s="249">
        <f t="shared" si="54"/>
        <v>0.15902291888149778</v>
      </c>
      <c r="K273" s="249">
        <f t="shared" si="55"/>
        <v>1.4898474107893245E-2</v>
      </c>
      <c r="L273" s="250">
        <f t="shared" si="45"/>
        <v>121.99232437844152</v>
      </c>
      <c r="M273" s="250">
        <f t="shared" si="46"/>
        <v>115.9022918881499</v>
      </c>
      <c r="N273" s="250">
        <f t="shared" si="47"/>
        <v>101.48984741078937</v>
      </c>
      <c r="O273" s="248">
        <f t="shared" si="48"/>
        <v>5.2544538948105624E-2</v>
      </c>
      <c r="P273" s="247">
        <f t="shared" si="49"/>
        <v>0.20201505363060024</v>
      </c>
      <c r="Q273" s="251">
        <f t="shared" si="56"/>
        <v>1.2199232437844136</v>
      </c>
      <c r="R273" s="251">
        <f t="shared" si="57"/>
        <v>1.2721508426497581</v>
      </c>
      <c r="S273" s="251">
        <f t="shared" si="58"/>
        <v>-4.1054564533054783E-2</v>
      </c>
      <c r="T273" s="252">
        <f>C273*'1. Share_Price_Analysis'!$E$11+T272*(1-'1. Share_Price_Analysis'!$E$11)</f>
        <v>206.39514312452749</v>
      </c>
      <c r="U273" s="253">
        <f t="shared" si="59"/>
        <v>216.64654516076538</v>
      </c>
    </row>
    <row r="274" spans="2:21" x14ac:dyDescent="0.2">
      <c r="B274" s="245">
        <v>45295</v>
      </c>
      <c r="C274" s="246">
        <v>220.68</v>
      </c>
      <c r="D274" s="246">
        <v>467.28</v>
      </c>
      <c r="E274" s="246">
        <v>42.1</v>
      </c>
      <c r="F274" s="248">
        <f t="shared" si="50"/>
        <v>6.1551087402544891E-3</v>
      </c>
      <c r="G274" s="248">
        <f t="shared" si="51"/>
        <v>-3.2210584696773514E-3</v>
      </c>
      <c r="H274" s="248">
        <f t="shared" si="52"/>
        <v>-3.1964010891439854E-3</v>
      </c>
      <c r="I274" s="249">
        <f t="shared" si="53"/>
        <v>0.22743200400467067</v>
      </c>
      <c r="J274" s="249">
        <f t="shared" si="54"/>
        <v>0.15528963829208431</v>
      </c>
      <c r="K274" s="249">
        <f t="shared" si="55"/>
        <v>1.1654451519884201E-2</v>
      </c>
      <c r="L274" s="250">
        <f t="shared" si="45"/>
        <v>122.74320040046722</v>
      </c>
      <c r="M274" s="250">
        <f t="shared" si="46"/>
        <v>115.52896382920859</v>
      </c>
      <c r="N274" s="250">
        <f t="shared" si="47"/>
        <v>101.16544515198846</v>
      </c>
      <c r="O274" s="248">
        <f t="shared" si="48"/>
        <v>6.2445263353385183E-2</v>
      </c>
      <c r="P274" s="247">
        <f t="shared" si="49"/>
        <v>0.21329175407730139</v>
      </c>
      <c r="Q274" s="251">
        <f t="shared" si="56"/>
        <v>1.2274320040046707</v>
      </c>
      <c r="R274" s="251">
        <f t="shared" si="57"/>
        <v>1.2721508426497581</v>
      </c>
      <c r="S274" s="251">
        <f t="shared" si="58"/>
        <v>-3.5152151101785045E-2</v>
      </c>
      <c r="T274" s="252">
        <f>C274*'1. Share_Price_Analysis'!$E$11+T273*(1-'1. Share_Price_Analysis'!$E$11)</f>
        <v>206.53728100388543</v>
      </c>
      <c r="U274" s="253">
        <f t="shared" si="59"/>
        <v>216.80471986034323</v>
      </c>
    </row>
    <row r="275" spans="2:21" x14ac:dyDescent="0.2">
      <c r="B275" s="245">
        <v>45296</v>
      </c>
      <c r="C275" s="246">
        <v>221.62</v>
      </c>
      <c r="D275" s="246">
        <v>467.92</v>
      </c>
      <c r="E275" s="246">
        <v>42.17</v>
      </c>
      <c r="F275" s="248">
        <f t="shared" si="50"/>
        <v>4.2595613558094048E-3</v>
      </c>
      <c r="G275" s="248">
        <f t="shared" si="51"/>
        <v>1.3696284882727117E-3</v>
      </c>
      <c r="H275" s="248">
        <f t="shared" si="52"/>
        <v>1.6627078384798821E-3</v>
      </c>
      <c r="I275" s="249">
        <f t="shared" si="53"/>
        <v>0.23266032593581265</v>
      </c>
      <c r="J275" s="249">
        <f t="shared" si="54"/>
        <v>0.15687195589289549</v>
      </c>
      <c r="K275" s="249">
        <f t="shared" si="55"/>
        <v>1.3336537306259277E-2</v>
      </c>
      <c r="L275" s="250">
        <f t="shared" si="45"/>
        <v>123.2660325935814</v>
      </c>
      <c r="M275" s="250">
        <f t="shared" si="46"/>
        <v>115.68719558928969</v>
      </c>
      <c r="N275" s="250">
        <f t="shared" si="47"/>
        <v>101.33365373062597</v>
      </c>
      <c r="O275" s="248">
        <f t="shared" si="48"/>
        <v>6.5511459290602536E-2</v>
      </c>
      <c r="P275" s="247">
        <f t="shared" si="49"/>
        <v>0.21643726497080551</v>
      </c>
      <c r="Q275" s="251">
        <f t="shared" si="56"/>
        <v>1.2326603259358127</v>
      </c>
      <c r="R275" s="251">
        <f t="shared" si="57"/>
        <v>1.2721508426497581</v>
      </c>
      <c r="S275" s="251">
        <f t="shared" si="58"/>
        <v>-3.1042322490382301E-2</v>
      </c>
      <c r="T275" s="252">
        <f>C275*'1. Share_Price_Analysis'!$E$11+T274*(1-'1. Share_Price_Analysis'!$E$11)</f>
        <v>206.68735780981692</v>
      </c>
      <c r="U275" s="253">
        <f t="shared" si="59"/>
        <v>216.99355437562389</v>
      </c>
    </row>
    <row r="276" spans="2:21" x14ac:dyDescent="0.2">
      <c r="B276" s="245">
        <v>45299</v>
      </c>
      <c r="C276" s="246">
        <v>224</v>
      </c>
      <c r="D276" s="246">
        <v>474.6</v>
      </c>
      <c r="E276" s="246">
        <v>42.35</v>
      </c>
      <c r="F276" s="248">
        <f t="shared" si="50"/>
        <v>1.073910296904601E-2</v>
      </c>
      <c r="G276" s="248">
        <f t="shared" si="51"/>
        <v>1.4275944605915525E-2</v>
      </c>
      <c r="H276" s="248">
        <f t="shared" si="52"/>
        <v>4.268437277685555E-3</v>
      </c>
      <c r="I276" s="249">
        <f t="shared" si="53"/>
        <v>0.24589799210189511</v>
      </c>
      <c r="J276" s="249">
        <f t="shared" si="54"/>
        <v>0.17338739585135965</v>
      </c>
      <c r="K276" s="249">
        <f t="shared" si="55"/>
        <v>1.7661900756938076E-2</v>
      </c>
      <c r="L276" s="250">
        <f t="shared" si="45"/>
        <v>124.58979921018967</v>
      </c>
      <c r="M276" s="250">
        <f t="shared" si="46"/>
        <v>117.3387395851361</v>
      </c>
      <c r="N276" s="250">
        <f t="shared" si="47"/>
        <v>101.76619007569386</v>
      </c>
      <c r="O276" s="248">
        <f t="shared" si="48"/>
        <v>6.1795956311534228E-2</v>
      </c>
      <c r="P276" s="247">
        <f t="shared" si="49"/>
        <v>0.22427496909847444</v>
      </c>
      <c r="Q276" s="251">
        <f t="shared" si="56"/>
        <v>1.2458979921018951</v>
      </c>
      <c r="R276" s="251">
        <f t="shared" si="57"/>
        <v>1.2721508426497581</v>
      </c>
      <c r="S276" s="251">
        <f t="shared" si="58"/>
        <v>-2.0636586218958919E-2</v>
      </c>
      <c r="T276" s="252">
        <f>C276*'1. Share_Price_Analysis'!$E$11+T275*(1-'1. Share_Price_Analysis'!$E$11)</f>
        <v>206.85962290623667</v>
      </c>
      <c r="U276" s="253">
        <f t="shared" si="59"/>
        <v>217.26831694912883</v>
      </c>
    </row>
    <row r="277" spans="2:21" x14ac:dyDescent="0.2">
      <c r="B277" s="245">
        <v>45300</v>
      </c>
      <c r="C277" s="246">
        <v>223.42</v>
      </c>
      <c r="D277" s="246">
        <v>473.88</v>
      </c>
      <c r="E277" s="246">
        <v>41.865000000000002</v>
      </c>
      <c r="F277" s="248">
        <f t="shared" si="50"/>
        <v>-2.5892857142857384E-3</v>
      </c>
      <c r="G277" s="248">
        <f t="shared" si="51"/>
        <v>-1.517067003792727E-3</v>
      </c>
      <c r="H277" s="248">
        <f t="shared" si="52"/>
        <v>-1.1452184179456926E-2</v>
      </c>
      <c r="I277" s="249">
        <f t="shared" si="53"/>
        <v>0.24267200622948848</v>
      </c>
      <c r="J277" s="249">
        <f t="shared" si="54"/>
        <v>0.17160728855044738</v>
      </c>
      <c r="K277" s="249">
        <f t="shared" si="55"/>
        <v>6.0074492370534305E-3</v>
      </c>
      <c r="L277" s="250">
        <f t="shared" si="45"/>
        <v>124.26720062294901</v>
      </c>
      <c r="M277" s="250">
        <f t="shared" si="46"/>
        <v>117.16072885504487</v>
      </c>
      <c r="N277" s="250">
        <f t="shared" si="47"/>
        <v>100.60074492370539</v>
      </c>
      <c r="O277" s="248">
        <f t="shared" si="48"/>
        <v>6.0655749049636665E-2</v>
      </c>
      <c r="P277" s="247">
        <f t="shared" si="49"/>
        <v>0.23525129676914336</v>
      </c>
      <c r="Q277" s="251">
        <f t="shared" si="56"/>
        <v>1.2426720062294885</v>
      </c>
      <c r="R277" s="251">
        <f t="shared" si="57"/>
        <v>1.2721508426497581</v>
      </c>
      <c r="S277" s="251">
        <f t="shared" si="58"/>
        <v>-2.317243791535617E-2</v>
      </c>
      <c r="T277" s="252">
        <f>C277*'1. Share_Price_Analysis'!$E$11+T276*(1-'1. Share_Price_Analysis'!$E$11)</f>
        <v>207.02440277781642</v>
      </c>
      <c r="U277" s="253">
        <f t="shared" si="59"/>
        <v>217.509559421712</v>
      </c>
    </row>
    <row r="278" spans="2:21" x14ac:dyDescent="0.2">
      <c r="B278" s="245">
        <v>45301</v>
      </c>
      <c r="C278" s="246">
        <v>226.11</v>
      </c>
      <c r="D278" s="246">
        <v>476.56</v>
      </c>
      <c r="E278" s="246">
        <v>41.81</v>
      </c>
      <c r="F278" s="248">
        <f t="shared" si="50"/>
        <v>1.2040103840300853E-2</v>
      </c>
      <c r="G278" s="248">
        <f t="shared" si="51"/>
        <v>5.655440195830197E-3</v>
      </c>
      <c r="H278" s="248">
        <f t="shared" si="52"/>
        <v>-1.3137465663441983E-3</v>
      </c>
      <c r="I278" s="249">
        <f t="shared" si="53"/>
        <v>0.25763390622392657</v>
      </c>
      <c r="J278" s="249">
        <f t="shared" si="54"/>
        <v>0.17823324350384318</v>
      </c>
      <c r="K278" s="249">
        <f t="shared" si="55"/>
        <v>4.6858104049014582E-3</v>
      </c>
      <c r="L278" s="250">
        <f t="shared" si="45"/>
        <v>125.76339062239282</v>
      </c>
      <c r="M278" s="250">
        <f t="shared" si="46"/>
        <v>117.82332435038445</v>
      </c>
      <c r="N278" s="250">
        <f t="shared" si="47"/>
        <v>100.46858104049021</v>
      </c>
      <c r="O278" s="248">
        <f t="shared" si="48"/>
        <v>6.7389596379033412E-2</v>
      </c>
      <c r="P278" s="247">
        <f t="shared" si="49"/>
        <v>0.2517683570320195</v>
      </c>
      <c r="Q278" s="251">
        <f t="shared" si="56"/>
        <v>1.2576339062239266</v>
      </c>
      <c r="R278" s="251">
        <f t="shared" si="57"/>
        <v>1.2721508426497581</v>
      </c>
      <c r="S278" s="251">
        <f t="shared" si="58"/>
        <v>-1.1411332633789129E-2</v>
      </c>
      <c r="T278" s="252">
        <f>C278*'1. Share_Price_Analysis'!$E$11+T277*(1-'1. Share_Price_Analysis'!$E$11)</f>
        <v>207.21430921783815</v>
      </c>
      <c r="U278" s="253">
        <f t="shared" si="59"/>
        <v>217.84683160125272</v>
      </c>
    </row>
    <row r="279" spans="2:21" x14ac:dyDescent="0.2">
      <c r="B279" s="245">
        <v>45302</v>
      </c>
      <c r="C279" s="246">
        <v>224.36</v>
      </c>
      <c r="D279" s="246">
        <v>476.35</v>
      </c>
      <c r="E279" s="246">
        <v>41.685000000000002</v>
      </c>
      <c r="F279" s="248">
        <f t="shared" si="50"/>
        <v>-7.7395957719693653E-3</v>
      </c>
      <c r="G279" s="248">
        <f t="shared" si="51"/>
        <v>-4.4065804935367048E-4</v>
      </c>
      <c r="H279" s="248">
        <f t="shared" si="52"/>
        <v>-2.9897153790958697E-3</v>
      </c>
      <c r="I279" s="249">
        <f t="shared" si="53"/>
        <v>0.24790032816063046</v>
      </c>
      <c r="J279" s="249">
        <f t="shared" si="54"/>
        <v>0.17771404554107706</v>
      </c>
      <c r="K279" s="249">
        <f t="shared" si="55"/>
        <v>1.6820857863746319E-3</v>
      </c>
      <c r="L279" s="250">
        <f t="shared" si="45"/>
        <v>124.7900328160632</v>
      </c>
      <c r="M279" s="250">
        <f t="shared" si="46"/>
        <v>117.77140455410785</v>
      </c>
      <c r="N279" s="250">
        <f t="shared" si="47"/>
        <v>100.1682085786375</v>
      </c>
      <c r="O279" s="248">
        <f t="shared" si="48"/>
        <v>5.9595351592591106E-2</v>
      </c>
      <c r="P279" s="247">
        <f t="shared" si="49"/>
        <v>0.24580477765154529</v>
      </c>
      <c r="Q279" s="251">
        <f t="shared" si="56"/>
        <v>1.2479003281606305</v>
      </c>
      <c r="R279" s="251">
        <f t="shared" si="57"/>
        <v>1.2721508426497581</v>
      </c>
      <c r="S279" s="251">
        <f t="shared" si="58"/>
        <v>-1.9062609303953537E-2</v>
      </c>
      <c r="T279" s="252">
        <f>C279*'1. Share_Price_Analysis'!$E$11+T278*(1-'1. Share_Price_Analysis'!$E$11)</f>
        <v>207.38491310621788</v>
      </c>
      <c r="U279" s="253">
        <f t="shared" si="59"/>
        <v>218.10224996983106</v>
      </c>
    </row>
    <row r="280" spans="2:21" x14ac:dyDescent="0.2">
      <c r="B280" s="245">
        <v>45303</v>
      </c>
      <c r="C280" s="246">
        <v>223.96</v>
      </c>
      <c r="D280" s="246">
        <v>476.68</v>
      </c>
      <c r="E280" s="246">
        <v>41.725000000000001</v>
      </c>
      <c r="F280" s="248">
        <f t="shared" si="50"/>
        <v>-1.7828489926903224E-3</v>
      </c>
      <c r="G280" s="248">
        <f t="shared" si="51"/>
        <v>6.9276792274575172E-4</v>
      </c>
      <c r="H280" s="248">
        <f t="shared" si="52"/>
        <v>9.5957778577426822E-4</v>
      </c>
      <c r="I280" s="249">
        <f t="shared" si="53"/>
        <v>0.24567551031759138</v>
      </c>
      <c r="J280" s="249">
        <f t="shared" si="54"/>
        <v>0.17852992805399515</v>
      </c>
      <c r="K280" s="249">
        <f t="shared" si="55"/>
        <v>2.6432776643032785E-3</v>
      </c>
      <c r="L280" s="250">
        <f t="shared" si="45"/>
        <v>124.56755103175929</v>
      </c>
      <c r="M280" s="250">
        <f t="shared" si="46"/>
        <v>117.85299280539965</v>
      </c>
      <c r="N280" s="250">
        <f t="shared" si="47"/>
        <v>100.26432776643037</v>
      </c>
      <c r="O280" s="248">
        <f t="shared" si="48"/>
        <v>5.6974015394303912E-2</v>
      </c>
      <c r="P280" s="247">
        <f t="shared" si="49"/>
        <v>0.24239152455042756</v>
      </c>
      <c r="Q280" s="251">
        <f t="shared" si="56"/>
        <v>1.2456755103175914</v>
      </c>
      <c r="R280" s="251">
        <f t="shared" si="57"/>
        <v>1.2721508426497581</v>
      </c>
      <c r="S280" s="251">
        <f t="shared" si="58"/>
        <v>-2.0811472542848208E-2</v>
      </c>
      <c r="T280" s="252">
        <f>C280*'1. Share_Price_Analysis'!$E$11+T279*(1-'1. Share_Price_Analysis'!$E$11)</f>
        <v>207.54983934396697</v>
      </c>
      <c r="U280" s="253">
        <f t="shared" si="59"/>
        <v>218.33196565728866</v>
      </c>
    </row>
    <row r="281" spans="2:21" x14ac:dyDescent="0.2">
      <c r="B281" s="245">
        <v>45307</v>
      </c>
      <c r="C281" s="246">
        <v>222.38</v>
      </c>
      <c r="D281" s="246">
        <v>474.93</v>
      </c>
      <c r="E281" s="246">
        <v>41.244999999999997</v>
      </c>
      <c r="F281" s="248">
        <f t="shared" si="50"/>
        <v>-7.0548312198607244E-3</v>
      </c>
      <c r="G281" s="248">
        <f t="shared" si="51"/>
        <v>-3.671225979692827E-3</v>
      </c>
      <c r="H281" s="248">
        <f t="shared" si="52"/>
        <v>-1.1503894547633453E-2</v>
      </c>
      <c r="I281" s="249">
        <f t="shared" si="53"/>
        <v>0.23688747983758685</v>
      </c>
      <c r="J281" s="249">
        <f t="shared" si="54"/>
        <v>0.17420327836427774</v>
      </c>
      <c r="K281" s="249">
        <f t="shared" si="55"/>
        <v>-8.8910248708404804E-3</v>
      </c>
      <c r="L281" s="250">
        <f t="shared" si="45"/>
        <v>123.68874798375884</v>
      </c>
      <c r="M281" s="250">
        <f t="shared" si="46"/>
        <v>117.4203278364279</v>
      </c>
      <c r="N281" s="250">
        <f t="shared" si="47"/>
        <v>99.110897512916011</v>
      </c>
      <c r="O281" s="248">
        <f t="shared" si="48"/>
        <v>5.3384454487839017E-2</v>
      </c>
      <c r="P281" s="247">
        <f t="shared" si="49"/>
        <v>0.24798333066895895</v>
      </c>
      <c r="Q281" s="251">
        <f t="shared" si="56"/>
        <v>1.2368874798375868</v>
      </c>
      <c r="R281" s="251">
        <f t="shared" si="57"/>
        <v>1.2721508426497581</v>
      </c>
      <c r="S281" s="251">
        <f t="shared" si="58"/>
        <v>-2.7719482336482471E-2</v>
      </c>
      <c r="T281" s="252">
        <f>C281*'1. Share_Price_Analysis'!$E$11+T280*(1-'1. Share_Price_Analysis'!$E$11)</f>
        <v>207.6974031315892</v>
      </c>
      <c r="U281" s="253">
        <f t="shared" si="59"/>
        <v>218.49071210210087</v>
      </c>
    </row>
    <row r="282" spans="2:21" x14ac:dyDescent="0.2">
      <c r="B282" s="245">
        <v>45308</v>
      </c>
      <c r="C282" s="246">
        <v>221.26</v>
      </c>
      <c r="D282" s="246">
        <v>472.29</v>
      </c>
      <c r="E282" s="246">
        <v>40.945</v>
      </c>
      <c r="F282" s="248">
        <f t="shared" si="50"/>
        <v>-5.0364241388614062E-3</v>
      </c>
      <c r="G282" s="248">
        <f t="shared" si="51"/>
        <v>-5.5587139157349252E-3</v>
      </c>
      <c r="H282" s="248">
        <f t="shared" si="52"/>
        <v>-7.2736089222935618E-3</v>
      </c>
      <c r="I282" s="249">
        <f t="shared" si="53"/>
        <v>0.23065798987707731</v>
      </c>
      <c r="J282" s="249">
        <f t="shared" si="54"/>
        <v>0.1676762182609326</v>
      </c>
      <c r="K282" s="249">
        <f t="shared" si="55"/>
        <v>-1.6099963955305108E-2</v>
      </c>
      <c r="L282" s="250">
        <f t="shared" si="45"/>
        <v>123.06579898770789</v>
      </c>
      <c r="M282" s="250">
        <f t="shared" si="46"/>
        <v>116.76762182609339</v>
      </c>
      <c r="N282" s="250">
        <f t="shared" si="47"/>
        <v>98.390003604469527</v>
      </c>
      <c r="O282" s="248">
        <f t="shared" si="48"/>
        <v>5.3937701762861945E-2</v>
      </c>
      <c r="P282" s="247">
        <f t="shared" si="49"/>
        <v>0.2507957564717207</v>
      </c>
      <c r="Q282" s="251">
        <f t="shared" si="56"/>
        <v>1.2306579898770773</v>
      </c>
      <c r="R282" s="251">
        <f t="shared" si="57"/>
        <v>1.2721508426497581</v>
      </c>
      <c r="S282" s="251">
        <f t="shared" si="58"/>
        <v>-3.2616299405387683E-2</v>
      </c>
      <c r="T282" s="252">
        <f>C282*'1. Share_Price_Analysis'!$E$11+T281*(1-'1. Share_Price_Analysis'!$E$11)</f>
        <v>207.83235434421022</v>
      </c>
      <c r="U282" s="253">
        <f t="shared" si="59"/>
        <v>218.59931162750868</v>
      </c>
    </row>
    <row r="283" spans="2:21" x14ac:dyDescent="0.2">
      <c r="B283" s="245">
        <v>45309</v>
      </c>
      <c r="C283" s="246">
        <v>225.12</v>
      </c>
      <c r="D283" s="246">
        <v>476.49</v>
      </c>
      <c r="E283" s="246">
        <v>41.075000000000003</v>
      </c>
      <c r="F283" s="248">
        <f t="shared" si="50"/>
        <v>1.7445539184669734E-2</v>
      </c>
      <c r="G283" s="248">
        <f t="shared" si="51"/>
        <v>8.8928412627833353E-3</v>
      </c>
      <c r="H283" s="248">
        <f t="shared" si="52"/>
        <v>3.1749908413727379E-3</v>
      </c>
      <c r="I283" s="249">
        <f t="shared" si="53"/>
        <v>0.25212748206240465</v>
      </c>
      <c r="J283" s="249">
        <f t="shared" si="54"/>
        <v>0.17806017751625425</v>
      </c>
      <c r="K283" s="249">
        <f t="shared" si="55"/>
        <v>-1.297609035203684E-2</v>
      </c>
      <c r="L283" s="250">
        <f t="shared" si="45"/>
        <v>125.21274820624062</v>
      </c>
      <c r="M283" s="250">
        <f t="shared" si="46"/>
        <v>117.80601775162557</v>
      </c>
      <c r="N283" s="250">
        <f t="shared" si="47"/>
        <v>98.702390964796351</v>
      </c>
      <c r="O283" s="248">
        <f t="shared" si="48"/>
        <v>6.2872258955658067E-2</v>
      </c>
      <c r="P283" s="247">
        <f t="shared" si="49"/>
        <v>0.26858880501587312</v>
      </c>
      <c r="Q283" s="251">
        <f t="shared" si="56"/>
        <v>1.2521274820624047</v>
      </c>
      <c r="R283" s="251">
        <f t="shared" si="57"/>
        <v>1.2721508426497581</v>
      </c>
      <c r="S283" s="251">
        <f t="shared" si="58"/>
        <v>-1.5739769150053706E-2</v>
      </c>
      <c r="T283" s="252">
        <f>C283*'1. Share_Price_Analysis'!$E$11+T282*(1-'1. Share_Price_Analysis'!$E$11)</f>
        <v>208.00437071889471</v>
      </c>
      <c r="U283" s="253">
        <f t="shared" si="59"/>
        <v>218.85502489701815</v>
      </c>
    </row>
    <row r="284" spans="2:21" x14ac:dyDescent="0.2">
      <c r="B284" s="245">
        <v>45310</v>
      </c>
      <c r="C284" s="246">
        <v>226.08</v>
      </c>
      <c r="D284" s="246">
        <v>482.43</v>
      </c>
      <c r="E284" s="246">
        <v>41.115000000000002</v>
      </c>
      <c r="F284" s="248">
        <f t="shared" si="50"/>
        <v>4.2643923240939241E-3</v>
      </c>
      <c r="G284" s="248">
        <f t="shared" si="51"/>
        <v>1.2466158786123449E-2</v>
      </c>
      <c r="H284" s="248">
        <f t="shared" si="52"/>
        <v>9.738283627509503E-4</v>
      </c>
      <c r="I284" s="249">
        <f t="shared" si="53"/>
        <v>0.2574670448856986</v>
      </c>
      <c r="J284" s="249">
        <f t="shared" si="54"/>
        <v>0.1927460627487807</v>
      </c>
      <c r="K284" s="249">
        <f t="shared" si="55"/>
        <v>-1.2014898474108304E-2</v>
      </c>
      <c r="L284" s="250">
        <f t="shared" si="45"/>
        <v>125.74670448857002</v>
      </c>
      <c r="M284" s="250">
        <f t="shared" si="46"/>
        <v>119.27460627487822</v>
      </c>
      <c r="N284" s="250">
        <f t="shared" si="47"/>
        <v>98.798510152589216</v>
      </c>
      <c r="O284" s="248">
        <f t="shared" si="48"/>
        <v>5.4262163723066914E-2</v>
      </c>
      <c r="P284" s="247">
        <f t="shared" si="49"/>
        <v>0.27275911645186346</v>
      </c>
      <c r="Q284" s="251">
        <f t="shared" si="56"/>
        <v>1.2574670448856986</v>
      </c>
      <c r="R284" s="251">
        <f t="shared" si="57"/>
        <v>1.2721508426497581</v>
      </c>
      <c r="S284" s="251">
        <f t="shared" si="58"/>
        <v>-1.1542497376706207E-2</v>
      </c>
      <c r="T284" s="252">
        <f>C284*'1. Share_Price_Analysis'!$E$11+T283*(1-'1. Share_Price_Analysis'!$E$11)</f>
        <v>208.1842277266669</v>
      </c>
      <c r="U284" s="253">
        <f t="shared" si="59"/>
        <v>219.13835725399784</v>
      </c>
    </row>
    <row r="285" spans="2:21" x14ac:dyDescent="0.2">
      <c r="B285" s="245">
        <v>45313</v>
      </c>
      <c r="C285" s="246">
        <v>227.28</v>
      </c>
      <c r="D285" s="246">
        <v>483.45</v>
      </c>
      <c r="E285" s="246">
        <v>41.234999999999999</v>
      </c>
      <c r="F285" s="248">
        <f t="shared" si="50"/>
        <v>5.3078556263268517E-3</v>
      </c>
      <c r="G285" s="248">
        <f t="shared" si="51"/>
        <v>2.1142963746034749E-3</v>
      </c>
      <c r="H285" s="248">
        <f t="shared" si="52"/>
        <v>2.9186428310834511E-3</v>
      </c>
      <c r="I285" s="249">
        <f t="shared" si="53"/>
        <v>0.26414149841481582</v>
      </c>
      <c r="J285" s="249">
        <f t="shared" si="54"/>
        <v>0.19526788142507301</v>
      </c>
      <c r="K285" s="249">
        <f t="shared" si="55"/>
        <v>-9.1313228403224755E-3</v>
      </c>
      <c r="L285" s="250">
        <f t="shared" si="45"/>
        <v>126.41414984148173</v>
      </c>
      <c r="M285" s="250">
        <f t="shared" si="46"/>
        <v>119.52678814250748</v>
      </c>
      <c r="N285" s="250">
        <f t="shared" si="47"/>
        <v>99.086867715967799</v>
      </c>
      <c r="O285" s="248">
        <f t="shared" si="48"/>
        <v>5.762190891269281E-2</v>
      </c>
      <c r="P285" s="247">
        <f t="shared" si="49"/>
        <v>0.27579115936783283</v>
      </c>
      <c r="Q285" s="251">
        <f t="shared" si="56"/>
        <v>1.2641414984148158</v>
      </c>
      <c r="R285" s="251">
        <f t="shared" si="57"/>
        <v>1.2721508426497581</v>
      </c>
      <c r="S285" s="251">
        <f t="shared" si="58"/>
        <v>-6.295907660022193E-3</v>
      </c>
      <c r="T285" s="252">
        <f>C285*'1. Share_Price_Analysis'!$E$11+T284*(1-'1. Share_Price_Analysis'!$E$11)</f>
        <v>208.37423541097868</v>
      </c>
      <c r="U285" s="253">
        <f t="shared" si="59"/>
        <v>219.45763736168419</v>
      </c>
    </row>
    <row r="286" spans="2:21" x14ac:dyDescent="0.2">
      <c r="B286" s="245">
        <v>45314</v>
      </c>
      <c r="C286" s="246">
        <v>222.8</v>
      </c>
      <c r="D286" s="246">
        <v>484.86</v>
      </c>
      <c r="E286" s="246">
        <v>41.37</v>
      </c>
      <c r="F286" s="248">
        <f t="shared" si="50"/>
        <v>-1.9711369236184439E-2</v>
      </c>
      <c r="G286" s="248">
        <f t="shared" si="51"/>
        <v>2.9165373875272849E-3</v>
      </c>
      <c r="H286" s="248">
        <f t="shared" si="52"/>
        <v>3.2739177882865622E-3</v>
      </c>
      <c r="I286" s="249">
        <f t="shared" si="53"/>
        <v>0.23922353857277789</v>
      </c>
      <c r="J286" s="249">
        <f t="shared" si="54"/>
        <v>0.19875392488935972</v>
      </c>
      <c r="K286" s="249">
        <f t="shared" si="55"/>
        <v>-5.8873002523134321E-3</v>
      </c>
      <c r="L286" s="250">
        <f t="shared" si="45"/>
        <v>123.92235385727794</v>
      </c>
      <c r="M286" s="250">
        <f t="shared" si="46"/>
        <v>119.87539248893613</v>
      </c>
      <c r="N286" s="250">
        <f t="shared" si="47"/>
        <v>99.4112699747687</v>
      </c>
      <c r="O286" s="248">
        <f t="shared" si="48"/>
        <v>3.3759734039789047E-2</v>
      </c>
      <c r="P286" s="247">
        <f t="shared" si="49"/>
        <v>0.24656242585705046</v>
      </c>
      <c r="Q286" s="251">
        <f t="shared" si="56"/>
        <v>1.2392235385727779</v>
      </c>
      <c r="R286" s="251">
        <f t="shared" si="57"/>
        <v>1.2721508426497581</v>
      </c>
      <c r="S286" s="251">
        <f t="shared" si="58"/>
        <v>-2.5883175935643044E-2</v>
      </c>
      <c r="T286" s="252">
        <f>C286*'1. Share_Price_Analysis'!$E$11+T285*(1-'1. Share_Price_Analysis'!$E$11)</f>
        <v>208.51777535713811</v>
      </c>
      <c r="U286" s="253">
        <f t="shared" si="59"/>
        <v>219.58871040632405</v>
      </c>
    </row>
    <row r="287" spans="2:21" x14ac:dyDescent="0.2">
      <c r="B287" s="245">
        <v>45315</v>
      </c>
      <c r="C287" s="246">
        <v>219.8</v>
      </c>
      <c r="D287" s="246">
        <v>485.39</v>
      </c>
      <c r="E287" s="246">
        <v>40.81</v>
      </c>
      <c r="F287" s="248">
        <f t="shared" si="50"/>
        <v>-1.3464991023339312E-2</v>
      </c>
      <c r="G287" s="248">
        <f t="shared" si="51"/>
        <v>1.0930990388977602E-3</v>
      </c>
      <c r="H287" s="248">
        <f t="shared" si="52"/>
        <v>-1.3536379018612377E-2</v>
      </c>
      <c r="I287" s="249">
        <f t="shared" si="53"/>
        <v>0.22253740474998462</v>
      </c>
      <c r="J287" s="249">
        <f t="shared" si="54"/>
        <v>0.2000642816525311</v>
      </c>
      <c r="K287" s="249">
        <f t="shared" si="55"/>
        <v>-1.9343986543314151E-2</v>
      </c>
      <c r="L287" s="250">
        <f t="shared" si="45"/>
        <v>122.25374047499862</v>
      </c>
      <c r="M287" s="250">
        <f t="shared" si="46"/>
        <v>120.00642816525328</v>
      </c>
      <c r="N287" s="250">
        <f t="shared" si="47"/>
        <v>98.065601345668625</v>
      </c>
      <c r="O287" s="248">
        <f t="shared" si="48"/>
        <v>1.8726599433912972E-2</v>
      </c>
      <c r="P287" s="247">
        <f t="shared" si="49"/>
        <v>0.2466526365760997</v>
      </c>
      <c r="Q287" s="251">
        <f t="shared" si="56"/>
        <v>1.2225374047499846</v>
      </c>
      <c r="R287" s="251">
        <f t="shared" si="57"/>
        <v>1.2721508426497581</v>
      </c>
      <c r="S287" s="251">
        <f t="shared" si="58"/>
        <v>-3.8999650227353411E-2</v>
      </c>
      <c r="T287" s="252">
        <f>C287*'1. Share_Price_Analysis'!$E$11+T286*(1-'1. Share_Price_Analysis'!$E$11)</f>
        <v>208.63003629885816</v>
      </c>
      <c r="U287" s="253">
        <f t="shared" si="59"/>
        <v>219.59699627274273</v>
      </c>
    </row>
    <row r="288" spans="2:21" x14ac:dyDescent="0.2">
      <c r="B288" s="245">
        <v>45316</v>
      </c>
      <c r="C288" s="246">
        <v>223.41</v>
      </c>
      <c r="D288" s="246">
        <v>488.03</v>
      </c>
      <c r="E288" s="246">
        <v>41.24</v>
      </c>
      <c r="F288" s="248">
        <f t="shared" si="50"/>
        <v>1.6424021838034486E-2</v>
      </c>
      <c r="G288" s="248">
        <f t="shared" si="51"/>
        <v>5.4389254001936393E-3</v>
      </c>
      <c r="H288" s="248">
        <f t="shared" si="52"/>
        <v>1.0536633178142685E-2</v>
      </c>
      <c r="I288" s="249">
        <f t="shared" si="53"/>
        <v>0.24261638578341227</v>
      </c>
      <c r="J288" s="249">
        <f t="shared" si="54"/>
        <v>0.20659134175587623</v>
      </c>
      <c r="K288" s="249">
        <f t="shared" si="55"/>
        <v>-9.0111738555812559E-3</v>
      </c>
      <c r="L288" s="250">
        <f t="shared" si="45"/>
        <v>124.2616385783414</v>
      </c>
      <c r="M288" s="250">
        <f t="shared" si="46"/>
        <v>120.65913417558779</v>
      </c>
      <c r="N288" s="250">
        <f t="shared" si="47"/>
        <v>99.098882614441905</v>
      </c>
      <c r="O288" s="248">
        <f t="shared" si="48"/>
        <v>2.9856872646799371E-2</v>
      </c>
      <c r="P288" s="247">
        <f t="shared" si="49"/>
        <v>0.25391563759400393</v>
      </c>
      <c r="Q288" s="251">
        <f t="shared" si="56"/>
        <v>1.2426163857834123</v>
      </c>
      <c r="R288" s="251">
        <f t="shared" si="57"/>
        <v>1.2721508426497581</v>
      </c>
      <c r="S288" s="251">
        <f t="shared" si="58"/>
        <v>-2.3216159496328714E-2</v>
      </c>
      <c r="T288" s="252">
        <f>C288*'1. Share_Price_Analysis'!$E$11+T287*(1-'1. Share_Price_Analysis'!$E$11)</f>
        <v>208.77710061429244</v>
      </c>
      <c r="U288" s="253">
        <f t="shared" si="59"/>
        <v>219.74652583067439</v>
      </c>
    </row>
    <row r="289" spans="2:21" x14ac:dyDescent="0.2">
      <c r="B289" s="245">
        <v>45317</v>
      </c>
      <c r="C289" s="246">
        <v>222.36</v>
      </c>
      <c r="D289" s="246">
        <v>487.41</v>
      </c>
      <c r="E289" s="246">
        <v>41.255000000000003</v>
      </c>
      <c r="F289" s="248">
        <f t="shared" si="50"/>
        <v>-4.6998791459647027E-3</v>
      </c>
      <c r="G289" s="248">
        <f t="shared" si="51"/>
        <v>-1.2704137040754349E-3</v>
      </c>
      <c r="H289" s="248">
        <f t="shared" si="52"/>
        <v>3.6372453928223969E-4</v>
      </c>
      <c r="I289" s="249">
        <f t="shared" si="53"/>
        <v>0.23677623894543487</v>
      </c>
      <c r="J289" s="249">
        <f t="shared" si="54"/>
        <v>0.20505847158009072</v>
      </c>
      <c r="K289" s="249">
        <f t="shared" si="55"/>
        <v>-8.6507269013580412E-3</v>
      </c>
      <c r="L289" s="250">
        <f t="shared" si="45"/>
        <v>123.67762389454364</v>
      </c>
      <c r="M289" s="250">
        <f t="shared" si="46"/>
        <v>120.50584715800925</v>
      </c>
      <c r="N289" s="250">
        <f t="shared" si="47"/>
        <v>99.134927309864224</v>
      </c>
      <c r="O289" s="248">
        <f t="shared" si="48"/>
        <v>2.6320521462958935E-2</v>
      </c>
      <c r="P289" s="247">
        <f t="shared" si="49"/>
        <v>0.24756861431861088</v>
      </c>
      <c r="Q289" s="251">
        <f t="shared" si="56"/>
        <v>1.2367762389454349</v>
      </c>
      <c r="R289" s="251">
        <f t="shared" si="57"/>
        <v>1.2721508426497581</v>
      </c>
      <c r="S289" s="251">
        <f t="shared" si="58"/>
        <v>-2.7806925498427226E-2</v>
      </c>
      <c r="T289" s="252">
        <f>C289*'1. Share_Price_Analysis'!$E$11+T288*(1-'1. Share_Price_Analysis'!$E$11)</f>
        <v>208.91225384201093</v>
      </c>
      <c r="U289" s="253">
        <f t="shared" si="59"/>
        <v>219.84901501378519</v>
      </c>
    </row>
    <row r="290" spans="2:21" x14ac:dyDescent="0.2">
      <c r="B290" s="245">
        <v>45320</v>
      </c>
      <c r="C290" s="246">
        <v>229.37</v>
      </c>
      <c r="D290" s="246">
        <v>491.27</v>
      </c>
      <c r="E290" s="246">
        <v>41.46</v>
      </c>
      <c r="F290" s="248">
        <f t="shared" si="50"/>
        <v>3.1525454218384485E-2</v>
      </c>
      <c r="G290" s="248">
        <f t="shared" si="51"/>
        <v>7.9194107630125021E-3</v>
      </c>
      <c r="H290" s="248">
        <f t="shared" si="52"/>
        <v>4.9690946551932402E-3</v>
      </c>
      <c r="I290" s="249">
        <f t="shared" si="53"/>
        <v>0.27576617164469486</v>
      </c>
      <c r="J290" s="249">
        <f t="shared" si="54"/>
        <v>0.21460182460998145</v>
      </c>
      <c r="K290" s="249">
        <f t="shared" si="55"/>
        <v>-3.7246185269739218E-3</v>
      </c>
      <c r="L290" s="250">
        <f t="shared" si="45"/>
        <v>127.57661716446967</v>
      </c>
      <c r="M290" s="250">
        <f t="shared" si="46"/>
        <v>121.46018246099833</v>
      </c>
      <c r="N290" s="250">
        <f t="shared" si="47"/>
        <v>99.627538147302658</v>
      </c>
      <c r="O290" s="248">
        <f t="shared" si="48"/>
        <v>5.0357529352760277E-2</v>
      </c>
      <c r="P290" s="247">
        <f t="shared" si="49"/>
        <v>0.28053567855750128</v>
      </c>
      <c r="Q290" s="251">
        <f t="shared" si="56"/>
        <v>1.2757661716446949</v>
      </c>
      <c r="R290" s="251">
        <f t="shared" si="57"/>
        <v>1.2757661716446949</v>
      </c>
      <c r="S290" s="251">
        <f t="shared" si="58"/>
        <v>0</v>
      </c>
      <c r="T290" s="252">
        <f>C290*'1. Share_Price_Analysis'!$E$11+T289*(1-'1. Share_Price_Analysis'!$E$11)</f>
        <v>209.1158135052745</v>
      </c>
      <c r="U290" s="253">
        <f t="shared" si="59"/>
        <v>220.22238697402892</v>
      </c>
    </row>
    <row r="291" spans="2:21" x14ac:dyDescent="0.2">
      <c r="B291" s="245">
        <v>45321</v>
      </c>
      <c r="C291" s="246">
        <v>231.05</v>
      </c>
      <c r="D291" s="246">
        <v>490.89</v>
      </c>
      <c r="E291" s="246">
        <v>41.65</v>
      </c>
      <c r="F291" s="248">
        <f t="shared" si="50"/>
        <v>7.3244103413698802E-3</v>
      </c>
      <c r="G291" s="248">
        <f t="shared" si="51"/>
        <v>-7.7350540436016413E-4</v>
      </c>
      <c r="H291" s="248">
        <f t="shared" si="52"/>
        <v>4.5827303424987864E-3</v>
      </c>
      <c r="I291" s="249">
        <f t="shared" si="53"/>
        <v>0.28511040658545905</v>
      </c>
      <c r="J291" s="249">
        <f t="shared" si="54"/>
        <v>0.21366232353449988</v>
      </c>
      <c r="K291" s="249">
        <f t="shared" si="55"/>
        <v>8.4104289318709391E-4</v>
      </c>
      <c r="L291" s="250">
        <f t="shared" si="45"/>
        <v>128.51104065854608</v>
      </c>
      <c r="M291" s="250">
        <f t="shared" si="46"/>
        <v>121.36623235345019</v>
      </c>
      <c r="N291" s="250">
        <f t="shared" si="47"/>
        <v>100.08410428931876</v>
      </c>
      <c r="O291" s="248">
        <f t="shared" si="48"/>
        <v>5.8869820431505016E-2</v>
      </c>
      <c r="P291" s="247">
        <f t="shared" si="49"/>
        <v>0.28403048187404334</v>
      </c>
      <c r="Q291" s="251">
        <f t="shared" si="56"/>
        <v>1.2851104065854591</v>
      </c>
      <c r="R291" s="251">
        <f t="shared" si="57"/>
        <v>1.2851104065854591</v>
      </c>
      <c r="S291" s="251">
        <f t="shared" si="58"/>
        <v>0</v>
      </c>
      <c r="T291" s="252">
        <f>C291*'1. Share_Price_Analysis'!$E$11+T290*(1-'1. Share_Price_Analysis'!$E$11)</f>
        <v>209.33406411716231</v>
      </c>
      <c r="U291" s="253">
        <f t="shared" si="59"/>
        <v>220.64699924955721</v>
      </c>
    </row>
    <row r="292" spans="2:21" x14ac:dyDescent="0.2">
      <c r="B292" s="245">
        <v>45322</v>
      </c>
      <c r="C292" s="246">
        <v>226.01</v>
      </c>
      <c r="D292" s="246">
        <v>482.88</v>
      </c>
      <c r="E292" s="246">
        <v>41.104999999999997</v>
      </c>
      <c r="F292" s="248">
        <f t="shared" si="50"/>
        <v>-2.1813460289980657E-2</v>
      </c>
      <c r="G292" s="248">
        <f t="shared" si="51"/>
        <v>-1.6317301228381043E-2</v>
      </c>
      <c r="H292" s="248">
        <f t="shared" si="52"/>
        <v>-1.3085234093637488E-2</v>
      </c>
      <c r="I292" s="249">
        <f t="shared" si="53"/>
        <v>0.25707770176316624</v>
      </c>
      <c r="J292" s="249">
        <f t="shared" si="54"/>
        <v>0.19385862981185054</v>
      </c>
      <c r="K292" s="249">
        <f t="shared" si="55"/>
        <v>-1.2255196443590521E-2</v>
      </c>
      <c r="L292" s="250">
        <f t="shared" si="45"/>
        <v>125.70777017631683</v>
      </c>
      <c r="M292" s="250">
        <f t="shared" si="46"/>
        <v>119.38586298118526</v>
      </c>
      <c r="N292" s="250">
        <f t="shared" si="47"/>
        <v>98.774480355640975</v>
      </c>
      <c r="O292" s="248">
        <f t="shared" si="48"/>
        <v>5.2953566169956723E-2</v>
      </c>
      <c r="P292" s="247">
        <f t="shared" si="49"/>
        <v>0.27267457873431922</v>
      </c>
      <c r="Q292" s="251">
        <f t="shared" si="56"/>
        <v>1.2570777017631662</v>
      </c>
      <c r="R292" s="251">
        <f t="shared" si="57"/>
        <v>1.2851104065854591</v>
      </c>
      <c r="S292" s="251">
        <f t="shared" si="58"/>
        <v>-2.1813460289980657E-2</v>
      </c>
      <c r="T292" s="252">
        <f>C292*'1. Share_Price_Analysis'!$E$11+T291*(1-'1. Share_Price_Analysis'!$E$11)</f>
        <v>209.49999382743931</v>
      </c>
      <c r="U292" s="253">
        <f t="shared" si="59"/>
        <v>220.85731300447657</v>
      </c>
    </row>
    <row r="293" spans="2:21" x14ac:dyDescent="0.2">
      <c r="B293" s="245">
        <v>45323</v>
      </c>
      <c r="C293" s="246">
        <v>230.36</v>
      </c>
      <c r="D293" s="246">
        <v>489.2</v>
      </c>
      <c r="E293" s="246">
        <v>41.79</v>
      </c>
      <c r="F293" s="248">
        <f t="shared" si="50"/>
        <v>1.9246935976284352E-2</v>
      </c>
      <c r="G293" s="248">
        <f t="shared" si="51"/>
        <v>1.3088137839628811E-2</v>
      </c>
      <c r="H293" s="248">
        <f t="shared" si="52"/>
        <v>1.6664639338280107E-2</v>
      </c>
      <c r="I293" s="249">
        <f t="shared" si="53"/>
        <v>0.28127259580621655</v>
      </c>
      <c r="J293" s="249">
        <f t="shared" si="54"/>
        <v>0.20948401611985834</v>
      </c>
      <c r="K293" s="249">
        <f t="shared" si="55"/>
        <v>4.2052144659374679E-3</v>
      </c>
      <c r="L293" s="250">
        <f t="shared" si="45"/>
        <v>128.12725958062185</v>
      </c>
      <c r="M293" s="250">
        <f t="shared" si="46"/>
        <v>120.94840161198603</v>
      </c>
      <c r="N293" s="250">
        <f t="shared" si="47"/>
        <v>100.42052144659377</v>
      </c>
      <c r="O293" s="248">
        <f t="shared" si="48"/>
        <v>5.9354715506421352E-2</v>
      </c>
      <c r="P293" s="247">
        <f t="shared" si="49"/>
        <v>0.27590713267470002</v>
      </c>
      <c r="Q293" s="251">
        <f t="shared" si="56"/>
        <v>1.2812725958062166</v>
      </c>
      <c r="R293" s="251">
        <f t="shared" si="57"/>
        <v>1.2851104065854591</v>
      </c>
      <c r="S293" s="251">
        <f t="shared" si="58"/>
        <v>-2.9863665873187673E-3</v>
      </c>
      <c r="T293" s="252">
        <f>C293*'1. Share_Price_Analysis'!$E$11+T292*(1-'1. Share_Price_Analysis'!$E$11)</f>
        <v>209.70755607791259</v>
      </c>
      <c r="U293" s="253">
        <f t="shared" si="59"/>
        <v>221.22996739645788</v>
      </c>
    </row>
    <row r="294" spans="2:21" x14ac:dyDescent="0.2">
      <c r="B294" s="245">
        <v>45324</v>
      </c>
      <c r="C294" s="246">
        <v>234.44</v>
      </c>
      <c r="D294" s="246">
        <v>494.35</v>
      </c>
      <c r="E294" s="246">
        <v>41.545000000000002</v>
      </c>
      <c r="F294" s="248">
        <f t="shared" si="50"/>
        <v>1.7711408230595582E-2</v>
      </c>
      <c r="G294" s="248">
        <f t="shared" si="51"/>
        <v>1.0527391659852947E-2</v>
      </c>
      <c r="H294" s="248">
        <f t="shared" si="52"/>
        <v>-5.862646566164087E-3</v>
      </c>
      <c r="I294" s="249">
        <f t="shared" si="53"/>
        <v>0.30396573780521541</v>
      </c>
      <c r="J294" s="249">
        <f t="shared" si="54"/>
        <v>0.22221672806388404</v>
      </c>
      <c r="K294" s="249">
        <f t="shared" si="55"/>
        <v>-1.682085786375298E-3</v>
      </c>
      <c r="L294" s="250">
        <f t="shared" si="45"/>
        <v>130.39657378052172</v>
      </c>
      <c r="M294" s="250">
        <f t="shared" si="46"/>
        <v>122.2216728063886</v>
      </c>
      <c r="N294" s="250">
        <f t="shared" si="47"/>
        <v>99.831791421362496</v>
      </c>
      <c r="O294" s="248">
        <f t="shared" si="48"/>
        <v>6.6885854091385255E-2</v>
      </c>
      <c r="P294" s="247">
        <f t="shared" si="49"/>
        <v>0.30616281571221693</v>
      </c>
      <c r="Q294" s="251">
        <f t="shared" si="56"/>
        <v>1.3039657378052154</v>
      </c>
      <c r="R294" s="251">
        <f t="shared" si="57"/>
        <v>1.3039657378052154</v>
      </c>
      <c r="S294" s="251">
        <f t="shared" si="58"/>
        <v>0</v>
      </c>
      <c r="T294" s="252">
        <f>C294*'1. Share_Price_Analysis'!$E$11+T293*(1-'1. Share_Price_Analysis'!$E$11)</f>
        <v>209.9536500472866</v>
      </c>
      <c r="U294" s="253">
        <f t="shared" si="59"/>
        <v>221.74800789071443</v>
      </c>
    </row>
    <row r="295" spans="2:21" x14ac:dyDescent="0.2">
      <c r="B295" s="245">
        <v>45327</v>
      </c>
      <c r="C295" s="246">
        <v>229.65</v>
      </c>
      <c r="D295" s="246">
        <v>492.55</v>
      </c>
      <c r="E295" s="246">
        <v>40.49</v>
      </c>
      <c r="F295" s="248">
        <f t="shared" si="50"/>
        <v>-2.0431666951032268E-2</v>
      </c>
      <c r="G295" s="248">
        <f t="shared" si="51"/>
        <v>-3.6411449377971028E-3</v>
      </c>
      <c r="H295" s="248">
        <f t="shared" si="52"/>
        <v>-2.5394150920688419E-2</v>
      </c>
      <c r="I295" s="249">
        <f t="shared" si="53"/>
        <v>0.27732354413482208</v>
      </c>
      <c r="J295" s="249">
        <f t="shared" si="54"/>
        <v>0.21776645981160336</v>
      </c>
      <c r="K295" s="249">
        <f t="shared" si="55"/>
        <v>-2.7033521566742991E-2</v>
      </c>
      <c r="L295" s="250">
        <f t="shared" si="45"/>
        <v>127.73235441348241</v>
      </c>
      <c r="M295" s="250">
        <f t="shared" si="46"/>
        <v>121.77664598116054</v>
      </c>
      <c r="N295" s="250">
        <f t="shared" si="47"/>
        <v>97.296647843325729</v>
      </c>
      <c r="O295" s="248">
        <f t="shared" si="48"/>
        <v>4.8906819401506985E-2</v>
      </c>
      <c r="P295" s="247">
        <f t="shared" si="49"/>
        <v>0.31281351665029966</v>
      </c>
      <c r="Q295" s="251">
        <f t="shared" si="56"/>
        <v>1.2773235441348221</v>
      </c>
      <c r="R295" s="251">
        <f t="shared" si="57"/>
        <v>1.3039657378052154</v>
      </c>
      <c r="S295" s="251">
        <f t="shared" si="58"/>
        <v>-2.0431666951032379E-2</v>
      </c>
      <c r="T295" s="252">
        <f>C295*'1. Share_Price_Analysis'!$E$11+T294*(1-'1. Share_Price_Analysis'!$E$11)</f>
        <v>210.14963362890566</v>
      </c>
      <c r="U295" s="253">
        <f t="shared" si="59"/>
        <v>222.05788993421584</v>
      </c>
    </row>
    <row r="296" spans="2:21" x14ac:dyDescent="0.2">
      <c r="B296" s="245">
        <v>45328</v>
      </c>
      <c r="C296" s="246">
        <v>231.58</v>
      </c>
      <c r="D296" s="246">
        <v>493.98</v>
      </c>
      <c r="E296" s="246">
        <v>41.204999999999998</v>
      </c>
      <c r="F296" s="248">
        <f t="shared" si="50"/>
        <v>8.4040931852820133E-3</v>
      </c>
      <c r="G296" s="248">
        <f t="shared" si="51"/>
        <v>2.9032585524313426E-3</v>
      </c>
      <c r="H296" s="248">
        <f t="shared" si="52"/>
        <v>1.7658681155840794E-2</v>
      </c>
      <c r="I296" s="249">
        <f t="shared" si="53"/>
        <v>0.28805829022748575</v>
      </c>
      <c r="J296" s="249">
        <f t="shared" si="54"/>
        <v>0.22130195070091552</v>
      </c>
      <c r="K296" s="249">
        <f t="shared" si="55"/>
        <v>-9.852216748768905E-3</v>
      </c>
      <c r="L296" s="250">
        <f t="shared" si="45"/>
        <v>128.80582902274878</v>
      </c>
      <c r="M296" s="250">
        <f t="shared" si="46"/>
        <v>122.13019507009173</v>
      </c>
      <c r="N296" s="250">
        <f t="shared" si="47"/>
        <v>99.014778325123146</v>
      </c>
      <c r="O296" s="248">
        <f t="shared" si="48"/>
        <v>5.4659979449191987E-2</v>
      </c>
      <c r="P296" s="247">
        <f t="shared" si="49"/>
        <v>0.30087479062775979</v>
      </c>
      <c r="Q296" s="251">
        <f t="shared" si="56"/>
        <v>1.2880582902274857</v>
      </c>
      <c r="R296" s="251">
        <f t="shared" si="57"/>
        <v>1.3039657378052154</v>
      </c>
      <c r="S296" s="251">
        <f t="shared" si="58"/>
        <v>-1.2199283398737548E-2</v>
      </c>
      <c r="T296" s="252">
        <f>C296*'1. Share_Price_Analysis'!$E$11+T295*(1-'1. Share_Price_Analysis'!$E$11)</f>
        <v>210.36287110523497</v>
      </c>
      <c r="U296" s="253">
        <f t="shared" si="59"/>
        <v>222.43130601522699</v>
      </c>
    </row>
    <row r="297" spans="2:21" x14ac:dyDescent="0.2">
      <c r="B297" s="245">
        <v>45329</v>
      </c>
      <c r="C297" s="246">
        <v>236.52</v>
      </c>
      <c r="D297" s="246">
        <v>498.1</v>
      </c>
      <c r="E297" s="246">
        <v>41.534999999999997</v>
      </c>
      <c r="F297" s="248">
        <f t="shared" si="50"/>
        <v>2.133172121944904E-2</v>
      </c>
      <c r="G297" s="248">
        <f t="shared" si="51"/>
        <v>8.3404186404307801E-3</v>
      </c>
      <c r="H297" s="248">
        <f t="shared" si="52"/>
        <v>8.0087368037859985E-3</v>
      </c>
      <c r="I297" s="249">
        <f t="shared" si="53"/>
        <v>0.31553479058901868</v>
      </c>
      <c r="J297" s="249">
        <f t="shared" si="54"/>
        <v>0.23148812025613585</v>
      </c>
      <c r="K297" s="249">
        <f t="shared" si="55"/>
        <v>-1.9223837558576262E-3</v>
      </c>
      <c r="L297" s="250">
        <f t="shared" si="45"/>
        <v>131.55347905890207</v>
      </c>
      <c r="M297" s="250">
        <f t="shared" si="46"/>
        <v>123.14881202561376</v>
      </c>
      <c r="N297" s="250">
        <f t="shared" si="47"/>
        <v>99.807761624414255</v>
      </c>
      <c r="O297" s="248">
        <f t="shared" si="48"/>
        <v>6.8248056112309108E-2</v>
      </c>
      <c r="P297" s="247">
        <f t="shared" si="49"/>
        <v>0.31806862430148142</v>
      </c>
      <c r="Q297" s="251">
        <f t="shared" si="56"/>
        <v>1.3155347905890187</v>
      </c>
      <c r="R297" s="251">
        <f t="shared" si="57"/>
        <v>1.3155347905890187</v>
      </c>
      <c r="S297" s="251">
        <f t="shared" si="58"/>
        <v>0</v>
      </c>
      <c r="T297" s="252">
        <f>C297*'1. Share_Price_Analysis'!$E$11+T296*(1-'1. Share_Price_Analysis'!$E$11)</f>
        <v>210.62314104448637</v>
      </c>
      <c r="U297" s="253">
        <f t="shared" si="59"/>
        <v>222.98380381855145</v>
      </c>
    </row>
    <row r="298" spans="2:21" x14ac:dyDescent="0.2">
      <c r="B298" s="245">
        <v>45330</v>
      </c>
      <c r="C298" s="246">
        <v>238.44</v>
      </c>
      <c r="D298" s="246">
        <v>498.32</v>
      </c>
      <c r="E298" s="246">
        <v>41.48</v>
      </c>
      <c r="F298" s="248">
        <f t="shared" si="50"/>
        <v>8.1177067478437337E-3</v>
      </c>
      <c r="G298" s="248">
        <f t="shared" si="51"/>
        <v>4.4167837783581909E-4</v>
      </c>
      <c r="H298" s="248">
        <f t="shared" si="52"/>
        <v>-1.3241844227759314E-3</v>
      </c>
      <c r="I298" s="249">
        <f t="shared" si="53"/>
        <v>0.32621391623560636</v>
      </c>
      <c r="J298" s="249">
        <f t="shared" si="54"/>
        <v>0.23203204193141458</v>
      </c>
      <c r="K298" s="249">
        <f t="shared" si="55"/>
        <v>-3.2440225880094875E-3</v>
      </c>
      <c r="L298" s="250">
        <f t="shared" si="45"/>
        <v>132.62139162356084</v>
      </c>
      <c r="M298" s="250">
        <f t="shared" si="46"/>
        <v>123.20320419314163</v>
      </c>
      <c r="N298" s="250">
        <f t="shared" si="47"/>
        <v>99.67559774119907</v>
      </c>
      <c r="O298" s="248">
        <f t="shared" si="48"/>
        <v>7.6444338376578269E-2</v>
      </c>
      <c r="P298" s="247">
        <f t="shared" si="49"/>
        <v>0.33053018621371222</v>
      </c>
      <c r="Q298" s="251">
        <f t="shared" si="56"/>
        <v>1.3262139162356064</v>
      </c>
      <c r="R298" s="251">
        <f t="shared" si="57"/>
        <v>1.3262139162356064</v>
      </c>
      <c r="S298" s="251">
        <f t="shared" si="58"/>
        <v>0</v>
      </c>
      <c r="T298" s="252">
        <f>C298*'1. Share_Price_Analysis'!$E$11+T297*(1-'1. Share_Price_Analysis'!$E$11)</f>
        <v>210.89992571071042</v>
      </c>
      <c r="U298" s="253">
        <f t="shared" si="59"/>
        <v>223.58992915900041</v>
      </c>
    </row>
    <row r="299" spans="2:21" x14ac:dyDescent="0.2">
      <c r="B299" s="245">
        <v>45331</v>
      </c>
      <c r="C299" s="246">
        <v>240</v>
      </c>
      <c r="D299" s="246">
        <v>501.2</v>
      </c>
      <c r="E299" s="246">
        <v>41.57</v>
      </c>
      <c r="F299" s="248">
        <f t="shared" si="50"/>
        <v>6.542526421741357E-3</v>
      </c>
      <c r="G299" s="248">
        <f t="shared" si="51"/>
        <v>5.7794188473270225E-3</v>
      </c>
      <c r="H299" s="248">
        <f t="shared" si="52"/>
        <v>2.1697203471553461E-3</v>
      </c>
      <c r="I299" s="249">
        <f t="shared" si="53"/>
        <v>0.33489070582345892</v>
      </c>
      <c r="J299" s="249">
        <f t="shared" si="54"/>
        <v>0.23915247113506388</v>
      </c>
      <c r="K299" s="249">
        <f t="shared" si="55"/>
        <v>-1.0813408626699772E-3</v>
      </c>
      <c r="L299" s="250">
        <f t="shared" si="45"/>
        <v>133.48907058234607</v>
      </c>
      <c r="M299" s="250">
        <f t="shared" si="46"/>
        <v>123.91524711350654</v>
      </c>
      <c r="N299" s="250">
        <f t="shared" si="47"/>
        <v>99.891865913733028</v>
      </c>
      <c r="O299" s="248">
        <f t="shared" si="48"/>
        <v>7.7261061022376731E-2</v>
      </c>
      <c r="P299" s="247">
        <f t="shared" si="49"/>
        <v>0.3363357402656546</v>
      </c>
      <c r="Q299" s="251">
        <f t="shared" si="56"/>
        <v>1.3348907058234589</v>
      </c>
      <c r="R299" s="251">
        <f t="shared" si="57"/>
        <v>1.3348907058234589</v>
      </c>
      <c r="S299" s="251">
        <f t="shared" si="58"/>
        <v>0</v>
      </c>
      <c r="T299" s="252">
        <f>C299*'1. Share_Price_Analysis'!$E$11+T298*(1-'1. Share_Price_Analysis'!$E$11)</f>
        <v>211.18947868871334</v>
      </c>
      <c r="U299" s="253">
        <f t="shared" si="59"/>
        <v>224.23346134884352</v>
      </c>
    </row>
    <row r="300" spans="2:21" x14ac:dyDescent="0.2">
      <c r="B300" s="245">
        <v>45334</v>
      </c>
      <c r="C300" s="246">
        <v>240.13</v>
      </c>
      <c r="D300" s="246">
        <v>500.98</v>
      </c>
      <c r="E300" s="246">
        <v>41.9</v>
      </c>
      <c r="F300" s="248">
        <f t="shared" si="50"/>
        <v>5.4166666666666252E-4</v>
      </c>
      <c r="G300" s="248">
        <f t="shared" si="51"/>
        <v>-4.3894652833198489E-4</v>
      </c>
      <c r="H300" s="248">
        <f t="shared" si="52"/>
        <v>7.9384171277363524E-3</v>
      </c>
      <c r="I300" s="249">
        <f t="shared" si="53"/>
        <v>0.33561377162244654</v>
      </c>
      <c r="J300" s="249">
        <f t="shared" si="54"/>
        <v>0.23860854945978516</v>
      </c>
      <c r="K300" s="249">
        <f t="shared" si="55"/>
        <v>6.8484921302411905E-3</v>
      </c>
      <c r="L300" s="250">
        <f t="shared" si="45"/>
        <v>133.56137716224487</v>
      </c>
      <c r="M300" s="250">
        <f t="shared" si="46"/>
        <v>123.86085494597869</v>
      </c>
      <c r="N300" s="250">
        <f t="shared" si="47"/>
        <v>100.68484921302414</v>
      </c>
      <c r="O300" s="248">
        <f t="shared" si="48"/>
        <v>7.8317901329657325E-2</v>
      </c>
      <c r="P300" s="247">
        <f t="shared" si="49"/>
        <v>0.32652904787752091</v>
      </c>
      <c r="Q300" s="251">
        <f t="shared" si="56"/>
        <v>1.3356137716224465</v>
      </c>
      <c r="R300" s="251">
        <f t="shared" si="57"/>
        <v>1.3356137716224465</v>
      </c>
      <c r="S300" s="251">
        <f t="shared" si="58"/>
        <v>0</v>
      </c>
      <c r="T300" s="252">
        <f>C300*'1. Share_Price_Analysis'!$E$11+T299*(1-'1. Share_Price_Analysis'!$E$11)</f>
        <v>211.47744407489529</v>
      </c>
      <c r="U300" s="253">
        <f t="shared" si="59"/>
        <v>224.85685502143789</v>
      </c>
    </row>
    <row r="301" spans="2:21" x14ac:dyDescent="0.2">
      <c r="B301" s="245">
        <v>45335</v>
      </c>
      <c r="C301" s="246">
        <v>237.12</v>
      </c>
      <c r="D301" s="246">
        <v>494.08</v>
      </c>
      <c r="E301" s="246">
        <v>41.31</v>
      </c>
      <c r="F301" s="248">
        <f t="shared" si="50"/>
        <v>-1.2534876941656559E-2</v>
      </c>
      <c r="G301" s="248">
        <f t="shared" si="51"/>
        <v>-1.3773004910375697E-2</v>
      </c>
      <c r="H301" s="248">
        <f t="shared" si="52"/>
        <v>-1.4081145584725396E-2</v>
      </c>
      <c r="I301" s="249">
        <f t="shared" si="53"/>
        <v>0.31887201735357729</v>
      </c>
      <c r="J301" s="249">
        <f t="shared" si="54"/>
        <v>0.22154918782604227</v>
      </c>
      <c r="K301" s="249">
        <f t="shared" si="55"/>
        <v>-7.3290880692059579E-3</v>
      </c>
      <c r="L301" s="250">
        <f t="shared" si="45"/>
        <v>131.88720173535793</v>
      </c>
      <c r="M301" s="250">
        <f t="shared" si="46"/>
        <v>122.15491878260438</v>
      </c>
      <c r="N301" s="250">
        <f t="shared" si="47"/>
        <v>99.267091193079409</v>
      </c>
      <c r="O301" s="248">
        <f t="shared" si="48"/>
        <v>7.9671641958796391E-2</v>
      </c>
      <c r="P301" s="247">
        <f t="shared" si="49"/>
        <v>0.32860951348751222</v>
      </c>
      <c r="Q301" s="251">
        <f t="shared" si="56"/>
        <v>1.3188720173535773</v>
      </c>
      <c r="R301" s="251">
        <f t="shared" si="57"/>
        <v>1.3356137716224465</v>
      </c>
      <c r="S301" s="251">
        <f t="shared" si="58"/>
        <v>-1.253487694165667E-2</v>
      </c>
      <c r="T301" s="252">
        <f>C301*'1. Share_Price_Analysis'!$E$11+T300*(1-'1. Share_Price_Analysis'!$E$11)</f>
        <v>211.73259388509535</v>
      </c>
      <c r="U301" s="253">
        <f t="shared" si="59"/>
        <v>225.33776266765602</v>
      </c>
    </row>
    <row r="302" spans="2:21" x14ac:dyDescent="0.2">
      <c r="B302" s="245">
        <v>45336</v>
      </c>
      <c r="C302" s="246">
        <v>241.1</v>
      </c>
      <c r="D302" s="246">
        <v>498.57</v>
      </c>
      <c r="E302" s="246">
        <v>41.575000000000003</v>
      </c>
      <c r="F302" s="248">
        <f t="shared" si="50"/>
        <v>1.6784750337381915E-2</v>
      </c>
      <c r="G302" s="248">
        <f t="shared" si="51"/>
        <v>9.0875971502590858E-3</v>
      </c>
      <c r="H302" s="248">
        <f t="shared" si="52"/>
        <v>6.4149116436698073E-3</v>
      </c>
      <c r="I302" s="249">
        <f t="shared" si="53"/>
        <v>0.34100895489181626</v>
      </c>
      <c r="J302" s="249">
        <f t="shared" si="54"/>
        <v>0.23265013474423157</v>
      </c>
      <c r="K302" s="249">
        <f t="shared" si="55"/>
        <v>-9.611918779287576E-4</v>
      </c>
      <c r="L302" s="250">
        <f t="shared" si="45"/>
        <v>134.10089548918182</v>
      </c>
      <c r="M302" s="250">
        <f t="shared" si="46"/>
        <v>123.26501347442331</v>
      </c>
      <c r="N302" s="250">
        <f t="shared" si="47"/>
        <v>99.903880812207134</v>
      </c>
      <c r="O302" s="248">
        <f t="shared" si="48"/>
        <v>8.7907198558063282E-2</v>
      </c>
      <c r="P302" s="247">
        <f t="shared" si="49"/>
        <v>0.34229916194402743</v>
      </c>
      <c r="Q302" s="251">
        <f t="shared" si="56"/>
        <v>1.3410089548918163</v>
      </c>
      <c r="R302" s="251">
        <f t="shared" si="57"/>
        <v>1.3410089548918163</v>
      </c>
      <c r="S302" s="251">
        <f t="shared" si="58"/>
        <v>0</v>
      </c>
      <c r="T302" s="252">
        <f>C302*'1. Share_Price_Analysis'!$E$11+T301*(1-'1. Share_Price_Analysis'!$E$11)</f>
        <v>212.02480688126357</v>
      </c>
      <c r="U302" s="253">
        <f t="shared" si="59"/>
        <v>225.95588962186562</v>
      </c>
    </row>
    <row r="303" spans="2:21" x14ac:dyDescent="0.2">
      <c r="B303" s="245">
        <v>45337</v>
      </c>
      <c r="C303" s="246">
        <v>242.46</v>
      </c>
      <c r="D303" s="246">
        <v>502.01</v>
      </c>
      <c r="E303" s="246">
        <v>42.36</v>
      </c>
      <c r="F303" s="248">
        <f t="shared" si="50"/>
        <v>5.6408129406886331E-3</v>
      </c>
      <c r="G303" s="248">
        <f t="shared" si="51"/>
        <v>6.8997332370579478E-3</v>
      </c>
      <c r="H303" s="248">
        <f t="shared" si="52"/>
        <v>1.8881539386650603E-2</v>
      </c>
      <c r="I303" s="249">
        <f t="shared" si="53"/>
        <v>0.34857333555814929</v>
      </c>
      <c r="J303" s="249">
        <f t="shared" si="54"/>
        <v>0.2411550918485903</v>
      </c>
      <c r="K303" s="249">
        <f t="shared" si="55"/>
        <v>1.7902198726420515E-2</v>
      </c>
      <c r="L303" s="250">
        <f t="shared" si="45"/>
        <v>134.85733355581513</v>
      </c>
      <c r="M303" s="250">
        <f t="shared" si="46"/>
        <v>124.11550918485918</v>
      </c>
      <c r="N303" s="250">
        <f t="shared" si="47"/>
        <v>101.79021987264207</v>
      </c>
      <c r="O303" s="248">
        <f t="shared" si="48"/>
        <v>8.6546995145924122E-2</v>
      </c>
      <c r="P303" s="247">
        <f t="shared" si="49"/>
        <v>0.32485550895307824</v>
      </c>
      <c r="Q303" s="251">
        <f t="shared" si="56"/>
        <v>1.3485733355581493</v>
      </c>
      <c r="R303" s="251">
        <f t="shared" si="57"/>
        <v>1.3485733355581493</v>
      </c>
      <c r="S303" s="251">
        <f t="shared" si="58"/>
        <v>0</v>
      </c>
      <c r="T303" s="252">
        <f>C303*'1. Share_Price_Analysis'!$E$11+T302*(1-'1. Share_Price_Analysis'!$E$11)</f>
        <v>212.32764462373856</v>
      </c>
      <c r="U303" s="253">
        <f t="shared" si="59"/>
        <v>226.60310963669443</v>
      </c>
    </row>
    <row r="304" spans="2:21" x14ac:dyDescent="0.2">
      <c r="B304" s="245">
        <v>45338</v>
      </c>
      <c r="C304" s="246">
        <v>255.15</v>
      </c>
      <c r="D304" s="246">
        <v>499.51</v>
      </c>
      <c r="E304" s="246">
        <v>42.585000000000001</v>
      </c>
      <c r="F304" s="248">
        <f t="shared" si="50"/>
        <v>5.2338530066815103E-2</v>
      </c>
      <c r="G304" s="248">
        <f t="shared" si="51"/>
        <v>-4.9799804784764756E-3</v>
      </c>
      <c r="H304" s="248">
        <f t="shared" si="52"/>
        <v>5.3116147308782669E-3</v>
      </c>
      <c r="I304" s="249">
        <f t="shared" si="53"/>
        <v>0.41915568162856465</v>
      </c>
      <c r="J304" s="249">
        <f t="shared" si="54"/>
        <v>0.23497416372042257</v>
      </c>
      <c r="K304" s="249">
        <f t="shared" si="55"/>
        <v>2.3308903039769069E-2</v>
      </c>
      <c r="L304" s="250">
        <f t="shared" si="45"/>
        <v>141.91556816285666</v>
      </c>
      <c r="M304" s="250">
        <f t="shared" si="46"/>
        <v>123.49741637204241</v>
      </c>
      <c r="N304" s="250">
        <f t="shared" si="47"/>
        <v>102.33089030397693</v>
      </c>
      <c r="O304" s="248">
        <f t="shared" si="48"/>
        <v>0.14913795228985682</v>
      </c>
      <c r="P304" s="247">
        <f t="shared" si="49"/>
        <v>0.38683019116995965</v>
      </c>
      <c r="Q304" s="251">
        <f t="shared" si="56"/>
        <v>1.4191556816285646</v>
      </c>
      <c r="R304" s="251">
        <f t="shared" si="57"/>
        <v>1.4191556816285646</v>
      </c>
      <c r="S304" s="251">
        <f t="shared" si="58"/>
        <v>0</v>
      </c>
      <c r="T304" s="252">
        <f>C304*'1. Share_Price_Analysis'!$E$11+T303*(1-'1. Share_Price_Analysis'!$E$11)</f>
        <v>212.75373771205957</v>
      </c>
      <c r="U304" s="253">
        <f t="shared" si="59"/>
        <v>227.72259553329465</v>
      </c>
    </row>
    <row r="305" spans="2:21" x14ac:dyDescent="0.2">
      <c r="B305" s="245">
        <v>45342</v>
      </c>
      <c r="C305" s="246">
        <v>251.38</v>
      </c>
      <c r="D305" s="246">
        <v>496.76</v>
      </c>
      <c r="E305" s="246">
        <v>42.494999999999997</v>
      </c>
      <c r="F305" s="248">
        <f t="shared" si="50"/>
        <v>-1.4775622183029635E-2</v>
      </c>
      <c r="G305" s="248">
        <f t="shared" si="51"/>
        <v>-5.505395287381587E-3</v>
      </c>
      <c r="H305" s="248">
        <f t="shared" si="52"/>
        <v>-2.1134202183867856E-3</v>
      </c>
      <c r="I305" s="249">
        <f t="shared" si="53"/>
        <v>0.39818677345792119</v>
      </c>
      <c r="J305" s="249">
        <f t="shared" si="54"/>
        <v>0.22817514277943807</v>
      </c>
      <c r="K305" s="249">
        <f t="shared" si="55"/>
        <v>2.1146221314429559E-2</v>
      </c>
      <c r="L305" s="250">
        <f t="shared" si="45"/>
        <v>139.81867734579231</v>
      </c>
      <c r="M305" s="250">
        <f t="shared" si="46"/>
        <v>122.81751427794396</v>
      </c>
      <c r="N305" s="250">
        <f t="shared" si="47"/>
        <v>102.11462213144299</v>
      </c>
      <c r="O305" s="248">
        <f t="shared" si="48"/>
        <v>0.13842621036421243</v>
      </c>
      <c r="P305" s="247">
        <f t="shared" si="49"/>
        <v>0.36923267625488676</v>
      </c>
      <c r="Q305" s="251">
        <f t="shared" si="56"/>
        <v>1.3981867734579212</v>
      </c>
      <c r="R305" s="251">
        <f t="shared" si="57"/>
        <v>1.4191556816285646</v>
      </c>
      <c r="S305" s="251">
        <f t="shared" si="58"/>
        <v>-1.4775622183029524E-2</v>
      </c>
      <c r="T305" s="252">
        <f>C305*'1. Share_Price_Analysis'!$E$11+T304*(1-'1. Share_Price_Analysis'!$E$11)</f>
        <v>213.13807863034754</v>
      </c>
      <c r="U305" s="253">
        <f t="shared" si="59"/>
        <v>228.65033688493014</v>
      </c>
    </row>
    <row r="306" spans="2:21" x14ac:dyDescent="0.2">
      <c r="B306" s="245">
        <v>45343</v>
      </c>
      <c r="C306" s="246">
        <v>253.43</v>
      </c>
      <c r="D306" s="246">
        <v>497.21</v>
      </c>
      <c r="E306" s="246">
        <v>42.73</v>
      </c>
      <c r="F306" s="248">
        <f t="shared" si="50"/>
        <v>8.1549844856392273E-3</v>
      </c>
      <c r="G306" s="248">
        <f t="shared" si="51"/>
        <v>9.0587003784525777E-4</v>
      </c>
      <c r="H306" s="248">
        <f t="shared" si="52"/>
        <v>5.5300623602776433E-3</v>
      </c>
      <c r="I306" s="249">
        <f t="shared" si="53"/>
        <v>0.4095889649034965</v>
      </c>
      <c r="J306" s="249">
        <f t="shared" si="54"/>
        <v>0.22928770984250835</v>
      </c>
      <c r="K306" s="249">
        <f t="shared" si="55"/>
        <v>2.6793223597260329E-2</v>
      </c>
      <c r="L306" s="250">
        <f t="shared" si="45"/>
        <v>140.95889649034987</v>
      </c>
      <c r="M306" s="250">
        <f t="shared" si="46"/>
        <v>122.92877098425099</v>
      </c>
      <c r="N306" s="250">
        <f t="shared" si="47"/>
        <v>102.67932235972606</v>
      </c>
      <c r="O306" s="248">
        <f t="shared" si="48"/>
        <v>0.14667132325278653</v>
      </c>
      <c r="P306" s="247">
        <f t="shared" si="49"/>
        <v>0.37280703895293765</v>
      </c>
      <c r="Q306" s="251">
        <f t="shared" si="56"/>
        <v>1.4095889649034965</v>
      </c>
      <c r="R306" s="251">
        <f t="shared" si="57"/>
        <v>1.4191556816285646</v>
      </c>
      <c r="S306" s="251">
        <f t="shared" si="58"/>
        <v>-6.7411326670585581E-3</v>
      </c>
      <c r="T306" s="252">
        <f>C306*'1. Share_Price_Analysis'!$E$11+T305*(1-'1. Share_Price_Analysis'!$E$11)</f>
        <v>213.53899327084159</v>
      </c>
      <c r="U306" s="253">
        <f t="shared" si="59"/>
        <v>229.62208837963877</v>
      </c>
    </row>
    <row r="307" spans="2:21" x14ac:dyDescent="0.2">
      <c r="B307" s="245">
        <v>45344</v>
      </c>
      <c r="C307" s="246">
        <v>256.94</v>
      </c>
      <c r="D307" s="246">
        <v>507.5</v>
      </c>
      <c r="E307" s="246">
        <v>43.16</v>
      </c>
      <c r="F307" s="248">
        <f t="shared" si="50"/>
        <v>1.3849978297754806E-2</v>
      </c>
      <c r="G307" s="248">
        <f t="shared" si="51"/>
        <v>2.069548078276795E-2</v>
      </c>
      <c r="H307" s="248">
        <f t="shared" si="52"/>
        <v>1.0063187456119893E-2</v>
      </c>
      <c r="I307" s="249">
        <f t="shared" si="53"/>
        <v>0.42911174147616449</v>
      </c>
      <c r="J307" s="249">
        <f t="shared" si="54"/>
        <v>0.25472841001804669</v>
      </c>
      <c r="K307" s="249">
        <f t="shared" si="55"/>
        <v>3.7126036284993225E-2</v>
      </c>
      <c r="L307" s="250">
        <f t="shared" si="45"/>
        <v>142.91117414761666</v>
      </c>
      <c r="M307" s="250">
        <f t="shared" si="46"/>
        <v>125.47284100180482</v>
      </c>
      <c r="N307" s="250">
        <f t="shared" si="47"/>
        <v>103.71260362849932</v>
      </c>
      <c r="O307" s="248">
        <f t="shared" si="48"/>
        <v>0.13898093807855161</v>
      </c>
      <c r="P307" s="247">
        <f t="shared" si="49"/>
        <v>0.37795377946085718</v>
      </c>
      <c r="Q307" s="251">
        <f t="shared" si="56"/>
        <v>1.4291117414761645</v>
      </c>
      <c r="R307" s="251">
        <f t="shared" si="57"/>
        <v>1.4291117414761645</v>
      </c>
      <c r="S307" s="251">
        <f t="shared" si="58"/>
        <v>0</v>
      </c>
      <c r="T307" s="252">
        <f>C307*'1. Share_Price_Analysis'!$E$11+T306*(1-'1. Share_Price_Analysis'!$E$11)</f>
        <v>213.97084408406707</v>
      </c>
      <c r="U307" s="253">
        <f t="shared" si="59"/>
        <v>230.69337903141763</v>
      </c>
    </row>
    <row r="308" spans="2:21" x14ac:dyDescent="0.2">
      <c r="B308" s="245">
        <v>45345</v>
      </c>
      <c r="C308" s="246">
        <v>257.23</v>
      </c>
      <c r="D308" s="246">
        <v>507.85</v>
      </c>
      <c r="E308" s="246">
        <v>43.414999999999999</v>
      </c>
      <c r="F308" s="248">
        <f t="shared" si="50"/>
        <v>1.1286681715576563E-3</v>
      </c>
      <c r="G308" s="248">
        <f t="shared" si="51"/>
        <v>6.8965517241381669E-4</v>
      </c>
      <c r="H308" s="248">
        <f t="shared" si="52"/>
        <v>5.9082483781278672E-3</v>
      </c>
      <c r="I308" s="249">
        <f t="shared" si="53"/>
        <v>0.43072473441236792</v>
      </c>
      <c r="J308" s="249">
        <f t="shared" si="54"/>
        <v>0.25559373995599022</v>
      </c>
      <c r="K308" s="249">
        <f t="shared" si="55"/>
        <v>4.3253634506788208E-2</v>
      </c>
      <c r="L308" s="250">
        <f t="shared" si="45"/>
        <v>143.07247344123701</v>
      </c>
      <c r="M308" s="250">
        <f t="shared" si="46"/>
        <v>125.55937399559917</v>
      </c>
      <c r="N308" s="250">
        <f t="shared" si="47"/>
        <v>104.32536345067885</v>
      </c>
      <c r="O308" s="248">
        <f t="shared" si="48"/>
        <v>0.13948062090729785</v>
      </c>
      <c r="P308" s="247">
        <f t="shared" si="49"/>
        <v>0.37140642226351961</v>
      </c>
      <c r="Q308" s="251">
        <f t="shared" si="56"/>
        <v>1.4307247344123679</v>
      </c>
      <c r="R308" s="251">
        <f t="shared" si="57"/>
        <v>1.4307247344123679</v>
      </c>
      <c r="S308" s="251">
        <f t="shared" si="58"/>
        <v>0</v>
      </c>
      <c r="T308" s="252">
        <f>C308*'1. Share_Price_Analysis'!$E$11+T307*(1-'1. Share_Price_Analysis'!$E$11)</f>
        <v>214.40128344641465</v>
      </c>
      <c r="U308" s="253">
        <f t="shared" si="59"/>
        <v>231.73403083410716</v>
      </c>
    </row>
    <row r="309" spans="2:21" x14ac:dyDescent="0.2">
      <c r="B309" s="245">
        <v>45348</v>
      </c>
      <c r="C309" s="246">
        <v>261.08</v>
      </c>
      <c r="D309" s="246">
        <v>505.99</v>
      </c>
      <c r="E309" s="246">
        <v>43.155000000000001</v>
      </c>
      <c r="F309" s="248">
        <f t="shared" si="50"/>
        <v>1.4967150021381492E-2</v>
      </c>
      <c r="G309" s="248">
        <f t="shared" si="51"/>
        <v>-3.662498769321676E-3</v>
      </c>
      <c r="H309" s="248">
        <f t="shared" si="52"/>
        <v>-5.9887135782563661E-3</v>
      </c>
      <c r="I309" s="249">
        <f t="shared" si="53"/>
        <v>0.45213860615161905</v>
      </c>
      <c r="J309" s="249">
        <f t="shared" si="54"/>
        <v>0.25099512942863345</v>
      </c>
      <c r="K309" s="249">
        <f t="shared" si="55"/>
        <v>3.7005887300252116E-2</v>
      </c>
      <c r="L309" s="250">
        <f t="shared" si="45"/>
        <v>145.21386061516213</v>
      </c>
      <c r="M309" s="250">
        <f t="shared" si="46"/>
        <v>125.0995129428635</v>
      </c>
      <c r="N309" s="250">
        <f t="shared" si="47"/>
        <v>103.70058873002523</v>
      </c>
      <c r="O309" s="248">
        <f t="shared" si="48"/>
        <v>0.16078677845440836</v>
      </c>
      <c r="P309" s="247">
        <f t="shared" si="49"/>
        <v>0.40031857478854449</v>
      </c>
      <c r="Q309" s="251">
        <f t="shared" si="56"/>
        <v>1.452138606151619</v>
      </c>
      <c r="R309" s="251">
        <f t="shared" si="57"/>
        <v>1.452138606151619</v>
      </c>
      <c r="S309" s="251">
        <f t="shared" si="58"/>
        <v>0</v>
      </c>
      <c r="T309" s="252">
        <f>C309*'1. Share_Price_Analysis'!$E$11+T308*(1-'1. Share_Price_Analysis'!$E$11)</f>
        <v>214.86574828774388</v>
      </c>
      <c r="U309" s="253">
        <f t="shared" si="59"/>
        <v>232.88485315433826</v>
      </c>
    </row>
    <row r="310" spans="2:21" x14ac:dyDescent="0.2">
      <c r="B310" s="245">
        <v>45349</v>
      </c>
      <c r="C310" s="246">
        <v>263.56</v>
      </c>
      <c r="D310" s="246">
        <v>506.93</v>
      </c>
      <c r="E310" s="246">
        <v>43.314999999999998</v>
      </c>
      <c r="F310" s="248">
        <f t="shared" si="50"/>
        <v>9.4990041366631583E-3</v>
      </c>
      <c r="G310" s="248">
        <f t="shared" si="51"/>
        <v>1.8577442241940467E-3</v>
      </c>
      <c r="H310" s="248">
        <f t="shared" si="52"/>
        <v>3.7075657513612192E-3</v>
      </c>
      <c r="I310" s="249">
        <f t="shared" si="53"/>
        <v>0.46593247677846161</v>
      </c>
      <c r="J310" s="249">
        <f t="shared" si="54"/>
        <v>0.25331915840482444</v>
      </c>
      <c r="K310" s="249">
        <f t="shared" si="55"/>
        <v>4.085065481196648E-2</v>
      </c>
      <c r="L310" s="250">
        <f t="shared" si="45"/>
        <v>146.59324767784639</v>
      </c>
      <c r="M310" s="250">
        <f t="shared" si="46"/>
        <v>125.33191584048259</v>
      </c>
      <c r="N310" s="250">
        <f t="shared" si="47"/>
        <v>104.08506548119666</v>
      </c>
      <c r="O310" s="248">
        <f t="shared" si="48"/>
        <v>0.16964020453037931</v>
      </c>
      <c r="P310" s="247">
        <f t="shared" si="49"/>
        <v>0.40839847676637886</v>
      </c>
      <c r="Q310" s="251">
        <f t="shared" si="56"/>
        <v>1.4659324767784616</v>
      </c>
      <c r="R310" s="251">
        <f t="shared" si="57"/>
        <v>1.4659324767784616</v>
      </c>
      <c r="S310" s="251">
        <f t="shared" si="58"/>
        <v>0</v>
      </c>
      <c r="T310" s="252">
        <f>C310*'1. Share_Price_Analysis'!$E$11+T309*(1-'1. Share_Price_Analysis'!$E$11)</f>
        <v>215.35026820527878</v>
      </c>
      <c r="U310" s="253">
        <f t="shared" si="59"/>
        <v>234.08780008946226</v>
      </c>
    </row>
    <row r="311" spans="2:21" x14ac:dyDescent="0.2">
      <c r="B311" s="245">
        <v>45350</v>
      </c>
      <c r="C311" s="246">
        <v>262.3</v>
      </c>
      <c r="D311" s="246">
        <v>506.26</v>
      </c>
      <c r="E311" s="246">
        <v>43.45</v>
      </c>
      <c r="F311" s="248">
        <f t="shared" si="50"/>
        <v>-4.780695097890364E-3</v>
      </c>
      <c r="G311" s="248">
        <f t="shared" si="51"/>
        <v>-1.3216814944864153E-3</v>
      </c>
      <c r="H311" s="248">
        <f t="shared" si="52"/>
        <v>3.1167032205934309E-3</v>
      </c>
      <c r="I311" s="249">
        <f t="shared" si="53"/>
        <v>0.45892430057288847</v>
      </c>
      <c r="J311" s="249">
        <f t="shared" si="54"/>
        <v>0.25166266966647544</v>
      </c>
      <c r="K311" s="249">
        <f t="shared" si="55"/>
        <v>4.4094677399975746E-2</v>
      </c>
      <c r="L311" s="250">
        <f t="shared" si="45"/>
        <v>145.89243005728906</v>
      </c>
      <c r="M311" s="250">
        <f t="shared" si="46"/>
        <v>125.1662669666477</v>
      </c>
      <c r="N311" s="250">
        <f t="shared" si="47"/>
        <v>104.4094677399976</v>
      </c>
      <c r="O311" s="248">
        <f t="shared" si="48"/>
        <v>0.16558904881427927</v>
      </c>
      <c r="P311" s="247">
        <f t="shared" si="49"/>
        <v>0.39731035140024784</v>
      </c>
      <c r="Q311" s="251">
        <f t="shared" si="56"/>
        <v>1.4589243005728885</v>
      </c>
      <c r="R311" s="251">
        <f t="shared" si="57"/>
        <v>1.4659324767784616</v>
      </c>
      <c r="S311" s="251">
        <f t="shared" si="58"/>
        <v>-4.780695097890364E-3</v>
      </c>
      <c r="T311" s="252">
        <f>C311*'1. Share_Price_Analysis'!$E$11+T310*(1-'1. Share_Price_Analysis'!$E$11)</f>
        <v>215.81742971567402</v>
      </c>
      <c r="U311" s="253">
        <f t="shared" si="59"/>
        <v>235.19416087026767</v>
      </c>
    </row>
    <row r="312" spans="2:21" x14ac:dyDescent="0.2">
      <c r="B312" s="245">
        <v>45351</v>
      </c>
      <c r="C312" s="246">
        <v>265.85000000000002</v>
      </c>
      <c r="D312" s="246">
        <v>508.08</v>
      </c>
      <c r="E312" s="246">
        <v>43.78</v>
      </c>
      <c r="F312" s="248">
        <f t="shared" si="50"/>
        <v>1.3534121235226904E-2</v>
      </c>
      <c r="G312" s="248">
        <f t="shared" si="51"/>
        <v>3.5949907162327044E-3</v>
      </c>
      <c r="H312" s="248">
        <f t="shared" si="52"/>
        <v>7.5949367088608E-3</v>
      </c>
      <c r="I312" s="249">
        <f t="shared" si="53"/>
        <v>0.47866955892986063</v>
      </c>
      <c r="J312" s="249">
        <f t="shared" si="54"/>
        <v>0.25616238534378155</v>
      </c>
      <c r="K312" s="249">
        <f t="shared" si="55"/>
        <v>5.2024510392886913E-2</v>
      </c>
      <c r="L312" s="250">
        <f t="shared" si="45"/>
        <v>147.86695589298628</v>
      </c>
      <c r="M312" s="250">
        <f t="shared" si="46"/>
        <v>125.61623853437831</v>
      </c>
      <c r="N312" s="250">
        <f t="shared" si="47"/>
        <v>105.20245103928872</v>
      </c>
      <c r="O312" s="248">
        <f t="shared" si="48"/>
        <v>0.17713249193111613</v>
      </c>
      <c r="P312" s="247">
        <f t="shared" si="49"/>
        <v>0.40554668101567315</v>
      </c>
      <c r="Q312" s="251">
        <f t="shared" si="56"/>
        <v>1.4786695589298606</v>
      </c>
      <c r="R312" s="251">
        <f t="shared" si="57"/>
        <v>1.4786695589298606</v>
      </c>
      <c r="S312" s="251">
        <f t="shared" si="58"/>
        <v>0</v>
      </c>
      <c r="T312" s="252">
        <f>C312*'1. Share_Price_Analysis'!$E$11+T311*(1-'1. Share_Price_Analysis'!$E$11)</f>
        <v>216.31526623591608</v>
      </c>
      <c r="U312" s="253">
        <f t="shared" si="59"/>
        <v>236.39635064006112</v>
      </c>
    </row>
    <row r="313" spans="2:21" x14ac:dyDescent="0.2">
      <c r="B313" s="245">
        <v>45352</v>
      </c>
      <c r="C313" s="246">
        <v>267.43</v>
      </c>
      <c r="D313" s="246">
        <v>512.85</v>
      </c>
      <c r="E313" s="246">
        <v>43.98</v>
      </c>
      <c r="F313" s="248">
        <f t="shared" si="50"/>
        <v>5.9432010532254331E-3</v>
      </c>
      <c r="G313" s="248">
        <f t="shared" si="51"/>
        <v>9.3882853094002794E-3</v>
      </c>
      <c r="H313" s="248">
        <f t="shared" si="52"/>
        <v>4.5682960255823968E-3</v>
      </c>
      <c r="I313" s="249">
        <f t="shared" si="53"/>
        <v>0.48745758940986494</v>
      </c>
      <c r="J313" s="249">
        <f t="shared" si="54"/>
        <v>0.2679555962123259</v>
      </c>
      <c r="K313" s="249">
        <f t="shared" si="55"/>
        <v>5.6830469782529924E-2</v>
      </c>
      <c r="L313" s="250">
        <f t="shared" si="45"/>
        <v>148.74575894098672</v>
      </c>
      <c r="M313" s="250">
        <f t="shared" si="46"/>
        <v>126.79555962123273</v>
      </c>
      <c r="N313" s="250">
        <f t="shared" si="47"/>
        <v>105.68304697825302</v>
      </c>
      <c r="O313" s="248">
        <f t="shared" si="48"/>
        <v>0.17311488971162858</v>
      </c>
      <c r="P313" s="247">
        <f t="shared" si="49"/>
        <v>0.40747038615942599</v>
      </c>
      <c r="Q313" s="251">
        <f t="shared" si="56"/>
        <v>1.4874575894098649</v>
      </c>
      <c r="R313" s="251">
        <f t="shared" si="57"/>
        <v>1.4874575894098649</v>
      </c>
      <c r="S313" s="251">
        <f t="shared" si="58"/>
        <v>0</v>
      </c>
      <c r="T313" s="252">
        <f>C313*'1. Share_Price_Analysis'!$E$11+T312*(1-'1. Share_Price_Analysis'!$E$11)</f>
        <v>216.82387055197665</v>
      </c>
      <c r="U313" s="253">
        <f t="shared" si="59"/>
        <v>237.61335649731365</v>
      </c>
    </row>
    <row r="314" spans="2:21" x14ac:dyDescent="0.2">
      <c r="B314" s="245">
        <v>45355</v>
      </c>
      <c r="C314" s="246">
        <v>267.85000000000002</v>
      </c>
      <c r="D314" s="246">
        <v>512.29999999999995</v>
      </c>
      <c r="E314" s="246">
        <v>44.3</v>
      </c>
      <c r="F314" s="248">
        <f t="shared" si="50"/>
        <v>1.5705044310660998E-3</v>
      </c>
      <c r="G314" s="248">
        <f t="shared" si="51"/>
        <v>-1.0724383347958666E-3</v>
      </c>
      <c r="H314" s="248">
        <f t="shared" si="52"/>
        <v>7.276034561164213E-3</v>
      </c>
      <c r="I314" s="249">
        <f t="shared" si="53"/>
        <v>0.48979364814505599</v>
      </c>
      <c r="J314" s="249">
        <f t="shared" si="54"/>
        <v>0.26659579202412886</v>
      </c>
      <c r="K314" s="249">
        <f t="shared" si="55"/>
        <v>6.4520004805959097E-2</v>
      </c>
      <c r="L314" s="250">
        <f t="shared" si="45"/>
        <v>148.97936481450583</v>
      </c>
      <c r="M314" s="250">
        <f t="shared" si="46"/>
        <v>126.65957920241301</v>
      </c>
      <c r="N314" s="250">
        <f t="shared" si="47"/>
        <v>106.45200048059593</v>
      </c>
      <c r="O314" s="248">
        <f t="shared" si="48"/>
        <v>0.17621869386147071</v>
      </c>
      <c r="P314" s="247">
        <f t="shared" si="49"/>
        <v>0.39949802861301409</v>
      </c>
      <c r="Q314" s="251">
        <f t="shared" si="56"/>
        <v>1.489793648145056</v>
      </c>
      <c r="R314" s="251">
        <f t="shared" si="57"/>
        <v>1.489793648145056</v>
      </c>
      <c r="S314" s="251">
        <f t="shared" si="58"/>
        <v>0</v>
      </c>
      <c r="T314" s="252">
        <f>C314*'1. Share_Price_Analysis'!$E$11+T313*(1-'1. Share_Price_Analysis'!$E$11)</f>
        <v>217.33159323305154</v>
      </c>
      <c r="U314" s="253">
        <f t="shared" si="59"/>
        <v>238.79910722290919</v>
      </c>
    </row>
    <row r="315" spans="2:21" x14ac:dyDescent="0.2">
      <c r="B315" s="245">
        <v>45356</v>
      </c>
      <c r="C315" s="246">
        <v>264.98</v>
      </c>
      <c r="D315" s="246">
        <v>507.18</v>
      </c>
      <c r="E315" s="246">
        <v>44.064999999999998</v>
      </c>
      <c r="F315" s="248">
        <f t="shared" si="50"/>
        <v>-1.0714952398730659E-2</v>
      </c>
      <c r="G315" s="248">
        <f t="shared" si="51"/>
        <v>-9.9941440562170136E-3</v>
      </c>
      <c r="H315" s="248">
        <f t="shared" si="52"/>
        <v>-5.3047404063205628E-3</v>
      </c>
      <c r="I315" s="249">
        <f t="shared" si="53"/>
        <v>0.47383058012125034</v>
      </c>
      <c r="J315" s="249">
        <f t="shared" si="54"/>
        <v>0.25393725121764144</v>
      </c>
      <c r="K315" s="249">
        <f t="shared" si="55"/>
        <v>5.8873002523128326E-2</v>
      </c>
      <c r="L315" s="250">
        <f t="shared" si="45"/>
        <v>147.38305801212528</v>
      </c>
      <c r="M315" s="250">
        <f t="shared" si="46"/>
        <v>125.39372512176428</v>
      </c>
      <c r="N315" s="250">
        <f t="shared" si="47"/>
        <v>105.88730025231285</v>
      </c>
      <c r="O315" s="248">
        <f t="shared" si="48"/>
        <v>0.17536230675823727</v>
      </c>
      <c r="P315" s="247">
        <f t="shared" si="49"/>
        <v>0.39188606812086357</v>
      </c>
      <c r="Q315" s="251">
        <f t="shared" si="56"/>
        <v>1.4738305801212503</v>
      </c>
      <c r="R315" s="251">
        <f t="shared" si="57"/>
        <v>1.489793648145056</v>
      </c>
      <c r="S315" s="251">
        <f t="shared" si="58"/>
        <v>-1.0714952398730659E-2</v>
      </c>
      <c r="T315" s="252">
        <f>C315*'1. Share_Price_Analysis'!$E$11+T314*(1-'1. Share_Price_Analysis'!$E$11)</f>
        <v>217.80570673322018</v>
      </c>
      <c r="U315" s="253">
        <f t="shared" si="59"/>
        <v>239.82580890044218</v>
      </c>
    </row>
    <row r="316" spans="2:21" x14ac:dyDescent="0.2">
      <c r="B316" s="245">
        <v>45357</v>
      </c>
      <c r="C316" s="246">
        <v>267.33999999999997</v>
      </c>
      <c r="D316" s="246">
        <v>509.75</v>
      </c>
      <c r="E316" s="246">
        <v>44.39</v>
      </c>
      <c r="F316" s="248">
        <f t="shared" si="50"/>
        <v>8.9063325534000093E-3</v>
      </c>
      <c r="G316" s="248">
        <f t="shared" si="51"/>
        <v>5.0672345124018747E-3</v>
      </c>
      <c r="H316" s="248">
        <f t="shared" si="52"/>
        <v>7.3754680585498278E-3</v>
      </c>
      <c r="I316" s="249">
        <f t="shared" si="53"/>
        <v>0.48695700539518061</v>
      </c>
      <c r="J316" s="249">
        <f t="shared" si="54"/>
        <v>0.26029124533339787</v>
      </c>
      <c r="K316" s="249">
        <f t="shared" si="55"/>
        <v>6.6682686531298385E-2</v>
      </c>
      <c r="L316" s="250">
        <f t="shared" si="45"/>
        <v>148.69570053951833</v>
      </c>
      <c r="M316" s="250">
        <f t="shared" si="46"/>
        <v>126.02912453333992</v>
      </c>
      <c r="N316" s="250">
        <f t="shared" si="47"/>
        <v>106.66826865312989</v>
      </c>
      <c r="O316" s="248">
        <f t="shared" si="48"/>
        <v>0.17985188812592323</v>
      </c>
      <c r="P316" s="247">
        <f t="shared" si="49"/>
        <v>0.39400125657851914</v>
      </c>
      <c r="Q316" s="251">
        <f t="shared" si="56"/>
        <v>1.4869570053951806</v>
      </c>
      <c r="R316" s="251">
        <f t="shared" si="57"/>
        <v>1.489793648145056</v>
      </c>
      <c r="S316" s="251">
        <f t="shared" si="58"/>
        <v>-1.9040507746876933E-3</v>
      </c>
      <c r="T316" s="252">
        <f>C316*'1. Share_Price_Analysis'!$E$11+T315*(1-'1. Share_Price_Analysis'!$E$11)</f>
        <v>218.29858527318814</v>
      </c>
      <c r="U316" s="253">
        <f t="shared" si="59"/>
        <v>240.90479678669934</v>
      </c>
    </row>
    <row r="317" spans="2:21" x14ac:dyDescent="0.2">
      <c r="B317" s="245">
        <v>45358</v>
      </c>
      <c r="C317" s="246">
        <v>271.17</v>
      </c>
      <c r="D317" s="246">
        <v>514.80999999999995</v>
      </c>
      <c r="E317" s="246">
        <v>44.935000000000002</v>
      </c>
      <c r="F317" s="248">
        <f t="shared" si="50"/>
        <v>1.4326326026782521E-2</v>
      </c>
      <c r="G317" s="248">
        <f t="shared" si="51"/>
        <v>9.9264345267287002E-3</v>
      </c>
      <c r="H317" s="248">
        <f t="shared" si="52"/>
        <v>1.2277539986483399E-2</v>
      </c>
      <c r="I317" s="249">
        <f t="shared" si="53"/>
        <v>0.50825963624228021</v>
      </c>
      <c r="J317" s="249">
        <f t="shared" si="54"/>
        <v>0.2728014438648092</v>
      </c>
      <c r="K317" s="249">
        <f t="shared" si="55"/>
        <v>7.9778925868075889E-2</v>
      </c>
      <c r="L317" s="250">
        <f t="shared" si="45"/>
        <v>150.82596362422828</v>
      </c>
      <c r="M317" s="250">
        <f t="shared" si="46"/>
        <v>127.28014438648106</v>
      </c>
      <c r="N317" s="250">
        <f t="shared" si="47"/>
        <v>107.97789258680763</v>
      </c>
      <c r="O317" s="248">
        <f t="shared" si="48"/>
        <v>0.18499208459609529</v>
      </c>
      <c r="P317" s="247">
        <f t="shared" si="49"/>
        <v>0.39682262740007834</v>
      </c>
      <c r="Q317" s="251">
        <f t="shared" si="56"/>
        <v>1.5082596362422802</v>
      </c>
      <c r="R317" s="251">
        <f t="shared" si="57"/>
        <v>1.5082596362422802</v>
      </c>
      <c r="S317" s="251">
        <f t="shared" si="58"/>
        <v>0</v>
      </c>
      <c r="T317" s="252">
        <f>C317*'1. Share_Price_Analysis'!$E$11+T316*(1-'1. Share_Price_Analysis'!$E$11)</f>
        <v>218.82466900181316</v>
      </c>
      <c r="U317" s="253">
        <f t="shared" si="59"/>
        <v>242.09166750094641</v>
      </c>
    </row>
    <row r="318" spans="2:21" x14ac:dyDescent="0.2">
      <c r="B318" s="245">
        <v>45359</v>
      </c>
      <c r="C318" s="246">
        <v>266.7</v>
      </c>
      <c r="D318" s="246">
        <v>511.72</v>
      </c>
      <c r="E318" s="246">
        <v>44.674999999999997</v>
      </c>
      <c r="F318" s="248">
        <f t="shared" si="50"/>
        <v>-1.6484124350038876E-2</v>
      </c>
      <c r="G318" s="248">
        <f t="shared" si="51"/>
        <v>-6.0022144091993468E-3</v>
      </c>
      <c r="H318" s="248">
        <f t="shared" si="52"/>
        <v>-5.7861355290976801E-3</v>
      </c>
      <c r="I318" s="249">
        <f t="shared" si="53"/>
        <v>0.48339729684631805</v>
      </c>
      <c r="J318" s="249">
        <f t="shared" si="54"/>
        <v>0.265161816698394</v>
      </c>
      <c r="K318" s="249">
        <f t="shared" si="55"/>
        <v>7.3531178661539576E-2</v>
      </c>
      <c r="L318" s="250">
        <f t="shared" si="45"/>
        <v>148.33972968463206</v>
      </c>
      <c r="M318" s="250">
        <f t="shared" si="46"/>
        <v>126.51618166983954</v>
      </c>
      <c r="N318" s="250">
        <f t="shared" si="47"/>
        <v>107.35311786615402</v>
      </c>
      <c r="O318" s="248">
        <f t="shared" si="48"/>
        <v>0.17249610071021437</v>
      </c>
      <c r="P318" s="247">
        <f t="shared" si="49"/>
        <v>0.38179246800804845</v>
      </c>
      <c r="Q318" s="251">
        <f t="shared" si="56"/>
        <v>1.483397296846318</v>
      </c>
      <c r="R318" s="251">
        <f t="shared" si="57"/>
        <v>1.5082596362422802</v>
      </c>
      <c r="S318" s="251">
        <f t="shared" si="58"/>
        <v>-1.6484124350038876E-2</v>
      </c>
      <c r="T318" s="252">
        <f>C318*'1. Share_Price_Analysis'!$E$11+T317*(1-'1. Share_Price_Analysis'!$E$11)</f>
        <v>219.30104045453146</v>
      </c>
      <c r="U318" s="253">
        <f t="shared" si="59"/>
        <v>243.05670014796814</v>
      </c>
    </row>
    <row r="319" spans="2:21" x14ac:dyDescent="0.2">
      <c r="B319" s="245">
        <v>45362</v>
      </c>
      <c r="C319" s="246">
        <v>264.95</v>
      </c>
      <c r="D319" s="246">
        <v>511.28</v>
      </c>
      <c r="E319" s="246">
        <v>45.18</v>
      </c>
      <c r="F319" s="248">
        <f t="shared" si="50"/>
        <v>-6.5616797900261981E-3</v>
      </c>
      <c r="G319" s="248">
        <f t="shared" si="51"/>
        <v>-8.5984522785909068E-4</v>
      </c>
      <c r="H319" s="248">
        <f t="shared" si="52"/>
        <v>1.1303861219921663E-2</v>
      </c>
      <c r="I319" s="249">
        <f t="shared" si="53"/>
        <v>0.47366371878302216</v>
      </c>
      <c r="J319" s="249">
        <f t="shared" si="54"/>
        <v>0.26407397334783633</v>
      </c>
      <c r="K319" s="249">
        <f t="shared" si="55"/>
        <v>8.5666226120388655E-2</v>
      </c>
      <c r="L319" s="250">
        <f t="shared" si="45"/>
        <v>147.36637187830246</v>
      </c>
      <c r="M319" s="250">
        <f t="shared" si="46"/>
        <v>126.40739733478377</v>
      </c>
      <c r="N319" s="250">
        <f t="shared" si="47"/>
        <v>108.56662261203893</v>
      </c>
      <c r="O319" s="248">
        <f t="shared" si="48"/>
        <v>0.16580496858114868</v>
      </c>
      <c r="P319" s="247">
        <f t="shared" si="49"/>
        <v>0.35738193132260965</v>
      </c>
      <c r="Q319" s="251">
        <f t="shared" si="56"/>
        <v>1.4736637187830222</v>
      </c>
      <c r="R319" s="251">
        <f t="shared" si="57"/>
        <v>1.5082596362422802</v>
      </c>
      <c r="S319" s="251">
        <f t="shared" si="58"/>
        <v>-2.2937640594461128E-2</v>
      </c>
      <c r="T319" s="252">
        <f>C319*'1. Share_Price_Analysis'!$E$11+T318*(1-'1. Share_Price_Analysis'!$E$11)</f>
        <v>219.75525895747145</v>
      </c>
      <c r="U319" s="253">
        <f t="shared" si="59"/>
        <v>243.91526092647919</v>
      </c>
    </row>
    <row r="320" spans="2:21" x14ac:dyDescent="0.2">
      <c r="B320" s="245">
        <v>45363</v>
      </c>
      <c r="C320" s="246">
        <v>269.58</v>
      </c>
      <c r="D320" s="246">
        <v>516.78</v>
      </c>
      <c r="E320" s="246">
        <v>45.174999999999997</v>
      </c>
      <c r="F320" s="248">
        <f t="shared" si="50"/>
        <v>1.7474995282128702E-2</v>
      </c>
      <c r="G320" s="248">
        <f t="shared" si="51"/>
        <v>1.0757314974182419E-2</v>
      </c>
      <c r="H320" s="248">
        <f t="shared" si="52"/>
        <v>-1.1066843736173837E-4</v>
      </c>
      <c r="I320" s="249">
        <f t="shared" si="53"/>
        <v>0.49941598531619968</v>
      </c>
      <c r="J320" s="249">
        <f t="shared" si="54"/>
        <v>0.27767201522980534</v>
      </c>
      <c r="K320" s="249">
        <f t="shared" si="55"/>
        <v>8.5546077135647547E-2</v>
      </c>
      <c r="L320" s="250">
        <f t="shared" ref="L320:L383" si="60">(C320/$C$64)*100</f>
        <v>149.9415985316202</v>
      </c>
      <c r="M320" s="250">
        <f t="shared" ref="M320:M383" si="61">(D320/$D$64)*100</f>
        <v>127.76720152298067</v>
      </c>
      <c r="N320" s="250">
        <f t="shared" ref="N320:N383" si="62">(E320/$E$64)*100</f>
        <v>108.55460771356479</v>
      </c>
      <c r="O320" s="248">
        <f t="shared" ref="O320:O383" si="63">(1+I320)/(1+J320)-1</f>
        <v>0.17355312430984959</v>
      </c>
      <c r="P320" s="247">
        <f t="shared" ref="P320:P383" si="64">(1+I320)/(1+K320)-1</f>
        <v>0.38125503550489626</v>
      </c>
      <c r="Q320" s="251">
        <f t="shared" si="56"/>
        <v>1.4994159853161997</v>
      </c>
      <c r="R320" s="251">
        <f t="shared" si="57"/>
        <v>1.5082596362422802</v>
      </c>
      <c r="S320" s="251">
        <f t="shared" si="58"/>
        <v>-5.8634804735038237E-3</v>
      </c>
      <c r="T320" s="252">
        <f>C320*'1. Share_Price_Analysis'!$E$11+T319*(1-'1. Share_Price_Analysis'!$E$11)</f>
        <v>220.25102752505879</v>
      </c>
      <c r="U320" s="253">
        <f t="shared" si="59"/>
        <v>244.92172128230354</v>
      </c>
    </row>
    <row r="321" spans="2:21" x14ac:dyDescent="0.2">
      <c r="B321" s="245">
        <v>45364</v>
      </c>
      <c r="C321" s="246">
        <v>269.32</v>
      </c>
      <c r="D321" s="246">
        <v>515.97</v>
      </c>
      <c r="E321" s="246">
        <v>45.62</v>
      </c>
      <c r="F321" s="248">
        <f t="shared" ref="F321:F384" si="65">C321/C320-1</f>
        <v>-9.644632391127006E-4</v>
      </c>
      <c r="G321" s="248">
        <f t="shared" ref="G321:G384" si="66">D321/D320 - 1</f>
        <v>-1.5673981191220987E-3</v>
      </c>
      <c r="H321" s="248">
        <f t="shared" ref="H321:H384" si="67">E321/E320 - 1</f>
        <v>9.8505810736027044E-3</v>
      </c>
      <c r="I321" s="249">
        <f t="shared" ref="I321:I384" si="68">(1+F321)*(1+I320)-1</f>
        <v>0.49796985371822422</v>
      </c>
      <c r="J321" s="249">
        <f t="shared" ref="J321:J384" si="69">(1+G321)*(1+J320)-1</f>
        <v>0.27566939451627914</v>
      </c>
      <c r="K321" s="249">
        <f t="shared" ref="K321:K384" si="70">(1+H321)*(1+K320)-1</f>
        <v>9.6239336777603546E-2</v>
      </c>
      <c r="L321" s="250">
        <f t="shared" si="60"/>
        <v>149.7969853718227</v>
      </c>
      <c r="M321" s="250">
        <f t="shared" si="61"/>
        <v>127.56693945162804</v>
      </c>
      <c r="N321" s="250">
        <f t="shared" si="62"/>
        <v>109.62393367776042</v>
      </c>
      <c r="O321" s="248">
        <f t="shared" si="63"/>
        <v>0.17426181121656459</v>
      </c>
      <c r="P321" s="247">
        <f t="shared" si="64"/>
        <v>0.36646241697685089</v>
      </c>
      <c r="Q321" s="251">
        <f t="shared" ref="Q321:Q384" si="71">Q320*(1+F321)</f>
        <v>1.4979698537182242</v>
      </c>
      <c r="R321" s="251">
        <f t="shared" ref="R321:R384" si="72">MAX(Q321,R320)</f>
        <v>1.5082596362422802</v>
      </c>
      <c r="S321" s="251">
        <f t="shared" ref="S321:S384" si="73">Q321/R321-1</f>
        <v>-6.8222886012465622E-3</v>
      </c>
      <c r="T321" s="252">
        <f>C321*'1. Share_Price_Analysis'!$E$11+T320*(1-'1. Share_Price_Analysis'!$E$11)</f>
        <v>220.73927600739651</v>
      </c>
      <c r="U321" s="253">
        <f t="shared" ref="U321:U384" si="74">C321*$L$5+U320*(1-$L$5)</f>
        <v>245.87851652613477</v>
      </c>
    </row>
    <row r="322" spans="2:21" x14ac:dyDescent="0.2">
      <c r="B322" s="245">
        <v>45365</v>
      </c>
      <c r="C322" s="246">
        <v>270.73</v>
      </c>
      <c r="D322" s="246">
        <v>514.95000000000005</v>
      </c>
      <c r="E322" s="246">
        <v>45.38</v>
      </c>
      <c r="F322" s="248">
        <f t="shared" si="65"/>
        <v>5.2354076934502114E-3</v>
      </c>
      <c r="G322" s="248">
        <f t="shared" si="66"/>
        <v>-1.9768591197162344E-3</v>
      </c>
      <c r="H322" s="248">
        <f t="shared" si="67"/>
        <v>-5.2608505041646936E-3</v>
      </c>
      <c r="I322" s="249">
        <f t="shared" si="68"/>
        <v>0.50581233661493719</v>
      </c>
      <c r="J322" s="249">
        <f t="shared" si="69"/>
        <v>0.27314757583998683</v>
      </c>
      <c r="K322" s="249">
        <f t="shared" si="70"/>
        <v>9.0472185510031888E-2</v>
      </c>
      <c r="L322" s="250">
        <f t="shared" si="60"/>
        <v>150.581233661494</v>
      </c>
      <c r="M322" s="250">
        <f t="shared" si="61"/>
        <v>127.31475758399881</v>
      </c>
      <c r="N322" s="250">
        <f t="shared" si="62"/>
        <v>109.04721855100325</v>
      </c>
      <c r="O322" s="248">
        <f t="shared" si="63"/>
        <v>0.18274767606688846</v>
      </c>
      <c r="P322" s="247">
        <f t="shared" si="64"/>
        <v>0.38088101340305514</v>
      </c>
      <c r="Q322" s="251">
        <f t="shared" si="71"/>
        <v>1.5058123366149372</v>
      </c>
      <c r="R322" s="251">
        <f t="shared" si="72"/>
        <v>1.5082596362422802</v>
      </c>
      <c r="S322" s="251">
        <f t="shared" si="73"/>
        <v>-1.622598370026207E-3</v>
      </c>
      <c r="T322" s="252">
        <f>C322*'1. Share_Price_Analysis'!$E$11+T321*(1-'1. Share_Price_Analysis'!$E$11)</f>
        <v>221.2366961466264</v>
      </c>
      <c r="U322" s="253">
        <f t="shared" si="74"/>
        <v>246.85308450550204</v>
      </c>
    </row>
    <row r="323" spans="2:21" x14ac:dyDescent="0.2">
      <c r="B323" s="245">
        <v>45366</v>
      </c>
      <c r="C323" s="246">
        <v>266.86</v>
      </c>
      <c r="D323" s="246">
        <v>509.83</v>
      </c>
      <c r="E323" s="246">
        <v>45.4</v>
      </c>
      <c r="F323" s="248">
        <f t="shared" si="65"/>
        <v>-1.429468474125517E-2</v>
      </c>
      <c r="G323" s="248">
        <f t="shared" si="66"/>
        <v>-9.9427128847462409E-3</v>
      </c>
      <c r="H323" s="248">
        <f t="shared" si="67"/>
        <v>4.4072278536799736E-4</v>
      </c>
      <c r="I323" s="249">
        <f t="shared" si="68"/>
        <v>0.48428722398353385</v>
      </c>
      <c r="J323" s="249">
        <f t="shared" si="69"/>
        <v>0.26048903503349918</v>
      </c>
      <c r="K323" s="249">
        <f t="shared" si="70"/>
        <v>9.0952781448996101E-2</v>
      </c>
      <c r="L323" s="250">
        <f t="shared" si="60"/>
        <v>148.42872239835364</v>
      </c>
      <c r="M323" s="250">
        <f t="shared" si="61"/>
        <v>126.04890350335005</v>
      </c>
      <c r="N323" s="250">
        <f t="shared" si="62"/>
        <v>109.09527814489968</v>
      </c>
      <c r="O323" s="248">
        <f t="shared" si="63"/>
        <v>0.17754869953635644</v>
      </c>
      <c r="P323" s="247">
        <f t="shared" si="64"/>
        <v>0.36054213273292501</v>
      </c>
      <c r="Q323" s="251">
        <f t="shared" si="71"/>
        <v>1.4842872239835339</v>
      </c>
      <c r="R323" s="251">
        <f t="shared" si="72"/>
        <v>1.5082596362422802</v>
      </c>
      <c r="S323" s="251">
        <f t="shared" si="73"/>
        <v>-1.5894088579120114E-2</v>
      </c>
      <c r="T323" s="252">
        <f>C323*'1. Share_Price_Analysis'!$E$11+T322*(1-'1. Share_Price_Analysis'!$E$11)</f>
        <v>221.69065936904803</v>
      </c>
      <c r="U323" s="253">
        <f t="shared" si="74"/>
        <v>247.6376694268549</v>
      </c>
    </row>
    <row r="324" spans="2:21" x14ac:dyDescent="0.2">
      <c r="B324" s="245">
        <v>45369</v>
      </c>
      <c r="C324" s="246">
        <v>269.42</v>
      </c>
      <c r="D324" s="246">
        <v>512.86</v>
      </c>
      <c r="E324" s="246">
        <v>45.32</v>
      </c>
      <c r="F324" s="248">
        <f t="shared" si="65"/>
        <v>9.5930450423442615E-3</v>
      </c>
      <c r="G324" s="248">
        <f t="shared" si="66"/>
        <v>5.9431575230959321E-3</v>
      </c>
      <c r="H324" s="248">
        <f t="shared" si="67"/>
        <v>-1.7621145374449032E-3</v>
      </c>
      <c r="I324" s="249">
        <f t="shared" si="68"/>
        <v>0.4985260581789841</v>
      </c>
      <c r="J324" s="249">
        <f t="shared" si="69"/>
        <v>0.26798031992483851</v>
      </c>
      <c r="K324" s="249">
        <f t="shared" si="70"/>
        <v>8.9030397693138807E-2</v>
      </c>
      <c r="L324" s="250">
        <f t="shared" si="60"/>
        <v>149.85260581789868</v>
      </c>
      <c r="M324" s="250">
        <f t="shared" si="61"/>
        <v>126.79803199248398</v>
      </c>
      <c r="N324" s="250">
        <f t="shared" si="62"/>
        <v>108.90303976931395</v>
      </c>
      <c r="O324" s="248">
        <f t="shared" si="63"/>
        <v>0.18182122753120611</v>
      </c>
      <c r="P324" s="247">
        <f t="shared" si="64"/>
        <v>0.37601857703262276</v>
      </c>
      <c r="Q324" s="251">
        <f t="shared" si="71"/>
        <v>1.4985260581789841</v>
      </c>
      <c r="R324" s="251">
        <f t="shared" si="72"/>
        <v>1.5082596362422802</v>
      </c>
      <c r="S324" s="251">
        <f t="shared" si="73"/>
        <v>-6.4535162444223637E-3</v>
      </c>
      <c r="T324" s="252">
        <f>C324*'1. Share_Price_Analysis'!$E$11+T323*(1-'1. Share_Price_Analysis'!$E$11)</f>
        <v>222.16557818129633</v>
      </c>
      <c r="U324" s="253">
        <f t="shared" si="74"/>
        <v>248.49187846893903</v>
      </c>
    </row>
    <row r="325" spans="2:21" x14ac:dyDescent="0.2">
      <c r="B325" s="245">
        <v>45370</v>
      </c>
      <c r="C325" s="246">
        <v>269.01</v>
      </c>
      <c r="D325" s="246">
        <v>515.71</v>
      </c>
      <c r="E325" s="246">
        <v>45.325000000000003</v>
      </c>
      <c r="F325" s="248">
        <f t="shared" si="65"/>
        <v>-1.5217875436123185E-3</v>
      </c>
      <c r="G325" s="248">
        <f t="shared" si="66"/>
        <v>5.5570721054478689E-3</v>
      </c>
      <c r="H325" s="248">
        <f t="shared" si="67"/>
        <v>1.1032656663734208E-4</v>
      </c>
      <c r="I325" s="249">
        <f t="shared" si="68"/>
        <v>0.49624561988986882</v>
      </c>
      <c r="J325" s="249">
        <f t="shared" si="69"/>
        <v>0.27502657799094976</v>
      </c>
      <c r="K325" s="249">
        <f t="shared" si="70"/>
        <v>8.9150546677879916E-2</v>
      </c>
      <c r="L325" s="250">
        <f t="shared" si="60"/>
        <v>149.62456198898715</v>
      </c>
      <c r="M325" s="250">
        <f t="shared" si="61"/>
        <v>127.5026577990951</v>
      </c>
      <c r="N325" s="250">
        <f t="shared" si="62"/>
        <v>108.91505466778806</v>
      </c>
      <c r="O325" s="248">
        <f t="shared" si="63"/>
        <v>0.17350151417823167</v>
      </c>
      <c r="P325" s="247">
        <f t="shared" si="64"/>
        <v>0.37377300544328573</v>
      </c>
      <c r="Q325" s="251">
        <f t="shared" si="71"/>
        <v>1.4962456198898688</v>
      </c>
      <c r="R325" s="251">
        <f t="shared" si="72"/>
        <v>1.5082596362422802</v>
      </c>
      <c r="S325" s="251">
        <f t="shared" si="73"/>
        <v>-7.9654829074014E-3</v>
      </c>
      <c r="T325" s="252">
        <f>C325*'1. Share_Price_Analysis'!$E$11+T324*(1-'1. Share_Price_Analysis'!$E$11)</f>
        <v>222.6316918312337</v>
      </c>
      <c r="U325" s="253">
        <f t="shared" si="74"/>
        <v>249.2965106858434</v>
      </c>
    </row>
    <row r="326" spans="2:21" x14ac:dyDescent="0.2">
      <c r="B326" s="245">
        <v>45371</v>
      </c>
      <c r="C326" s="246">
        <v>271.74</v>
      </c>
      <c r="D326" s="246">
        <v>520.48</v>
      </c>
      <c r="E326" s="246">
        <v>45.78</v>
      </c>
      <c r="F326" s="248">
        <f t="shared" si="65"/>
        <v>1.0148321623731471E-2</v>
      </c>
      <c r="G326" s="248">
        <f t="shared" si="66"/>
        <v>9.249384343914091E-3</v>
      </c>
      <c r="H326" s="248">
        <f t="shared" si="67"/>
        <v>1.0038610038610063E-2</v>
      </c>
      <c r="I326" s="249">
        <f t="shared" si="68"/>
        <v>0.51143000166861063</v>
      </c>
      <c r="J326" s="249">
        <f t="shared" si="69"/>
        <v>0.28681978885949366</v>
      </c>
      <c r="K326" s="249">
        <f t="shared" si="70"/>
        <v>0.10008410428931813</v>
      </c>
      <c r="L326" s="250">
        <f t="shared" si="60"/>
        <v>151.14300016686136</v>
      </c>
      <c r="M326" s="250">
        <f t="shared" si="61"/>
        <v>128.68197888594949</v>
      </c>
      <c r="N326" s="250">
        <f t="shared" si="62"/>
        <v>110.00841042893188</v>
      </c>
      <c r="O326" s="248">
        <f t="shared" si="63"/>
        <v>0.17454675064345149</v>
      </c>
      <c r="P326" s="247">
        <f t="shared" si="64"/>
        <v>0.37392222628744576</v>
      </c>
      <c r="Q326" s="251">
        <f t="shared" si="71"/>
        <v>1.5114300016686106</v>
      </c>
      <c r="R326" s="251">
        <f t="shared" si="72"/>
        <v>1.5114300016686106</v>
      </c>
      <c r="S326" s="251">
        <f t="shared" si="73"/>
        <v>0</v>
      </c>
      <c r="T326" s="252">
        <f>C326*'1. Share_Price_Analysis'!$E$11+T325*(1-'1. Share_Price_Analysis'!$E$11)</f>
        <v>223.12033171350998</v>
      </c>
      <c r="U326" s="253">
        <f t="shared" si="74"/>
        <v>250.1766475216927</v>
      </c>
    </row>
    <row r="327" spans="2:21" x14ac:dyDescent="0.2">
      <c r="B327" s="245">
        <v>45372</v>
      </c>
      <c r="C327" s="246">
        <v>275.58999999999997</v>
      </c>
      <c r="D327" s="246">
        <v>522.20000000000005</v>
      </c>
      <c r="E327" s="246">
        <v>45.97</v>
      </c>
      <c r="F327" s="248">
        <f t="shared" si="65"/>
        <v>1.4167954662545057E-2</v>
      </c>
      <c r="G327" s="248">
        <f t="shared" si="66"/>
        <v>3.3046418690441115E-3</v>
      </c>
      <c r="H327" s="248">
        <f t="shared" si="67"/>
        <v>4.1502839667977298E-3</v>
      </c>
      <c r="I327" s="249">
        <f t="shared" si="68"/>
        <v>0.53284387340786199</v>
      </c>
      <c r="J327" s="249">
        <f t="shared" si="69"/>
        <v>0.29107226741167325</v>
      </c>
      <c r="K327" s="249">
        <f t="shared" si="70"/>
        <v>0.10464976570947915</v>
      </c>
      <c r="L327" s="250">
        <f t="shared" si="60"/>
        <v>153.28438734078645</v>
      </c>
      <c r="M327" s="250">
        <f t="shared" si="61"/>
        <v>129.10722674116747</v>
      </c>
      <c r="N327" s="250">
        <f t="shared" si="62"/>
        <v>110.46497657094795</v>
      </c>
      <c r="O327" s="248">
        <f t="shared" si="63"/>
        <v>0.18726419279448203</v>
      </c>
      <c r="P327" s="247">
        <f t="shared" si="64"/>
        <v>0.3876288403712902</v>
      </c>
      <c r="Q327" s="251">
        <f t="shared" si="71"/>
        <v>1.532843873407862</v>
      </c>
      <c r="R327" s="251">
        <f t="shared" si="72"/>
        <v>1.532843873407862</v>
      </c>
      <c r="S327" s="251">
        <f t="shared" si="73"/>
        <v>0</v>
      </c>
      <c r="T327" s="252">
        <f>C327*'1. Share_Price_Analysis'!$E$11+T326*(1-'1. Share_Price_Analysis'!$E$11)</f>
        <v>223.64241796511686</v>
      </c>
      <c r="U327" s="253">
        <f t="shared" si="74"/>
        <v>251.17324957966554</v>
      </c>
    </row>
    <row r="328" spans="2:21" x14ac:dyDescent="0.2">
      <c r="B328" s="245">
        <v>45373</v>
      </c>
      <c r="C328" s="246">
        <v>274.36</v>
      </c>
      <c r="D328" s="246">
        <v>521.21</v>
      </c>
      <c r="E328" s="246">
        <v>45.685000000000002</v>
      </c>
      <c r="F328" s="248">
        <f t="shared" si="65"/>
        <v>-4.4631517834462509E-3</v>
      </c>
      <c r="G328" s="248">
        <f t="shared" si="66"/>
        <v>-1.8958253542704639E-3</v>
      </c>
      <c r="H328" s="248">
        <f t="shared" si="67"/>
        <v>-6.1996954535565862E-3</v>
      </c>
      <c r="I328" s="249">
        <f t="shared" si="68"/>
        <v>0.52600255854051703</v>
      </c>
      <c r="J328" s="249">
        <f t="shared" si="69"/>
        <v>0.28862461987291876</v>
      </c>
      <c r="K328" s="249">
        <f t="shared" si="70"/>
        <v>9.7801273579237735E-2</v>
      </c>
      <c r="L328" s="250">
        <f t="shared" si="60"/>
        <v>152.60025585405197</v>
      </c>
      <c r="M328" s="250">
        <f t="shared" si="61"/>
        <v>128.86246198729202</v>
      </c>
      <c r="N328" s="250">
        <f t="shared" si="62"/>
        <v>109.78012735792382</v>
      </c>
      <c r="O328" s="248">
        <f t="shared" si="63"/>
        <v>0.18421030842248531</v>
      </c>
      <c r="P328" s="247">
        <f t="shared" si="64"/>
        <v>0.39005355091744875</v>
      </c>
      <c r="Q328" s="251">
        <f t="shared" si="71"/>
        <v>1.526002558540517</v>
      </c>
      <c r="R328" s="251">
        <f t="shared" si="72"/>
        <v>1.532843873407862</v>
      </c>
      <c r="S328" s="251">
        <f t="shared" si="73"/>
        <v>-4.4631517834462509E-3</v>
      </c>
      <c r="T328" s="252">
        <f>C328*'1. Share_Price_Analysis'!$E$11+T327*(1-'1. Share_Price_Analysis'!$E$11)</f>
        <v>224.14707052267789</v>
      </c>
      <c r="U328" s="253">
        <f t="shared" si="74"/>
        <v>252.08253390987474</v>
      </c>
    </row>
    <row r="329" spans="2:21" x14ac:dyDescent="0.2">
      <c r="B329" s="245">
        <v>45376</v>
      </c>
      <c r="C329" s="246">
        <v>272.62</v>
      </c>
      <c r="D329" s="246">
        <v>519.77</v>
      </c>
      <c r="E329" s="246">
        <v>45.7</v>
      </c>
      <c r="F329" s="248">
        <f t="shared" si="65"/>
        <v>-6.3420323662342071E-3</v>
      </c>
      <c r="G329" s="248">
        <f t="shared" si="66"/>
        <v>-2.7628019416359173E-3</v>
      </c>
      <c r="H329" s="248">
        <f t="shared" si="67"/>
        <v>3.2833533982712382E-4</v>
      </c>
      <c r="I329" s="249">
        <f t="shared" si="68"/>
        <v>0.51632460092329691</v>
      </c>
      <c r="J329" s="249">
        <f t="shared" si="69"/>
        <v>0.285064405271094</v>
      </c>
      <c r="K329" s="249">
        <f t="shared" si="70"/>
        <v>9.8161720533461061E-2</v>
      </c>
      <c r="L329" s="250">
        <f t="shared" si="60"/>
        <v>151.63246009232995</v>
      </c>
      <c r="M329" s="250">
        <f t="shared" si="61"/>
        <v>128.50644052710953</v>
      </c>
      <c r="N329" s="250">
        <f t="shared" si="62"/>
        <v>109.81617205334615</v>
      </c>
      <c r="O329" s="248">
        <f t="shared" si="63"/>
        <v>0.17996000410844526</v>
      </c>
      <c r="P329" s="247">
        <f t="shared" si="64"/>
        <v>0.38078442598299844</v>
      </c>
      <c r="Q329" s="251">
        <f t="shared" si="71"/>
        <v>1.5163246009232969</v>
      </c>
      <c r="R329" s="251">
        <f t="shared" si="72"/>
        <v>1.532843873407862</v>
      </c>
      <c r="S329" s="251">
        <f t="shared" si="73"/>
        <v>-1.0776878696614367E-2</v>
      </c>
      <c r="T329" s="252">
        <f>C329*'1. Share_Price_Analysis'!$E$11+T328*(1-'1. Share_Price_Analysis'!$E$11)</f>
        <v>224.62938822891991</v>
      </c>
      <c r="U329" s="253">
        <f t="shared" si="74"/>
        <v>252.88792473693849</v>
      </c>
    </row>
    <row r="330" spans="2:21" x14ac:dyDescent="0.2">
      <c r="B330" s="245">
        <v>45377</v>
      </c>
      <c r="C330" s="246">
        <v>273.87</v>
      </c>
      <c r="D330" s="246">
        <v>518.80999999999995</v>
      </c>
      <c r="E330" s="246">
        <v>45.664999999999999</v>
      </c>
      <c r="F330" s="248">
        <f t="shared" si="65"/>
        <v>4.5851368204827825E-3</v>
      </c>
      <c r="G330" s="248">
        <f t="shared" si="66"/>
        <v>-1.846970775535417E-3</v>
      </c>
      <c r="H330" s="248">
        <f t="shared" si="67"/>
        <v>-7.6586433260406039E-4</v>
      </c>
      <c r="I330" s="249">
        <f t="shared" si="68"/>
        <v>0.52327715668279406</v>
      </c>
      <c r="J330" s="249">
        <f t="shared" si="69"/>
        <v>0.28269092886987757</v>
      </c>
      <c r="K330" s="249">
        <f t="shared" si="70"/>
        <v>9.7320677640273301E-2</v>
      </c>
      <c r="L330" s="250">
        <f t="shared" si="60"/>
        <v>152.32771566827967</v>
      </c>
      <c r="M330" s="250">
        <f t="shared" si="61"/>
        <v>128.26909288698789</v>
      </c>
      <c r="N330" s="250">
        <f t="shared" si="62"/>
        <v>109.73206776402739</v>
      </c>
      <c r="O330" s="248">
        <f t="shared" si="63"/>
        <v>0.18756367757655101</v>
      </c>
      <c r="P330" s="247">
        <f t="shared" si="64"/>
        <v>0.38817866802484424</v>
      </c>
      <c r="Q330" s="251">
        <f t="shared" si="71"/>
        <v>1.5232771566827941</v>
      </c>
      <c r="R330" s="251">
        <f t="shared" si="72"/>
        <v>1.532843873407862</v>
      </c>
      <c r="S330" s="251">
        <f t="shared" si="73"/>
        <v>-6.2411553394534636E-3</v>
      </c>
      <c r="T330" s="252">
        <f>C330*'1. Share_Price_Analysis'!$E$11+T329*(1-'1. Share_Price_Analysis'!$E$11)</f>
        <v>225.11934456495058</v>
      </c>
      <c r="U330" s="253">
        <f t="shared" si="74"/>
        <v>253.71075121784287</v>
      </c>
    </row>
    <row r="331" spans="2:21" x14ac:dyDescent="0.2">
      <c r="B331" s="245">
        <v>45378</v>
      </c>
      <c r="C331" s="246">
        <v>272.79000000000002</v>
      </c>
      <c r="D331" s="246">
        <v>523.16999999999996</v>
      </c>
      <c r="E331" s="246">
        <v>46.32</v>
      </c>
      <c r="F331" s="248">
        <f t="shared" si="65"/>
        <v>-3.9434768320735225E-3</v>
      </c>
      <c r="G331" s="248">
        <f t="shared" si="66"/>
        <v>8.4038472658585217E-3</v>
      </c>
      <c r="H331" s="248">
        <f t="shared" si="67"/>
        <v>1.4343589182086891E-2</v>
      </c>
      <c r="I331" s="249">
        <f t="shared" si="68"/>
        <v>0.5172701485065887</v>
      </c>
      <c r="J331" s="249">
        <f t="shared" si="69"/>
        <v>0.29347046752540229</v>
      </c>
      <c r="K331" s="249">
        <f t="shared" si="70"/>
        <v>0.11306019464135453</v>
      </c>
      <c r="L331" s="250">
        <f t="shared" si="60"/>
        <v>151.72701485065912</v>
      </c>
      <c r="M331" s="250">
        <f t="shared" si="61"/>
        <v>129.34704675254034</v>
      </c>
      <c r="N331" s="250">
        <f t="shared" si="62"/>
        <v>111.30601946413552</v>
      </c>
      <c r="O331" s="248">
        <f t="shared" si="63"/>
        <v>0.17302264458294725</v>
      </c>
      <c r="P331" s="247">
        <f t="shared" si="64"/>
        <v>0.36315192638388893</v>
      </c>
      <c r="Q331" s="251">
        <f t="shared" si="71"/>
        <v>1.5172701485065887</v>
      </c>
      <c r="R331" s="251">
        <f t="shared" si="72"/>
        <v>1.532843873407862</v>
      </c>
      <c r="S331" s="251">
        <f t="shared" si="73"/>
        <v>-1.0160020320040375E-2</v>
      </c>
      <c r="T331" s="252">
        <f>C331*'1. Share_Price_Analysis'!$E$11+T330*(1-'1. Share_Price_Analysis'!$E$11)</f>
        <v>225.59367944490131</v>
      </c>
      <c r="U331" s="253">
        <f t="shared" si="74"/>
        <v>254.45895705243726</v>
      </c>
    </row>
    <row r="332" spans="2:21" x14ac:dyDescent="0.2">
      <c r="B332" s="245">
        <v>45379</v>
      </c>
      <c r="C332" s="246">
        <v>272.92</v>
      </c>
      <c r="D332" s="246">
        <v>523.07000000000005</v>
      </c>
      <c r="E332" s="246">
        <v>46.445</v>
      </c>
      <c r="F332" s="248">
        <f t="shared" si="65"/>
        <v>4.765570585432144E-4</v>
      </c>
      <c r="G332" s="248">
        <f t="shared" si="66"/>
        <v>-1.9114245847418054E-4</v>
      </c>
      <c r="H332" s="248">
        <f t="shared" si="67"/>
        <v>2.6986183074266812E-3</v>
      </c>
      <c r="I332" s="249">
        <f t="shared" si="68"/>
        <v>0.51799321430557632</v>
      </c>
      <c r="J332" s="249">
        <f t="shared" si="69"/>
        <v>0.29322323040027576</v>
      </c>
      <c r="K332" s="249">
        <f t="shared" si="70"/>
        <v>0.11606391925988158</v>
      </c>
      <c r="L332" s="250">
        <f t="shared" si="60"/>
        <v>151.79932143055791</v>
      </c>
      <c r="M332" s="250">
        <f t="shared" si="61"/>
        <v>129.3223230400277</v>
      </c>
      <c r="N332" s="250">
        <f t="shared" si="62"/>
        <v>111.60639192598822</v>
      </c>
      <c r="O332" s="248">
        <f t="shared" si="63"/>
        <v>0.17380602097267484</v>
      </c>
      <c r="P332" s="247">
        <f t="shared" si="64"/>
        <v>0.3601310714463688</v>
      </c>
      <c r="Q332" s="251">
        <f t="shared" si="71"/>
        <v>1.5179932143055763</v>
      </c>
      <c r="R332" s="251">
        <f t="shared" si="72"/>
        <v>1.532843873407862</v>
      </c>
      <c r="S332" s="251">
        <f t="shared" si="73"/>
        <v>-9.688305090895688E-3</v>
      </c>
      <c r="T332" s="252">
        <f>C332*'1. Share_Price_Analysis'!$E$11+T331*(1-'1. Share_Price_Analysis'!$E$11)</f>
        <v>226.06458810714111</v>
      </c>
      <c r="U332" s="253">
        <f t="shared" si="74"/>
        <v>255.18291952096911</v>
      </c>
    </row>
    <row r="333" spans="2:21" x14ac:dyDescent="0.2">
      <c r="B333" s="245">
        <v>45383</v>
      </c>
      <c r="C333" s="246">
        <v>269.69</v>
      </c>
      <c r="D333" s="246">
        <v>522.16</v>
      </c>
      <c r="E333" s="246">
        <v>46.335000000000001</v>
      </c>
      <c r="F333" s="248">
        <f t="shared" si="65"/>
        <v>-1.1834969954565455E-2</v>
      </c>
      <c r="G333" s="248">
        <f t="shared" si="66"/>
        <v>-1.739728908176863E-3</v>
      </c>
      <c r="H333" s="248">
        <f t="shared" si="67"/>
        <v>-2.3683927225750523E-3</v>
      </c>
      <c r="I333" s="249">
        <f t="shared" si="68"/>
        <v>0.50002781022303555</v>
      </c>
      <c r="J333" s="249">
        <f t="shared" si="69"/>
        <v>0.29097337256162259</v>
      </c>
      <c r="K333" s="249">
        <f t="shared" si="70"/>
        <v>0.11342064159557785</v>
      </c>
      <c r="L333" s="250">
        <f t="shared" si="60"/>
        <v>150.00278102230379</v>
      </c>
      <c r="M333" s="250">
        <f t="shared" si="61"/>
        <v>129.09733725616238</v>
      </c>
      <c r="N333" s="250">
        <f t="shared" si="62"/>
        <v>111.34206415955785</v>
      </c>
      <c r="O333" s="248">
        <f t="shared" si="63"/>
        <v>0.16193551478648649</v>
      </c>
      <c r="P333" s="247">
        <f t="shared" si="64"/>
        <v>0.34722471830002499</v>
      </c>
      <c r="Q333" s="251">
        <f t="shared" si="71"/>
        <v>1.5000278102230356</v>
      </c>
      <c r="R333" s="251">
        <f t="shared" si="72"/>
        <v>1.532843873407862</v>
      </c>
      <c r="S333" s="251">
        <f t="shared" si="73"/>
        <v>-2.1408614245799762E-2</v>
      </c>
      <c r="T333" s="252">
        <f>C333*'1. Share_Price_Analysis'!$E$11+T332*(1-'1. Share_Price_Analysis'!$E$11)</f>
        <v>226.49867180756758</v>
      </c>
      <c r="U333" s="253">
        <f t="shared" si="74"/>
        <v>255.75182463779385</v>
      </c>
    </row>
    <row r="334" spans="2:21" x14ac:dyDescent="0.2">
      <c r="B334" s="245">
        <v>45384</v>
      </c>
      <c r="C334" s="246">
        <v>266.25</v>
      </c>
      <c r="D334" s="246">
        <v>518.84</v>
      </c>
      <c r="E334" s="246">
        <v>46.164999999999999</v>
      </c>
      <c r="F334" s="248">
        <f t="shared" si="65"/>
        <v>-1.2755385813341236E-2</v>
      </c>
      <c r="G334" s="248">
        <f t="shared" si="66"/>
        <v>-6.3582043817985712E-3</v>
      </c>
      <c r="H334" s="248">
        <f t="shared" si="67"/>
        <v>-3.6689327722024823E-3</v>
      </c>
      <c r="I334" s="249">
        <f t="shared" si="68"/>
        <v>0.48089437677289926</v>
      </c>
      <c r="J334" s="249">
        <f t="shared" si="69"/>
        <v>0.28276510000741606</v>
      </c>
      <c r="K334" s="249">
        <f t="shared" si="70"/>
        <v>0.10933557611438105</v>
      </c>
      <c r="L334" s="250">
        <f t="shared" si="60"/>
        <v>148.08943767729016</v>
      </c>
      <c r="M334" s="250">
        <f t="shared" si="61"/>
        <v>128.27651000074172</v>
      </c>
      <c r="N334" s="250">
        <f t="shared" si="62"/>
        <v>110.93355761143818</v>
      </c>
      <c r="O334" s="248">
        <f t="shared" si="63"/>
        <v>0.15445483881993494</v>
      </c>
      <c r="P334" s="247">
        <f t="shared" si="64"/>
        <v>0.33493814555191692</v>
      </c>
      <c r="Q334" s="251">
        <f t="shared" si="71"/>
        <v>1.4808943767728993</v>
      </c>
      <c r="R334" s="251">
        <f t="shared" si="72"/>
        <v>1.532843873407862</v>
      </c>
      <c r="S334" s="251">
        <f t="shared" si="73"/>
        <v>-3.3890924924706911E-2</v>
      </c>
      <c r="T334" s="252">
        <f>C334*'1. Share_Price_Analysis'!$E$11+T333*(1-'1. Share_Price_Analysis'!$E$11)</f>
        <v>226.89420741147239</v>
      </c>
      <c r="U334" s="253">
        <f t="shared" si="74"/>
        <v>256.16351778925292</v>
      </c>
    </row>
    <row r="335" spans="2:21" x14ac:dyDescent="0.2">
      <c r="B335" s="245">
        <v>45385</v>
      </c>
      <c r="C335" s="246">
        <v>268.77</v>
      </c>
      <c r="D335" s="246">
        <v>519.41</v>
      </c>
      <c r="E335" s="246">
        <v>46.44</v>
      </c>
      <c r="F335" s="248">
        <f t="shared" si="65"/>
        <v>9.4647887323942026E-3</v>
      </c>
      <c r="G335" s="248">
        <f t="shared" si="66"/>
        <v>1.0986045794463273E-3</v>
      </c>
      <c r="H335" s="248">
        <f t="shared" si="67"/>
        <v>5.9568937506768727E-3</v>
      </c>
      <c r="I335" s="249">
        <f t="shared" si="68"/>
        <v>0.49491072918404533</v>
      </c>
      <c r="J335" s="249">
        <f t="shared" si="69"/>
        <v>0.28417435162063809</v>
      </c>
      <c r="K335" s="249">
        <f t="shared" si="70"/>
        <v>0.11594377027514025</v>
      </c>
      <c r="L335" s="250">
        <f t="shared" si="60"/>
        <v>149.4910729184048</v>
      </c>
      <c r="M335" s="250">
        <f t="shared" si="61"/>
        <v>128.41743516206392</v>
      </c>
      <c r="N335" s="250">
        <f t="shared" si="62"/>
        <v>111.59437702751411</v>
      </c>
      <c r="O335" s="248">
        <f t="shared" si="63"/>
        <v>0.16410262149953092</v>
      </c>
      <c r="P335" s="247">
        <f t="shared" si="64"/>
        <v>0.33959323847963185</v>
      </c>
      <c r="Q335" s="251">
        <f t="shared" si="71"/>
        <v>1.4949107291840453</v>
      </c>
      <c r="R335" s="251">
        <f t="shared" si="72"/>
        <v>1.532843873407862</v>
      </c>
      <c r="S335" s="251">
        <f t="shared" si="73"/>
        <v>-2.4746906636670452E-2</v>
      </c>
      <c r="T335" s="252">
        <f>C335*'1. Share_Price_Analysis'!$E$11+T334*(1-'1. Share_Price_Analysis'!$E$11)</f>
        <v>227.31088196459208</v>
      </c>
      <c r="U335" s="253">
        <f t="shared" si="74"/>
        <v>256.65788964065479</v>
      </c>
    </row>
    <row r="336" spans="2:21" x14ac:dyDescent="0.2">
      <c r="B336" s="245">
        <v>45386</v>
      </c>
      <c r="C336" s="246">
        <v>265.89</v>
      </c>
      <c r="D336" s="246">
        <v>513.07000000000005</v>
      </c>
      <c r="E336" s="246">
        <v>45.97</v>
      </c>
      <c r="F336" s="248">
        <f t="shared" si="65"/>
        <v>-1.0715481638575719E-2</v>
      </c>
      <c r="G336" s="248">
        <f t="shared" si="66"/>
        <v>-1.2206156985810623E-2</v>
      </c>
      <c r="H336" s="248">
        <f t="shared" si="67"/>
        <v>-1.0120585701981044E-2</v>
      </c>
      <c r="I336" s="249">
        <f t="shared" si="68"/>
        <v>0.47889204071416391</v>
      </c>
      <c r="J336" s="249">
        <f t="shared" si="69"/>
        <v>0.26849951788760507</v>
      </c>
      <c r="K336" s="249">
        <f t="shared" si="70"/>
        <v>0.10464976570947893</v>
      </c>
      <c r="L336" s="250">
        <f t="shared" si="60"/>
        <v>147.88920407141666</v>
      </c>
      <c r="M336" s="250">
        <f t="shared" si="61"/>
        <v>126.84995178876059</v>
      </c>
      <c r="N336" s="250">
        <f t="shared" si="62"/>
        <v>110.46497657094795</v>
      </c>
      <c r="O336" s="248">
        <f t="shared" si="63"/>
        <v>0.16585936364951825</v>
      </c>
      <c r="P336" s="247">
        <f t="shared" si="64"/>
        <v>0.3387881721627144</v>
      </c>
      <c r="Q336" s="251">
        <f t="shared" si="71"/>
        <v>1.4788920407141639</v>
      </c>
      <c r="R336" s="251">
        <f t="shared" si="72"/>
        <v>1.532843873407862</v>
      </c>
      <c r="S336" s="251">
        <f t="shared" si="73"/>
        <v>-3.5197213251569326E-2</v>
      </c>
      <c r="T336" s="252">
        <f>C336*'1. Share_Price_Analysis'!$E$11+T335*(1-'1. Share_Price_Analysis'!$E$11)</f>
        <v>227.69475378583994</v>
      </c>
      <c r="U336" s="253">
        <f t="shared" si="74"/>
        <v>257.0199331841585</v>
      </c>
    </row>
    <row r="337" spans="2:21" x14ac:dyDescent="0.2">
      <c r="B337" s="245">
        <v>45387</v>
      </c>
      <c r="C337" s="246">
        <v>270.14999999999998</v>
      </c>
      <c r="D337" s="246">
        <v>518.42999999999995</v>
      </c>
      <c r="E337" s="246">
        <v>46.384999999999998</v>
      </c>
      <c r="F337" s="248">
        <f t="shared" si="65"/>
        <v>1.602166309376063E-2</v>
      </c>
      <c r="G337" s="248">
        <f t="shared" si="66"/>
        <v>1.0446917574599812E-2</v>
      </c>
      <c r="H337" s="248">
        <f t="shared" si="67"/>
        <v>9.0276267130737775E-3</v>
      </c>
      <c r="I337" s="249">
        <f t="shared" si="68"/>
        <v>0.50258635074253033</v>
      </c>
      <c r="J337" s="249">
        <f t="shared" si="69"/>
        <v>0.28175142779439644</v>
      </c>
      <c r="K337" s="249">
        <f t="shared" si="70"/>
        <v>0.1146221314429885</v>
      </c>
      <c r="L337" s="250">
        <f t="shared" si="60"/>
        <v>150.25863507425331</v>
      </c>
      <c r="M337" s="250">
        <f t="shared" si="61"/>
        <v>128.17514277943974</v>
      </c>
      <c r="N337" s="250">
        <f t="shared" si="62"/>
        <v>111.46221314429891</v>
      </c>
      <c r="O337" s="248">
        <f t="shared" si="63"/>
        <v>0.17229153653305529</v>
      </c>
      <c r="P337" s="247">
        <f t="shared" si="64"/>
        <v>0.3480679311447763</v>
      </c>
      <c r="Q337" s="251">
        <f t="shared" si="71"/>
        <v>1.5025863507425303</v>
      </c>
      <c r="R337" s="251">
        <f t="shared" si="72"/>
        <v>1.532843873407862</v>
      </c>
      <c r="S337" s="251">
        <f t="shared" si="73"/>
        <v>-1.9739468050364639E-2</v>
      </c>
      <c r="T337" s="252">
        <f>C337*'1. Share_Price_Analysis'!$E$11+T336*(1-'1. Share_Price_Analysis'!$E$11)</f>
        <v>228.11719404667735</v>
      </c>
      <c r="U337" s="253">
        <f t="shared" si="74"/>
        <v>257.53483776517191</v>
      </c>
    </row>
    <row r="338" spans="2:21" x14ac:dyDescent="0.2">
      <c r="B338" s="245">
        <v>45390</v>
      </c>
      <c r="C338" s="246">
        <v>269.72000000000003</v>
      </c>
      <c r="D338" s="246">
        <v>518.72</v>
      </c>
      <c r="E338" s="246">
        <v>46.42</v>
      </c>
      <c r="F338" s="248">
        <f t="shared" si="65"/>
        <v>-1.5917083101978369E-3</v>
      </c>
      <c r="G338" s="248">
        <f t="shared" si="66"/>
        <v>5.5938120864928997E-4</v>
      </c>
      <c r="H338" s="248">
        <f t="shared" si="67"/>
        <v>7.5455427401105446E-4</v>
      </c>
      <c r="I338" s="249">
        <f t="shared" si="68"/>
        <v>0.50019467156126352</v>
      </c>
      <c r="J338" s="249">
        <f t="shared" si="69"/>
        <v>0.28246841545726409</v>
      </c>
      <c r="K338" s="249">
        <f t="shared" si="70"/>
        <v>0.11546317433617603</v>
      </c>
      <c r="L338" s="250">
        <f t="shared" si="60"/>
        <v>150.01946715612661</v>
      </c>
      <c r="M338" s="250">
        <f t="shared" si="61"/>
        <v>128.24684154572651</v>
      </c>
      <c r="N338" s="250">
        <f t="shared" si="62"/>
        <v>111.54631743361769</v>
      </c>
      <c r="O338" s="248">
        <f t="shared" si="63"/>
        <v>0.16977124230101936</v>
      </c>
      <c r="P338" s="247">
        <f t="shared" si="64"/>
        <v>0.34490739459332254</v>
      </c>
      <c r="Q338" s="251">
        <f t="shared" si="71"/>
        <v>1.5001946715612635</v>
      </c>
      <c r="R338" s="251">
        <f t="shared" si="72"/>
        <v>1.532843873407862</v>
      </c>
      <c r="S338" s="251">
        <f t="shared" si="73"/>
        <v>-2.1299756885227894E-2</v>
      </c>
      <c r="T338" s="252">
        <f>C338*'1. Share_Price_Analysis'!$E$11+T337*(1-'1. Share_Price_Analysis'!$E$11)</f>
        <v>228.53115231486964</v>
      </c>
      <c r="U338" s="253">
        <f t="shared" si="74"/>
        <v>258.01268726457693</v>
      </c>
    </row>
    <row r="339" spans="2:21" x14ac:dyDescent="0.2">
      <c r="B339" s="245">
        <v>45391</v>
      </c>
      <c r="C339" s="246">
        <v>265.62</v>
      </c>
      <c r="D339" s="246">
        <v>519.32000000000005</v>
      </c>
      <c r="E339" s="246">
        <v>46.53</v>
      </c>
      <c r="F339" s="248">
        <f t="shared" si="65"/>
        <v>-1.520094913243375E-2</v>
      </c>
      <c r="G339" s="248">
        <f t="shared" si="66"/>
        <v>1.1566933991364881E-3</v>
      </c>
      <c r="H339" s="248">
        <f t="shared" si="67"/>
        <v>2.3696682464455776E-3</v>
      </c>
      <c r="I339" s="249">
        <f t="shared" si="68"/>
        <v>0.47739028867011268</v>
      </c>
      <c r="J339" s="249">
        <f t="shared" si="69"/>
        <v>0.28395183820802461</v>
      </c>
      <c r="K339" s="249">
        <f t="shared" si="70"/>
        <v>0.11810645200047976</v>
      </c>
      <c r="L339" s="250">
        <f t="shared" si="60"/>
        <v>147.73902886701151</v>
      </c>
      <c r="M339" s="250">
        <f t="shared" si="61"/>
        <v>128.39518382080252</v>
      </c>
      <c r="N339" s="250">
        <f t="shared" si="62"/>
        <v>111.81064520004807</v>
      </c>
      <c r="O339" s="248">
        <f t="shared" si="63"/>
        <v>0.15065864988523603</v>
      </c>
      <c r="P339" s="247">
        <f t="shared" si="64"/>
        <v>0.32133240625417558</v>
      </c>
      <c r="Q339" s="251">
        <f t="shared" si="71"/>
        <v>1.4773902886701127</v>
      </c>
      <c r="R339" s="251">
        <f t="shared" si="72"/>
        <v>1.532843873407862</v>
      </c>
      <c r="S339" s="251">
        <f t="shared" si="73"/>
        <v>-3.6176929496716026E-2</v>
      </c>
      <c r="T339" s="252">
        <f>C339*'1. Share_Price_Analysis'!$E$11+T338*(1-'1. Share_Price_Analysis'!$E$11)</f>
        <v>228.90019557541822</v>
      </c>
      <c r="U339" s="253">
        <f t="shared" si="74"/>
        <v>258.31101325420138</v>
      </c>
    </row>
    <row r="340" spans="2:21" x14ac:dyDescent="0.2">
      <c r="B340" s="245">
        <v>45392</v>
      </c>
      <c r="C340" s="246">
        <v>264.56</v>
      </c>
      <c r="D340" s="246">
        <v>514.12</v>
      </c>
      <c r="E340" s="246">
        <v>45.805</v>
      </c>
      <c r="F340" s="248">
        <f t="shared" si="65"/>
        <v>-3.9906633536631597E-3</v>
      </c>
      <c r="G340" s="248">
        <f t="shared" si="66"/>
        <v>-1.0013094046060322E-2</v>
      </c>
      <c r="H340" s="248">
        <f t="shared" si="67"/>
        <v>-1.5581345368579469E-2</v>
      </c>
      <c r="I340" s="249">
        <f t="shared" si="68"/>
        <v>0.47149452138605907</v>
      </c>
      <c r="J340" s="249">
        <f t="shared" si="69"/>
        <v>0.27109550770143565</v>
      </c>
      <c r="K340" s="249">
        <f t="shared" si="70"/>
        <v>0.10068484921302323</v>
      </c>
      <c r="L340" s="250">
        <f t="shared" si="60"/>
        <v>147.14945213860616</v>
      </c>
      <c r="M340" s="250">
        <f t="shared" si="61"/>
        <v>127.10955077014363</v>
      </c>
      <c r="N340" s="250">
        <f t="shared" si="62"/>
        <v>110.06848492130241</v>
      </c>
      <c r="O340" s="248">
        <f t="shared" si="63"/>
        <v>0.15765850203263776</v>
      </c>
      <c r="P340" s="247">
        <f t="shared" si="64"/>
        <v>0.33688995759154894</v>
      </c>
      <c r="Q340" s="251">
        <f t="shared" si="71"/>
        <v>1.4714945213860591</v>
      </c>
      <c r="R340" s="251">
        <f t="shared" si="72"/>
        <v>1.532843873407862</v>
      </c>
      <c r="S340" s="251">
        <f t="shared" si="73"/>
        <v>-4.0023222903588507E-2</v>
      </c>
      <c r="T340" s="252">
        <f>C340*'1. Share_Price_Analysis'!$E$11+T339*(1-'1. Share_Price_Analysis'!$E$11)</f>
        <v>229.25501950004093</v>
      </c>
      <c r="U340" s="253">
        <f t="shared" si="74"/>
        <v>258.55607155795821</v>
      </c>
    </row>
    <row r="341" spans="2:21" x14ac:dyDescent="0.2">
      <c r="B341" s="245">
        <v>45393</v>
      </c>
      <c r="C341" s="246">
        <v>265.5</v>
      </c>
      <c r="D341" s="246">
        <v>518</v>
      </c>
      <c r="E341" s="246">
        <v>45.77</v>
      </c>
      <c r="F341" s="248">
        <f t="shared" si="65"/>
        <v>3.5530692470517877E-3</v>
      </c>
      <c r="G341" s="248">
        <f t="shared" si="66"/>
        <v>7.5468762156694069E-3</v>
      </c>
      <c r="H341" s="248">
        <f t="shared" si="67"/>
        <v>-7.6410872175514122E-4</v>
      </c>
      <c r="I341" s="249">
        <f t="shared" si="68"/>
        <v>0.47672284331720105</v>
      </c>
      <c r="J341" s="249">
        <f t="shared" si="69"/>
        <v>0.28068830815635182</v>
      </c>
      <c r="K341" s="249">
        <f t="shared" si="70"/>
        <v>9.9843806319835915E-2</v>
      </c>
      <c r="L341" s="250">
        <f t="shared" si="60"/>
        <v>147.67228433172036</v>
      </c>
      <c r="M341" s="250">
        <f t="shared" si="61"/>
        <v>128.06883081563527</v>
      </c>
      <c r="N341" s="250">
        <f t="shared" si="62"/>
        <v>109.98438063198365</v>
      </c>
      <c r="O341" s="248">
        <f t="shared" si="63"/>
        <v>0.15306966879634887</v>
      </c>
      <c r="P341" s="247">
        <f t="shared" si="64"/>
        <v>0.34266596295926055</v>
      </c>
      <c r="Q341" s="251">
        <f t="shared" si="71"/>
        <v>1.4767228433172011</v>
      </c>
      <c r="R341" s="251">
        <f t="shared" si="72"/>
        <v>1.532843873407862</v>
      </c>
      <c r="S341" s="251">
        <f t="shared" si="73"/>
        <v>-3.6612358939003387E-2</v>
      </c>
      <c r="T341" s="252">
        <f>C341*'1. Share_Price_Analysis'!$E$11+T340*(1-'1. Share_Price_Analysis'!$E$11)</f>
        <v>229.61566607217983</v>
      </c>
      <c r="U341" s="253">
        <f t="shared" si="74"/>
        <v>258.82838247725397</v>
      </c>
    </row>
    <row r="342" spans="2:21" x14ac:dyDescent="0.2">
      <c r="B342" s="245">
        <v>45394</v>
      </c>
      <c r="C342" s="246">
        <v>262.77999999999997</v>
      </c>
      <c r="D342" s="246">
        <v>510.85</v>
      </c>
      <c r="E342" s="246">
        <v>44.96</v>
      </c>
      <c r="F342" s="248">
        <f t="shared" si="65"/>
        <v>-1.0244821092278866E-2</v>
      </c>
      <c r="G342" s="248">
        <f t="shared" si="66"/>
        <v>-1.3803088803088781E-2</v>
      </c>
      <c r="H342" s="248">
        <f t="shared" si="67"/>
        <v>-1.7697181559973796E-2</v>
      </c>
      <c r="I342" s="249">
        <f t="shared" si="68"/>
        <v>0.461594081984535</v>
      </c>
      <c r="J342" s="249">
        <f t="shared" si="69"/>
        <v>0.26301085370979216</v>
      </c>
      <c r="K342" s="249">
        <f t="shared" si="70"/>
        <v>8.037967079178121E-2</v>
      </c>
      <c r="L342" s="250">
        <f t="shared" si="60"/>
        <v>146.15940819845375</v>
      </c>
      <c r="M342" s="250">
        <f t="shared" si="61"/>
        <v>126.30108537097931</v>
      </c>
      <c r="N342" s="250">
        <f t="shared" si="62"/>
        <v>108.03796707917819</v>
      </c>
      <c r="O342" s="248">
        <f t="shared" si="63"/>
        <v>0.15723002513513817</v>
      </c>
      <c r="P342" s="247">
        <f t="shared" si="64"/>
        <v>0.35285226249525037</v>
      </c>
      <c r="Q342" s="251">
        <f t="shared" si="71"/>
        <v>1.461594081984535</v>
      </c>
      <c r="R342" s="251">
        <f t="shared" si="72"/>
        <v>1.532843873407862</v>
      </c>
      <c r="S342" s="251">
        <f t="shared" si="73"/>
        <v>-4.6482092964185817E-2</v>
      </c>
      <c r="T342" s="252">
        <f>C342*'1. Share_Price_Analysis'!$E$11+T341*(1-'1. Share_Price_Analysis'!$E$11)</f>
        <v>229.94565944459598</v>
      </c>
      <c r="U342" s="253">
        <f t="shared" si="74"/>
        <v>258.98334787030285</v>
      </c>
    </row>
    <row r="343" spans="2:21" x14ac:dyDescent="0.2">
      <c r="B343" s="245">
        <v>45397</v>
      </c>
      <c r="C343" s="246">
        <v>260.47000000000003</v>
      </c>
      <c r="D343" s="246">
        <v>504.45</v>
      </c>
      <c r="E343" s="246">
        <v>44.744999999999997</v>
      </c>
      <c r="F343" s="248">
        <f t="shared" si="65"/>
        <v>-8.790623335109049E-3</v>
      </c>
      <c r="G343" s="248">
        <f t="shared" si="66"/>
        <v>-1.252813937555064E-2</v>
      </c>
      <c r="H343" s="248">
        <f t="shared" si="67"/>
        <v>-4.7820284697509541E-3</v>
      </c>
      <c r="I343" s="249">
        <f t="shared" si="68"/>
        <v>0.44874575894098445</v>
      </c>
      <c r="J343" s="249">
        <f t="shared" si="69"/>
        <v>0.2471876777016826</v>
      </c>
      <c r="K343" s="249">
        <f t="shared" si="70"/>
        <v>7.5213264447914652E-2</v>
      </c>
      <c r="L343" s="250">
        <f t="shared" si="60"/>
        <v>144.87457589409868</v>
      </c>
      <c r="M343" s="250">
        <f t="shared" si="61"/>
        <v>124.71876777016834</v>
      </c>
      <c r="N343" s="250">
        <f t="shared" si="62"/>
        <v>107.52132644479153</v>
      </c>
      <c r="O343" s="248">
        <f t="shared" si="63"/>
        <v>0.16161006466222716</v>
      </c>
      <c r="P343" s="247">
        <f t="shared" si="64"/>
        <v>0.34740316813787264</v>
      </c>
      <c r="Q343" s="251">
        <f t="shared" si="71"/>
        <v>1.4487457589409845</v>
      </c>
      <c r="R343" s="251">
        <f t="shared" si="72"/>
        <v>1.532843873407862</v>
      </c>
      <c r="S343" s="251">
        <f t="shared" si="73"/>
        <v>-5.4864109728219201E-2</v>
      </c>
      <c r="T343" s="252">
        <f>C343*'1. Share_Price_Analysis'!$E$11+T342*(1-'1. Share_Price_Analysis'!$E$11)</f>
        <v>230.2493842262418</v>
      </c>
      <c r="U343" s="253">
        <f t="shared" si="74"/>
        <v>259.04164795382036</v>
      </c>
    </row>
    <row r="344" spans="2:21" x14ac:dyDescent="0.2">
      <c r="B344" s="245">
        <v>45398</v>
      </c>
      <c r="C344" s="246">
        <v>258.54000000000002</v>
      </c>
      <c r="D344" s="246">
        <v>503.53</v>
      </c>
      <c r="E344" s="246">
        <v>44.4</v>
      </c>
      <c r="F344" s="248">
        <f t="shared" si="65"/>
        <v>-7.4096824970246722E-3</v>
      </c>
      <c r="G344" s="248">
        <f t="shared" si="66"/>
        <v>-1.8237684606997595E-3</v>
      </c>
      <c r="H344" s="248">
        <f t="shared" si="67"/>
        <v>-7.7103586992960382E-3</v>
      </c>
      <c r="I344" s="249">
        <f t="shared" si="68"/>
        <v>0.43801101284832078</v>
      </c>
      <c r="J344" s="249">
        <f t="shared" si="69"/>
        <v>0.24491309615051682</v>
      </c>
      <c r="K344" s="249">
        <f t="shared" si="70"/>
        <v>6.6922984500780158E-2</v>
      </c>
      <c r="L344" s="250">
        <f t="shared" si="60"/>
        <v>143.80110128483233</v>
      </c>
      <c r="M344" s="250">
        <f t="shared" si="61"/>
        <v>124.49130961505178</v>
      </c>
      <c r="N344" s="250">
        <f t="shared" si="62"/>
        <v>106.69229845007808</v>
      </c>
      <c r="O344" s="248">
        <f t="shared" si="63"/>
        <v>0.15510955527329218</v>
      </c>
      <c r="P344" s="247">
        <f t="shared" si="64"/>
        <v>0.34781144819105658</v>
      </c>
      <c r="Q344" s="251">
        <f t="shared" si="71"/>
        <v>1.4380110128483208</v>
      </c>
      <c r="R344" s="251">
        <f t="shared" si="72"/>
        <v>1.532843873407862</v>
      </c>
      <c r="S344" s="251">
        <f t="shared" si="73"/>
        <v>-6.1867266591675851E-2</v>
      </c>
      <c r="T344" s="252">
        <f>C344*'1. Share_Price_Analysis'!$E$11+T343*(1-'1. Share_Price_Analysis'!$E$11)</f>
        <v>230.53088289065732</v>
      </c>
      <c r="U344" s="253">
        <f t="shared" si="74"/>
        <v>259.02197548504307</v>
      </c>
    </row>
    <row r="345" spans="2:21" x14ac:dyDescent="0.2">
      <c r="B345" s="245">
        <v>45399</v>
      </c>
      <c r="C345" s="246">
        <v>258.26</v>
      </c>
      <c r="D345" s="246">
        <v>500.55</v>
      </c>
      <c r="E345" s="246">
        <v>44.5</v>
      </c>
      <c r="F345" s="248">
        <f t="shared" si="65"/>
        <v>-1.0830045640908281E-3</v>
      </c>
      <c r="G345" s="248">
        <f t="shared" si="66"/>
        <v>-5.918217385259994E-3</v>
      </c>
      <c r="H345" s="248">
        <f t="shared" si="67"/>
        <v>2.2522522522523403E-3</v>
      </c>
      <c r="I345" s="249">
        <f t="shared" si="68"/>
        <v>0.43645364035819312</v>
      </c>
      <c r="J345" s="249">
        <f t="shared" si="69"/>
        <v>0.23754542982174098</v>
      </c>
      <c r="K345" s="249">
        <f t="shared" si="70"/>
        <v>6.9325964195601886E-2</v>
      </c>
      <c r="L345" s="250">
        <f t="shared" si="60"/>
        <v>143.64536403581957</v>
      </c>
      <c r="M345" s="250">
        <f t="shared" si="61"/>
        <v>123.75454298217419</v>
      </c>
      <c r="N345" s="250">
        <f t="shared" si="62"/>
        <v>106.93259641956026</v>
      </c>
      <c r="O345" s="248">
        <f t="shared" si="63"/>
        <v>0.16072800702363166</v>
      </c>
      <c r="P345" s="247">
        <f t="shared" si="64"/>
        <v>0.3433262526630616</v>
      </c>
      <c r="Q345" s="251">
        <f t="shared" si="71"/>
        <v>1.4364536403581931</v>
      </c>
      <c r="R345" s="251">
        <f t="shared" si="72"/>
        <v>1.532843873407862</v>
      </c>
      <c r="S345" s="251">
        <f t="shared" si="73"/>
        <v>-6.28832686236801E-2</v>
      </c>
      <c r="T345" s="252">
        <f>C345*'1. Share_Price_Analysis'!$E$11+T344*(1-'1. Share_Price_Analysis'!$E$11)</f>
        <v>230.80679450368564</v>
      </c>
      <c r="U345" s="253">
        <f t="shared" si="74"/>
        <v>258.99209409347276</v>
      </c>
    </row>
    <row r="346" spans="2:21" x14ac:dyDescent="0.2">
      <c r="B346" s="245">
        <v>45400</v>
      </c>
      <c r="C346" s="246">
        <v>255.07</v>
      </c>
      <c r="D346" s="246">
        <v>499.52</v>
      </c>
      <c r="E346" s="246">
        <v>44.515000000000001</v>
      </c>
      <c r="F346" s="248">
        <f t="shared" si="65"/>
        <v>-1.2351893440718631E-2</v>
      </c>
      <c r="G346" s="248">
        <f t="shared" si="66"/>
        <v>-2.0577364898611838E-3</v>
      </c>
      <c r="H346" s="248">
        <f t="shared" si="67"/>
        <v>3.3707865168541851E-4</v>
      </c>
      <c r="I346" s="249">
        <f t="shared" si="68"/>
        <v>0.4187107180599563</v>
      </c>
      <c r="J346" s="249">
        <f t="shared" si="69"/>
        <v>0.23499888743293584</v>
      </c>
      <c r="K346" s="249">
        <f t="shared" si="70"/>
        <v>6.9686411149825211E-2</v>
      </c>
      <c r="L346" s="250">
        <f t="shared" si="60"/>
        <v>141.87107180599588</v>
      </c>
      <c r="M346" s="250">
        <f t="shared" si="61"/>
        <v>123.49988874329367</v>
      </c>
      <c r="N346" s="250">
        <f t="shared" si="62"/>
        <v>106.96864111498256</v>
      </c>
      <c r="O346" s="248">
        <f t="shared" si="63"/>
        <v>0.14875465273404664</v>
      </c>
      <c r="P346" s="247">
        <f t="shared" si="64"/>
        <v>0.32628656704627912</v>
      </c>
      <c r="Q346" s="251">
        <f t="shared" si="71"/>
        <v>1.4187107180599563</v>
      </c>
      <c r="R346" s="251">
        <f t="shared" si="72"/>
        <v>1.532843873407862</v>
      </c>
      <c r="S346" s="251">
        <f t="shared" si="73"/>
        <v>-7.4458434631154979E-2</v>
      </c>
      <c r="T346" s="252">
        <f>C346*'1. Share_Price_Analysis'!$E$11+T345*(1-'1. Share_Price_Analysis'!$E$11)</f>
        <v>231.04821943399722</v>
      </c>
      <c r="U346" s="253">
        <f t="shared" si="74"/>
        <v>258.83828648196402</v>
      </c>
    </row>
    <row r="347" spans="2:21" x14ac:dyDescent="0.2">
      <c r="B347" s="245">
        <v>45401</v>
      </c>
      <c r="C347" s="246">
        <v>252.06</v>
      </c>
      <c r="D347" s="246">
        <v>495.16</v>
      </c>
      <c r="E347" s="246">
        <v>44.48</v>
      </c>
      <c r="F347" s="248">
        <f t="shared" si="65"/>
        <v>-1.1800682165679977E-2</v>
      </c>
      <c r="G347" s="248">
        <f t="shared" si="66"/>
        <v>-8.7283792440742136E-3</v>
      </c>
      <c r="H347" s="248">
        <f t="shared" si="67"/>
        <v>-7.8625182522751302E-4</v>
      </c>
      <c r="I347" s="249">
        <f t="shared" si="68"/>
        <v>0.40196896379108704</v>
      </c>
      <c r="J347" s="249">
        <f t="shared" si="69"/>
        <v>0.22421934877741156</v>
      </c>
      <c r="K347" s="249">
        <f t="shared" si="70"/>
        <v>6.8845368256637673E-2</v>
      </c>
      <c r="L347" s="250">
        <f t="shared" si="60"/>
        <v>140.19689637910898</v>
      </c>
      <c r="M347" s="250">
        <f t="shared" si="61"/>
        <v>122.42193487774125</v>
      </c>
      <c r="N347" s="250">
        <f t="shared" si="62"/>
        <v>106.88453682566382</v>
      </c>
      <c r="O347" s="248">
        <f t="shared" si="63"/>
        <v>0.1451942539473734</v>
      </c>
      <c r="P347" s="247">
        <f t="shared" si="64"/>
        <v>0.31166678120877056</v>
      </c>
      <c r="Q347" s="251">
        <f t="shared" si="71"/>
        <v>1.401968963791087</v>
      </c>
      <c r="R347" s="251">
        <f t="shared" si="72"/>
        <v>1.532843873407862</v>
      </c>
      <c r="S347" s="251">
        <f t="shared" si="73"/>
        <v>-8.5380456475198652E-2</v>
      </c>
      <c r="T347" s="252">
        <f>C347*'1. Share_Price_Analysis'!$E$11+T346*(1-'1. Share_Price_Analysis'!$E$11)</f>
        <v>231.25729187744003</v>
      </c>
      <c r="U347" s="253">
        <f t="shared" si="74"/>
        <v>258.57247132580858</v>
      </c>
    </row>
    <row r="348" spans="2:21" x14ac:dyDescent="0.2">
      <c r="B348" s="245">
        <v>45404</v>
      </c>
      <c r="C348" s="246">
        <v>254.48</v>
      </c>
      <c r="D348" s="246">
        <v>499.72</v>
      </c>
      <c r="E348" s="246">
        <v>44.524999999999999</v>
      </c>
      <c r="F348" s="248">
        <f t="shared" si="65"/>
        <v>9.6008886772989133E-3</v>
      </c>
      <c r="G348" s="248">
        <f t="shared" si="66"/>
        <v>9.2091445189432797E-3</v>
      </c>
      <c r="H348" s="248">
        <f t="shared" si="67"/>
        <v>1.0116906474819665E-3</v>
      </c>
      <c r="I348" s="249">
        <f t="shared" si="68"/>
        <v>0.41542911174147346</v>
      </c>
      <c r="J348" s="249">
        <f t="shared" si="69"/>
        <v>0.23549336168318935</v>
      </c>
      <c r="K348" s="249">
        <f t="shared" si="70"/>
        <v>6.9926709119307429E-2</v>
      </c>
      <c r="L348" s="250">
        <f t="shared" si="60"/>
        <v>141.5429111741476</v>
      </c>
      <c r="M348" s="250">
        <f t="shared" si="61"/>
        <v>123.54933616831903</v>
      </c>
      <c r="N348" s="250">
        <f t="shared" si="62"/>
        <v>106.99267091193079</v>
      </c>
      <c r="O348" s="248">
        <f t="shared" si="63"/>
        <v>0.14563878337083613</v>
      </c>
      <c r="P348" s="247">
        <f t="shared" si="64"/>
        <v>0.3229215605866691</v>
      </c>
      <c r="Q348" s="251">
        <f t="shared" si="71"/>
        <v>1.4154291117414735</v>
      </c>
      <c r="R348" s="251">
        <f t="shared" si="72"/>
        <v>1.532843873407862</v>
      </c>
      <c r="S348" s="251">
        <f t="shared" si="73"/>
        <v>-7.6599296055735122E-2</v>
      </c>
      <c r="T348" s="252">
        <f>C348*'1. Share_Price_Analysis'!$E$11+T347*(1-'1. Share_Price_Analysis'!$E$11)</f>
        <v>231.48836360005257</v>
      </c>
      <c r="U348" s="253">
        <f t="shared" si="74"/>
        <v>258.41198225420823</v>
      </c>
    </row>
    <row r="349" spans="2:21" x14ac:dyDescent="0.2">
      <c r="B349" s="245">
        <v>45405</v>
      </c>
      <c r="C349" s="246">
        <v>259.33999999999997</v>
      </c>
      <c r="D349" s="246">
        <v>505.65</v>
      </c>
      <c r="E349" s="246">
        <v>44.14</v>
      </c>
      <c r="F349" s="248">
        <f t="shared" si="65"/>
        <v>1.9097767997485082E-2</v>
      </c>
      <c r="G349" s="248">
        <f t="shared" si="66"/>
        <v>1.1866645321379821E-2</v>
      </c>
      <c r="H349" s="248">
        <f t="shared" si="67"/>
        <v>-8.6468276249297427E-3</v>
      </c>
      <c r="I349" s="249">
        <f t="shared" si="68"/>
        <v>0.44246064853439848</v>
      </c>
      <c r="J349" s="249">
        <f t="shared" si="69"/>
        <v>0.25015452320320297</v>
      </c>
      <c r="K349" s="249">
        <f t="shared" si="70"/>
        <v>6.0675237294244511E-2</v>
      </c>
      <c r="L349" s="250">
        <f t="shared" si="60"/>
        <v>144.24606485344012</v>
      </c>
      <c r="M349" s="250">
        <f t="shared" si="61"/>
        <v>125.01545232032041</v>
      </c>
      <c r="N349" s="250">
        <f t="shared" si="62"/>
        <v>106.06752372942448</v>
      </c>
      <c r="O349" s="248">
        <f t="shared" si="63"/>
        <v>0.15382588453022583</v>
      </c>
      <c r="P349" s="247">
        <f t="shared" si="64"/>
        <v>0.35994562502852312</v>
      </c>
      <c r="Q349" s="251">
        <f t="shared" si="71"/>
        <v>1.4424606485343985</v>
      </c>
      <c r="R349" s="251">
        <f t="shared" si="72"/>
        <v>1.532843873407862</v>
      </c>
      <c r="S349" s="251">
        <f t="shared" si="73"/>
        <v>-5.8964403643093077E-2</v>
      </c>
      <c r="T349" s="252">
        <f>C349*'1. Share_Price_Analysis'!$E$11+T348*(1-'1. Share_Price_Analysis'!$E$11)</f>
        <v>231.7654943104998</v>
      </c>
      <c r="U349" s="253">
        <f t="shared" si="74"/>
        <v>258.44837510698437</v>
      </c>
    </row>
    <row r="350" spans="2:21" x14ac:dyDescent="0.2">
      <c r="B350" s="245">
        <v>45406</v>
      </c>
      <c r="C350" s="246">
        <v>256.39999999999998</v>
      </c>
      <c r="D350" s="246">
        <v>505.41</v>
      </c>
      <c r="E350" s="246">
        <v>44.17</v>
      </c>
      <c r="F350" s="248">
        <f t="shared" si="65"/>
        <v>-1.1336469499498736E-2</v>
      </c>
      <c r="G350" s="248">
        <f t="shared" si="66"/>
        <v>-4.7463660634816662E-4</v>
      </c>
      <c r="H350" s="248">
        <f t="shared" si="67"/>
        <v>6.7965564114191857E-4</v>
      </c>
      <c r="I350" s="249">
        <f t="shared" si="68"/>
        <v>0.42610823738806114</v>
      </c>
      <c r="J350" s="249">
        <f t="shared" si="69"/>
        <v>0.24956115410289903</v>
      </c>
      <c r="K350" s="249">
        <f t="shared" si="70"/>
        <v>6.1396131202691162E-2</v>
      </c>
      <c r="L350" s="250">
        <f t="shared" si="60"/>
        <v>142.61082373880637</v>
      </c>
      <c r="M350" s="250">
        <f t="shared" si="61"/>
        <v>124.95611541029001</v>
      </c>
      <c r="N350" s="250">
        <f t="shared" si="62"/>
        <v>106.13961312026913</v>
      </c>
      <c r="O350" s="248">
        <f t="shared" si="63"/>
        <v>0.14128726929888513</v>
      </c>
      <c r="P350" s="247">
        <f t="shared" si="64"/>
        <v>0.34361544711125602</v>
      </c>
      <c r="Q350" s="251">
        <f t="shared" si="71"/>
        <v>1.4261082373880611</v>
      </c>
      <c r="R350" s="251">
        <f t="shared" si="72"/>
        <v>1.532843873407862</v>
      </c>
      <c r="S350" s="251">
        <f t="shared" si="73"/>
        <v>-6.9632424979135799E-2</v>
      </c>
      <c r="T350" s="252">
        <f>C350*'1. Share_Price_Analysis'!$E$11+T349*(1-'1. Share_Price_Analysis'!$E$11)</f>
        <v>232.01061377009682</v>
      </c>
      <c r="U350" s="253">
        <f t="shared" si="74"/>
        <v>258.36804667141638</v>
      </c>
    </row>
    <row r="351" spans="2:21" x14ac:dyDescent="0.2">
      <c r="B351" s="245">
        <v>45407</v>
      </c>
      <c r="C351" s="246">
        <v>258.54000000000002</v>
      </c>
      <c r="D351" s="246">
        <v>503.49</v>
      </c>
      <c r="E351" s="246">
        <v>44.484999999999999</v>
      </c>
      <c r="F351" s="248">
        <f t="shared" si="65"/>
        <v>8.3463338533542597E-3</v>
      </c>
      <c r="G351" s="248">
        <f t="shared" si="66"/>
        <v>-3.7988959458657989E-3</v>
      </c>
      <c r="H351" s="248">
        <f t="shared" si="67"/>
        <v>7.1315372424722856E-3</v>
      </c>
      <c r="I351" s="249">
        <f t="shared" si="68"/>
        <v>0.43801101284832056</v>
      </c>
      <c r="J351" s="249">
        <f t="shared" si="69"/>
        <v>0.24481420130046616</v>
      </c>
      <c r="K351" s="249">
        <f t="shared" si="70"/>
        <v>6.8965517241379226E-2</v>
      </c>
      <c r="L351" s="250">
        <f t="shared" si="60"/>
        <v>143.80110128483233</v>
      </c>
      <c r="M351" s="250">
        <f t="shared" si="61"/>
        <v>124.48142013004673</v>
      </c>
      <c r="N351" s="250">
        <f t="shared" si="62"/>
        <v>106.89655172413792</v>
      </c>
      <c r="O351" s="248">
        <f t="shared" si="63"/>
        <v>0.15520132349552274</v>
      </c>
      <c r="P351" s="247">
        <f t="shared" si="64"/>
        <v>0.34523610879359024</v>
      </c>
      <c r="Q351" s="251">
        <f t="shared" si="71"/>
        <v>1.4380110128483206</v>
      </c>
      <c r="R351" s="251">
        <f t="shared" si="72"/>
        <v>1.532843873407862</v>
      </c>
      <c r="S351" s="251">
        <f t="shared" si="73"/>
        <v>-6.1867266591675962E-2</v>
      </c>
      <c r="T351" s="252">
        <f>C351*'1. Share_Price_Analysis'!$E$11+T350*(1-'1. Share_Price_Analysis'!$E$11)</f>
        <v>232.27458776243418</v>
      </c>
      <c r="U351" s="253">
        <f t="shared" si="74"/>
        <v>258.37478993920399</v>
      </c>
    </row>
    <row r="352" spans="2:21" x14ac:dyDescent="0.2">
      <c r="B352" s="245">
        <v>45408</v>
      </c>
      <c r="C352" s="246">
        <v>261.24</v>
      </c>
      <c r="D352" s="246">
        <v>508.26</v>
      </c>
      <c r="E352" s="246">
        <v>44.76</v>
      </c>
      <c r="F352" s="248">
        <f t="shared" si="65"/>
        <v>1.0443258296588542E-2</v>
      </c>
      <c r="G352" s="248">
        <f t="shared" si="66"/>
        <v>9.4738723708513994E-3</v>
      </c>
      <c r="H352" s="248">
        <f t="shared" si="67"/>
        <v>6.1818590536135698E-3</v>
      </c>
      <c r="I352" s="249">
        <f t="shared" si="68"/>
        <v>0.45302853328883441</v>
      </c>
      <c r="J352" s="249">
        <f t="shared" si="69"/>
        <v>0.25660741216901006</v>
      </c>
      <c r="K352" s="249">
        <f t="shared" si="70"/>
        <v>7.5573711402138644E-2</v>
      </c>
      <c r="L352" s="250">
        <f t="shared" si="60"/>
        <v>145.30285332888371</v>
      </c>
      <c r="M352" s="250">
        <f t="shared" si="61"/>
        <v>125.66074121690112</v>
      </c>
      <c r="N352" s="250">
        <f t="shared" si="62"/>
        <v>107.55737114021386</v>
      </c>
      <c r="O352" s="248">
        <f t="shared" si="63"/>
        <v>0.15631064978423526</v>
      </c>
      <c r="P352" s="247">
        <f t="shared" si="64"/>
        <v>0.35093347660444252</v>
      </c>
      <c r="Q352" s="251">
        <f t="shared" si="71"/>
        <v>1.4530285332888344</v>
      </c>
      <c r="R352" s="251">
        <f t="shared" si="72"/>
        <v>1.532843873407862</v>
      </c>
      <c r="S352" s="251">
        <f t="shared" si="73"/>
        <v>-5.2070104140208295E-2</v>
      </c>
      <c r="T352" s="252">
        <f>C352*'1. Share_Price_Analysis'!$E$11+T351*(1-'1. Share_Price_Analysis'!$E$11)</f>
        <v>232.5628008195244</v>
      </c>
      <c r="U352" s="253">
        <f t="shared" si="74"/>
        <v>258.48715111805876</v>
      </c>
    </row>
    <row r="353" spans="2:21" x14ac:dyDescent="0.2">
      <c r="B353" s="245">
        <v>45411</v>
      </c>
      <c r="C353" s="246">
        <v>261.45</v>
      </c>
      <c r="D353" s="246">
        <v>510.06</v>
      </c>
      <c r="E353" s="246">
        <v>45.134999999999998</v>
      </c>
      <c r="F353" s="248">
        <f t="shared" si="65"/>
        <v>8.03858520900258E-4</v>
      </c>
      <c r="G353" s="248">
        <f t="shared" si="66"/>
        <v>3.5414945106835294E-3</v>
      </c>
      <c r="H353" s="248">
        <f t="shared" si="67"/>
        <v>8.3780160857909181E-3</v>
      </c>
      <c r="I353" s="249">
        <f t="shared" si="68"/>
        <v>0.45419656265642994</v>
      </c>
      <c r="J353" s="249">
        <f t="shared" si="69"/>
        <v>0.26105768042129074</v>
      </c>
      <c r="K353" s="249">
        <f t="shared" si="70"/>
        <v>8.4584885257719566E-2</v>
      </c>
      <c r="L353" s="250">
        <f t="shared" si="60"/>
        <v>145.41965626564325</v>
      </c>
      <c r="M353" s="250">
        <f t="shared" si="61"/>
        <v>126.10576804212921</v>
      </c>
      <c r="N353" s="250">
        <f t="shared" si="62"/>
        <v>108.45848852577195</v>
      </c>
      <c r="O353" s="248">
        <f t="shared" si="63"/>
        <v>0.15315626337616517</v>
      </c>
      <c r="P353" s="247">
        <f t="shared" si="64"/>
        <v>0.34078630674526056</v>
      </c>
      <c r="Q353" s="251">
        <f t="shared" si="71"/>
        <v>1.4541965626564299</v>
      </c>
      <c r="R353" s="251">
        <f t="shared" si="72"/>
        <v>1.532843873407862</v>
      </c>
      <c r="S353" s="251">
        <f t="shared" si="73"/>
        <v>-5.130810261620522E-2</v>
      </c>
      <c r="T353" s="252">
        <f>C353*'1. Share_Price_Analysis'!$E$11+T352*(1-'1. Share_Price_Analysis'!$E$11)</f>
        <v>232.85023563724056</v>
      </c>
      <c r="U353" s="253">
        <f t="shared" si="74"/>
        <v>258.60334127029176</v>
      </c>
    </row>
    <row r="354" spans="2:21" x14ac:dyDescent="0.2">
      <c r="B354" s="245">
        <v>45412</v>
      </c>
      <c r="C354" s="246">
        <v>257.63</v>
      </c>
      <c r="D354" s="246">
        <v>501.98</v>
      </c>
      <c r="E354" s="246">
        <v>44.314999999999998</v>
      </c>
      <c r="F354" s="248">
        <f t="shared" si="65"/>
        <v>-1.4610824249378429E-2</v>
      </c>
      <c r="G354" s="248">
        <f t="shared" si="66"/>
        <v>-1.5841273575657788E-2</v>
      </c>
      <c r="H354" s="248">
        <f t="shared" si="67"/>
        <v>-1.8167719065027121E-2</v>
      </c>
      <c r="I354" s="249">
        <f t="shared" si="68"/>
        <v>0.43294955225540654</v>
      </c>
      <c r="J354" s="249">
        <f t="shared" si="69"/>
        <v>0.24108092071105269</v>
      </c>
      <c r="K354" s="249">
        <f t="shared" si="70"/>
        <v>6.4880451760182645E-2</v>
      </c>
      <c r="L354" s="250">
        <f t="shared" si="60"/>
        <v>143.29495522554092</v>
      </c>
      <c r="M354" s="250">
        <f t="shared" si="61"/>
        <v>124.1080920711054</v>
      </c>
      <c r="N354" s="250">
        <f t="shared" si="62"/>
        <v>106.48804517601825</v>
      </c>
      <c r="O354" s="248">
        <f t="shared" si="63"/>
        <v>0.15459800271075519</v>
      </c>
      <c r="P354" s="247">
        <f t="shared" si="64"/>
        <v>0.34564358833597519</v>
      </c>
      <c r="Q354" s="251">
        <f t="shared" si="71"/>
        <v>1.4329495522554065</v>
      </c>
      <c r="R354" s="251">
        <f t="shared" si="72"/>
        <v>1.532843873407862</v>
      </c>
      <c r="S354" s="251">
        <f t="shared" si="73"/>
        <v>-6.5169273195689215E-2</v>
      </c>
      <c r="T354" s="252">
        <f>C354*'1. Share_Price_Analysis'!$E$11+T353*(1-'1. Share_Price_Analysis'!$E$11)</f>
        <v>233.0968004567705</v>
      </c>
      <c r="U354" s="253">
        <f t="shared" si="74"/>
        <v>258.56517102439796</v>
      </c>
    </row>
    <row r="355" spans="2:21" x14ac:dyDescent="0.2">
      <c r="B355" s="245">
        <v>45413</v>
      </c>
      <c r="C355" s="246">
        <v>259.73</v>
      </c>
      <c r="D355" s="246">
        <v>500.35</v>
      </c>
      <c r="E355" s="246">
        <v>44.545000000000002</v>
      </c>
      <c r="F355" s="248">
        <f t="shared" si="65"/>
        <v>8.151224624461495E-3</v>
      </c>
      <c r="G355" s="248">
        <f t="shared" si="66"/>
        <v>-3.247141320371294E-3</v>
      </c>
      <c r="H355" s="248">
        <f t="shared" si="67"/>
        <v>5.1901162134717627E-3</v>
      </c>
      <c r="I355" s="249">
        <f t="shared" si="68"/>
        <v>0.44462984593136179</v>
      </c>
      <c r="J355" s="249">
        <f t="shared" si="69"/>
        <v>0.23705095557148748</v>
      </c>
      <c r="K355" s="249">
        <f t="shared" si="70"/>
        <v>7.0407305058272307E-2</v>
      </c>
      <c r="L355" s="250">
        <f t="shared" si="60"/>
        <v>144.46298459313644</v>
      </c>
      <c r="M355" s="250">
        <f t="shared" si="61"/>
        <v>123.70509555714887</v>
      </c>
      <c r="N355" s="250">
        <f t="shared" si="62"/>
        <v>107.04073050582723</v>
      </c>
      <c r="O355" s="248">
        <f t="shared" si="63"/>
        <v>0.1678014065831086</v>
      </c>
      <c r="P355" s="247">
        <f t="shared" si="64"/>
        <v>0.34960761114454186</v>
      </c>
      <c r="Q355" s="251">
        <f t="shared" si="71"/>
        <v>1.4446298459313618</v>
      </c>
      <c r="R355" s="251">
        <f t="shared" si="72"/>
        <v>1.532843873407862</v>
      </c>
      <c r="S355" s="251">
        <f t="shared" si="73"/>
        <v>-5.7549257955658795E-2</v>
      </c>
      <c r="T355" s="252">
        <f>C355*'1. Share_Price_Analysis'!$E$11+T354*(1-'1. Share_Price_Analysis'!$E$11)</f>
        <v>233.36180741739966</v>
      </c>
      <c r="U355" s="253">
        <f t="shared" si="74"/>
        <v>258.61085059206863</v>
      </c>
    </row>
    <row r="356" spans="2:21" x14ac:dyDescent="0.2">
      <c r="B356" s="245">
        <v>45414</v>
      </c>
      <c r="C356" s="246">
        <v>264.41000000000003</v>
      </c>
      <c r="D356" s="246">
        <v>505.03</v>
      </c>
      <c r="E356" s="246">
        <v>44.314999999999998</v>
      </c>
      <c r="F356" s="248">
        <f t="shared" si="65"/>
        <v>1.8018711739113735E-2</v>
      </c>
      <c r="G356" s="248">
        <f t="shared" si="66"/>
        <v>9.353452583191757E-3</v>
      </c>
      <c r="H356" s="248">
        <f t="shared" si="67"/>
        <v>-5.1633179930408168E-3</v>
      </c>
      <c r="I356" s="249">
        <f t="shared" si="68"/>
        <v>0.47066021469491925</v>
      </c>
      <c r="J356" s="249">
        <f t="shared" si="69"/>
        <v>0.24862165302741746</v>
      </c>
      <c r="K356" s="249">
        <f t="shared" si="70"/>
        <v>6.4880451760182645E-2</v>
      </c>
      <c r="L356" s="250">
        <f t="shared" si="60"/>
        <v>147.06602146949223</v>
      </c>
      <c r="M356" s="250">
        <f t="shared" si="61"/>
        <v>124.86216530274183</v>
      </c>
      <c r="N356" s="250">
        <f t="shared" si="62"/>
        <v>106.48804517601825</v>
      </c>
      <c r="O356" s="248">
        <f t="shared" si="63"/>
        <v>0.17782693510812142</v>
      </c>
      <c r="P356" s="247">
        <f t="shared" si="64"/>
        <v>0.3810566362299237</v>
      </c>
      <c r="Q356" s="251">
        <f t="shared" si="71"/>
        <v>1.4706602146949193</v>
      </c>
      <c r="R356" s="251">
        <f t="shared" si="72"/>
        <v>1.532843873407862</v>
      </c>
      <c r="S356" s="251">
        <f t="shared" si="73"/>
        <v>-4.0567509706447957E-2</v>
      </c>
      <c r="T356" s="252">
        <f>C356*'1. Share_Price_Analysis'!$E$11+T355*(1-'1. Share_Price_Analysis'!$E$11)</f>
        <v>233.67074465702754</v>
      </c>
      <c r="U356" s="253">
        <f t="shared" si="74"/>
        <v>258.83826821590907</v>
      </c>
    </row>
    <row r="357" spans="2:21" x14ac:dyDescent="0.2">
      <c r="B357" s="245">
        <v>45415</v>
      </c>
      <c r="C357" s="246">
        <v>264.44</v>
      </c>
      <c r="D357" s="246">
        <v>511.29</v>
      </c>
      <c r="E357" s="246">
        <v>44.765000000000001</v>
      </c>
      <c r="F357" s="248">
        <f t="shared" si="65"/>
        <v>1.1346015657487385E-4</v>
      </c>
      <c r="G357" s="248">
        <f t="shared" si="66"/>
        <v>1.239530324931204E-2</v>
      </c>
      <c r="H357" s="248">
        <f t="shared" si="67"/>
        <v>1.0154575200270743E-2</v>
      </c>
      <c r="I357" s="249">
        <f t="shared" si="68"/>
        <v>0.470827076033147</v>
      </c>
      <c r="J357" s="249">
        <f t="shared" si="69"/>
        <v>0.26409869706034961</v>
      </c>
      <c r="K357" s="249">
        <f t="shared" si="70"/>
        <v>7.5693860386879752E-2</v>
      </c>
      <c r="L357" s="250">
        <f t="shared" si="60"/>
        <v>147.08270760331499</v>
      </c>
      <c r="M357" s="250">
        <f t="shared" si="61"/>
        <v>126.40986970603505</v>
      </c>
      <c r="N357" s="250">
        <f t="shared" si="62"/>
        <v>107.56938603868798</v>
      </c>
      <c r="O357" s="248">
        <f t="shared" si="63"/>
        <v>0.16353816316205561</v>
      </c>
      <c r="P357" s="247">
        <f t="shared" si="64"/>
        <v>0.36732868913480199</v>
      </c>
      <c r="Q357" s="251">
        <f t="shared" si="71"/>
        <v>1.470827076033147</v>
      </c>
      <c r="R357" s="251">
        <f t="shared" si="72"/>
        <v>1.532843873407862</v>
      </c>
      <c r="S357" s="251">
        <f t="shared" si="73"/>
        <v>-4.04586523458762E-2</v>
      </c>
      <c r="T357" s="252">
        <f>C357*'1. Share_Price_Analysis'!$E$11+T356*(1-'1. Share_Price_Analysis'!$E$11)</f>
        <v>233.97690640173374</v>
      </c>
      <c r="U357" s="253">
        <f t="shared" si="74"/>
        <v>259.05794397214794</v>
      </c>
    </row>
    <row r="358" spans="2:21" x14ac:dyDescent="0.2">
      <c r="B358" s="245">
        <v>45418</v>
      </c>
      <c r="C358" s="246">
        <v>266.61</v>
      </c>
      <c r="D358" s="246">
        <v>516.57000000000005</v>
      </c>
      <c r="E358" s="246">
        <v>45.034999999999997</v>
      </c>
      <c r="F358" s="248">
        <f t="shared" si="65"/>
        <v>8.2060202692482154E-3</v>
      </c>
      <c r="G358" s="248">
        <f t="shared" si="66"/>
        <v>1.0326820395470282E-2</v>
      </c>
      <c r="H358" s="248">
        <f t="shared" si="67"/>
        <v>6.0314978219591087E-3</v>
      </c>
      <c r="I358" s="249">
        <f t="shared" si="68"/>
        <v>0.48289671283163416</v>
      </c>
      <c r="J358" s="249">
        <f t="shared" si="69"/>
        <v>0.27715281726703989</v>
      </c>
      <c r="K358" s="249">
        <f t="shared" si="70"/>
        <v>8.2181905562898061E-2</v>
      </c>
      <c r="L358" s="250">
        <f t="shared" si="60"/>
        <v>148.2896712831637</v>
      </c>
      <c r="M358" s="250">
        <f t="shared" si="61"/>
        <v>127.71528172670408</v>
      </c>
      <c r="N358" s="250">
        <f t="shared" si="62"/>
        <v>108.21819055628978</v>
      </c>
      <c r="O358" s="248">
        <f t="shared" si="63"/>
        <v>0.16109575360359973</v>
      </c>
      <c r="P358" s="247">
        <f t="shared" si="64"/>
        <v>0.37028415020513927</v>
      </c>
      <c r="Q358" s="251">
        <f t="shared" si="71"/>
        <v>1.4828967128316342</v>
      </c>
      <c r="R358" s="251">
        <f t="shared" si="72"/>
        <v>1.532843873407862</v>
      </c>
      <c r="S358" s="251">
        <f t="shared" si="73"/>
        <v>-3.2584636597844718E-2</v>
      </c>
      <c r="T358" s="252">
        <f>C358*'1. Share_Price_Analysis'!$E$11+T357*(1-'1. Share_Price_Analysis'!$E$11)</f>
        <v>234.30161380072147</v>
      </c>
      <c r="U358" s="253">
        <f t="shared" si="74"/>
        <v>259.35410303206373</v>
      </c>
    </row>
    <row r="359" spans="2:21" x14ac:dyDescent="0.2">
      <c r="B359" s="245">
        <v>45419</v>
      </c>
      <c r="C359" s="246">
        <v>268.35000000000002</v>
      </c>
      <c r="D359" s="246">
        <v>517.14</v>
      </c>
      <c r="E359" s="246">
        <v>45.57</v>
      </c>
      <c r="F359" s="248">
        <f t="shared" si="65"/>
        <v>6.5263868572071893E-3</v>
      </c>
      <c r="G359" s="248">
        <f t="shared" si="66"/>
        <v>1.1034322550669273E-3</v>
      </c>
      <c r="H359" s="248">
        <f t="shared" si="67"/>
        <v>1.1879649161763206E-2</v>
      </c>
      <c r="I359" s="249">
        <f t="shared" si="68"/>
        <v>0.49257467044885428</v>
      </c>
      <c r="J359" s="249">
        <f t="shared" si="69"/>
        <v>0.27856206888026191</v>
      </c>
      <c r="K359" s="249">
        <f t="shared" si="70"/>
        <v>9.503784693019357E-2</v>
      </c>
      <c r="L359" s="250">
        <f t="shared" si="60"/>
        <v>149.25746704488571</v>
      </c>
      <c r="M359" s="250">
        <f t="shared" si="61"/>
        <v>127.85620688802631</v>
      </c>
      <c r="N359" s="250">
        <f t="shared" si="62"/>
        <v>109.50378469301934</v>
      </c>
      <c r="O359" s="248">
        <f t="shared" si="63"/>
        <v>0.16738538298419892</v>
      </c>
      <c r="P359" s="247">
        <f t="shared" si="64"/>
        <v>0.3630347796956126</v>
      </c>
      <c r="Q359" s="251">
        <f t="shared" si="71"/>
        <v>1.4925746704488543</v>
      </c>
      <c r="R359" s="251">
        <f t="shared" si="72"/>
        <v>1.532843873407862</v>
      </c>
      <c r="S359" s="251">
        <f t="shared" si="73"/>
        <v>-2.6270909684676491E-2</v>
      </c>
      <c r="T359" s="252">
        <f>C359*'1. Share_Price_Analysis'!$E$11+T358*(1-'1. Share_Price_Analysis'!$E$11)</f>
        <v>234.64040371315212</v>
      </c>
      <c r="U359" s="253">
        <f t="shared" si="74"/>
        <v>259.70688330531613</v>
      </c>
    </row>
    <row r="360" spans="2:21" x14ac:dyDescent="0.2">
      <c r="B360" s="245">
        <v>45420</v>
      </c>
      <c r="C360" s="246">
        <v>267.93</v>
      </c>
      <c r="D360" s="246">
        <v>517.19000000000005</v>
      </c>
      <c r="E360" s="246">
        <v>45.36</v>
      </c>
      <c r="F360" s="248">
        <f t="shared" si="65"/>
        <v>-1.5651201788708935E-3</v>
      </c>
      <c r="G360" s="248">
        <f t="shared" si="66"/>
        <v>9.6685617047675976E-5</v>
      </c>
      <c r="H360" s="248">
        <f t="shared" si="67"/>
        <v>-4.6082949308755561E-3</v>
      </c>
      <c r="I360" s="249">
        <f t="shared" si="68"/>
        <v>0.49023861171366323</v>
      </c>
      <c r="J360" s="249">
        <f t="shared" si="69"/>
        <v>0.2786856874428254</v>
      </c>
      <c r="K360" s="249">
        <f t="shared" si="70"/>
        <v>8.9991589571068342E-2</v>
      </c>
      <c r="L360" s="250">
        <f t="shared" si="60"/>
        <v>149.0238611713666</v>
      </c>
      <c r="M360" s="250">
        <f t="shared" si="61"/>
        <v>127.86856874428265</v>
      </c>
      <c r="N360" s="250">
        <f t="shared" si="62"/>
        <v>108.99915895710681</v>
      </c>
      <c r="O360" s="248">
        <f t="shared" si="63"/>
        <v>0.16544560273753528</v>
      </c>
      <c r="P360" s="247">
        <f t="shared" si="64"/>
        <v>0.36720193620952557</v>
      </c>
      <c r="Q360" s="251">
        <f t="shared" si="71"/>
        <v>1.4902386117136632</v>
      </c>
      <c r="R360" s="251">
        <f t="shared" si="72"/>
        <v>1.532843873407862</v>
      </c>
      <c r="S360" s="251">
        <f t="shared" si="73"/>
        <v>-2.7794912732682642E-2</v>
      </c>
      <c r="T360" s="252">
        <f>C360*'1. Share_Price_Analysis'!$E$11+T359*(1-'1. Share_Price_Analysis'!$E$11)</f>
        <v>234.97164347720036</v>
      </c>
      <c r="U360" s="253">
        <f t="shared" si="74"/>
        <v>260.02935846981353</v>
      </c>
    </row>
    <row r="361" spans="2:21" x14ac:dyDescent="0.2">
      <c r="B361" s="245">
        <v>45421</v>
      </c>
      <c r="C361" s="246">
        <v>270.69</v>
      </c>
      <c r="D361" s="246">
        <v>520.16999999999996</v>
      </c>
      <c r="E361" s="246">
        <v>45.865000000000002</v>
      </c>
      <c r="F361" s="248">
        <f t="shared" si="65"/>
        <v>1.0301198074123885E-2</v>
      </c>
      <c r="G361" s="248">
        <f t="shared" si="66"/>
        <v>5.7619056826310189E-3</v>
      </c>
      <c r="H361" s="248">
        <f t="shared" si="67"/>
        <v>1.113315696649031E-2</v>
      </c>
      <c r="I361" s="249">
        <f t="shared" si="68"/>
        <v>0.50558985483063301</v>
      </c>
      <c r="J361" s="249">
        <f t="shared" si="69"/>
        <v>0.28605335377160124</v>
      </c>
      <c r="K361" s="249">
        <f t="shared" si="70"/>
        <v>0.10212663702991742</v>
      </c>
      <c r="L361" s="250">
        <f t="shared" si="60"/>
        <v>150.55898548306359</v>
      </c>
      <c r="M361" s="250">
        <f t="shared" si="61"/>
        <v>128.6053353771602</v>
      </c>
      <c r="N361" s="250">
        <f t="shared" si="62"/>
        <v>110.21266370299172</v>
      </c>
      <c r="O361" s="248">
        <f t="shared" si="63"/>
        <v>0.17070559352393766</v>
      </c>
      <c r="P361" s="247">
        <f t="shared" si="64"/>
        <v>0.36607700444296909</v>
      </c>
      <c r="Q361" s="251">
        <f t="shared" si="71"/>
        <v>1.505589854830633</v>
      </c>
      <c r="R361" s="251">
        <f t="shared" si="72"/>
        <v>1.532843873407862</v>
      </c>
      <c r="S361" s="251">
        <f t="shared" si="73"/>
        <v>-1.7780035560071128E-2</v>
      </c>
      <c r="T361" s="252">
        <f>C361*'1. Share_Price_Analysis'!$E$11+T360*(1-'1. Share_Price_Analysis'!$E$11)</f>
        <v>235.32705000976554</v>
      </c>
      <c r="U361" s="253">
        <f t="shared" si="74"/>
        <v>260.44742284354635</v>
      </c>
    </row>
    <row r="362" spans="2:21" x14ac:dyDescent="0.2">
      <c r="B362" s="245">
        <v>45422</v>
      </c>
      <c r="C362" s="246">
        <v>272.07</v>
      </c>
      <c r="D362" s="246">
        <v>520.84</v>
      </c>
      <c r="E362" s="246">
        <v>45.92</v>
      </c>
      <c r="F362" s="248">
        <f t="shared" si="65"/>
        <v>5.0980826776017008E-3</v>
      </c>
      <c r="G362" s="248">
        <f t="shared" si="66"/>
        <v>1.2880404483150976E-3</v>
      </c>
      <c r="H362" s="248">
        <f t="shared" si="67"/>
        <v>1.1991714815218213E-3</v>
      </c>
      <c r="I362" s="249">
        <f t="shared" si="68"/>
        <v>0.51326547638911801</v>
      </c>
      <c r="J362" s="249">
        <f t="shared" si="69"/>
        <v>0.28770984250995024</v>
      </c>
      <c r="K362" s="249">
        <f t="shared" si="70"/>
        <v>0.10344827586206917</v>
      </c>
      <c r="L362" s="250">
        <f t="shared" si="60"/>
        <v>151.32654763891207</v>
      </c>
      <c r="M362" s="250">
        <f t="shared" si="61"/>
        <v>128.77098425099513</v>
      </c>
      <c r="N362" s="250">
        <f t="shared" si="62"/>
        <v>110.34482758620689</v>
      </c>
      <c r="O362" s="248">
        <f t="shared" si="63"/>
        <v>0.17516029343964945</v>
      </c>
      <c r="P362" s="247">
        <f t="shared" si="64"/>
        <v>0.37139683797763801</v>
      </c>
      <c r="Q362" s="251">
        <f t="shared" si="71"/>
        <v>1.513265476389118</v>
      </c>
      <c r="R362" s="251">
        <f t="shared" si="72"/>
        <v>1.532843873407862</v>
      </c>
      <c r="S362" s="251">
        <f t="shared" si="73"/>
        <v>-1.2772596973765316E-2</v>
      </c>
      <c r="T362" s="252">
        <f>C362*'1. Share_Price_Analysis'!$E$11+T361*(1-'1. Share_Price_Analysis'!$E$11)</f>
        <v>235.69265150220568</v>
      </c>
      <c r="U362" s="253">
        <f t="shared" si="74"/>
        <v>260.90321018301512</v>
      </c>
    </row>
    <row r="363" spans="2:21" x14ac:dyDescent="0.2">
      <c r="B363" s="245">
        <v>45425</v>
      </c>
      <c r="C363" s="246">
        <v>270.08999999999997</v>
      </c>
      <c r="D363" s="246">
        <v>520.91</v>
      </c>
      <c r="E363" s="246">
        <v>45.89</v>
      </c>
      <c r="F363" s="248">
        <f t="shared" si="65"/>
        <v>-7.2775388686735498E-3</v>
      </c>
      <c r="G363" s="248">
        <f t="shared" si="66"/>
        <v>1.3439827970196383E-4</v>
      </c>
      <c r="H363" s="248">
        <f t="shared" si="67"/>
        <v>-6.5331010452962524E-4</v>
      </c>
      <c r="I363" s="249">
        <f t="shared" si="68"/>
        <v>0.5022526280660744</v>
      </c>
      <c r="J363" s="249">
        <f t="shared" si="69"/>
        <v>0.28788290849753895</v>
      </c>
      <c r="K363" s="249">
        <f t="shared" si="70"/>
        <v>0.10272738195362274</v>
      </c>
      <c r="L363" s="250">
        <f t="shared" si="60"/>
        <v>150.2252628066077</v>
      </c>
      <c r="M363" s="250">
        <f t="shared" si="61"/>
        <v>128.78829084975399</v>
      </c>
      <c r="N363" s="250">
        <f t="shared" si="62"/>
        <v>110.27273819536225</v>
      </c>
      <c r="O363" s="248">
        <f t="shared" si="63"/>
        <v>0.16645124968590652</v>
      </c>
      <c r="P363" s="247">
        <f t="shared" si="64"/>
        <v>0.36230645275593099</v>
      </c>
      <c r="Q363" s="251">
        <f t="shared" si="71"/>
        <v>1.5022526280660744</v>
      </c>
      <c r="R363" s="251">
        <f t="shared" si="72"/>
        <v>1.532843873407862</v>
      </c>
      <c r="S363" s="251">
        <f t="shared" si="73"/>
        <v>-1.9957182771508375E-2</v>
      </c>
      <c r="T363" s="252">
        <f>C363*'1. Share_Price_Analysis'!$E$11+T362*(1-'1. Share_Price_Analysis'!$E$11)</f>
        <v>236.0349136763131</v>
      </c>
      <c r="U363" s="253">
        <f t="shared" si="74"/>
        <v>261.26347645034787</v>
      </c>
    </row>
    <row r="364" spans="2:21" x14ac:dyDescent="0.2">
      <c r="B364" s="245">
        <v>45426</v>
      </c>
      <c r="C364" s="246">
        <v>267.75</v>
      </c>
      <c r="D364" s="246">
        <v>523.29999999999995</v>
      </c>
      <c r="E364" s="246">
        <v>45.935000000000002</v>
      </c>
      <c r="F364" s="248">
        <f t="shared" si="65"/>
        <v>-8.6637787404197919E-3</v>
      </c>
      <c r="G364" s="248">
        <f t="shared" si="66"/>
        <v>4.5881246280548016E-3</v>
      </c>
      <c r="H364" s="248">
        <f t="shared" si="67"/>
        <v>9.8060579646985779E-4</v>
      </c>
      <c r="I364" s="249">
        <f t="shared" si="68"/>
        <v>0.48923744368429589</v>
      </c>
      <c r="J364" s="249">
        <f t="shared" si="69"/>
        <v>0.29379187578806731</v>
      </c>
      <c r="K364" s="249">
        <f t="shared" si="70"/>
        <v>0.1038087228162925</v>
      </c>
      <c r="L364" s="250">
        <f t="shared" si="60"/>
        <v>148.92374436842982</v>
      </c>
      <c r="M364" s="250">
        <f t="shared" si="61"/>
        <v>129.37918757880681</v>
      </c>
      <c r="N364" s="250">
        <f t="shared" si="62"/>
        <v>110.38087228162922</v>
      </c>
      <c r="O364" s="248">
        <f t="shared" si="63"/>
        <v>0.151064148379491</v>
      </c>
      <c r="P364" s="247">
        <f t="shared" si="64"/>
        <v>0.34918071664138361</v>
      </c>
      <c r="Q364" s="251">
        <f t="shared" si="71"/>
        <v>1.4892374436842959</v>
      </c>
      <c r="R364" s="251">
        <f t="shared" si="72"/>
        <v>1.532843873407862</v>
      </c>
      <c r="S364" s="251">
        <f t="shared" si="73"/>
        <v>-2.8448056896113627E-2</v>
      </c>
      <c r="T364" s="252">
        <f>C364*'1. Share_Price_Analysis'!$E$11+T363*(1-'1. Share_Price_Analysis'!$E$11)</f>
        <v>236.35048667455877</v>
      </c>
      <c r="U364" s="253">
        <f t="shared" si="74"/>
        <v>261.51784992288322</v>
      </c>
    </row>
    <row r="365" spans="2:21" x14ac:dyDescent="0.2">
      <c r="B365" s="245">
        <v>45427</v>
      </c>
      <c r="C365" s="246">
        <v>270.5</v>
      </c>
      <c r="D365" s="246">
        <v>529.78</v>
      </c>
      <c r="E365" s="246">
        <v>46.015000000000001</v>
      </c>
      <c r="F365" s="248">
        <f t="shared" si="65"/>
        <v>1.0270774976657293E-2</v>
      </c>
      <c r="G365" s="248">
        <f t="shared" si="66"/>
        <v>1.2382954328301166E-2</v>
      </c>
      <c r="H365" s="248">
        <f t="shared" si="67"/>
        <v>1.7415913791225535E-3</v>
      </c>
      <c r="I365" s="249">
        <f t="shared" si="68"/>
        <v>0.50453306635518969</v>
      </c>
      <c r="J365" s="249">
        <f t="shared" si="69"/>
        <v>0.30981284149627797</v>
      </c>
      <c r="K365" s="249">
        <f t="shared" si="70"/>
        <v>0.10573110657214957</v>
      </c>
      <c r="L365" s="250">
        <f t="shared" si="60"/>
        <v>150.45330663551923</v>
      </c>
      <c r="M365" s="250">
        <f t="shared" si="61"/>
        <v>130.9812841496279</v>
      </c>
      <c r="N365" s="250">
        <f t="shared" si="62"/>
        <v>110.57311065721494</v>
      </c>
      <c r="O365" s="248">
        <f t="shared" si="63"/>
        <v>0.14866263231659205</v>
      </c>
      <c r="P365" s="247">
        <f t="shared" si="64"/>
        <v>0.36066812031666218</v>
      </c>
      <c r="Q365" s="251">
        <f t="shared" si="71"/>
        <v>1.5045330663551897</v>
      </c>
      <c r="R365" s="251">
        <f t="shared" si="72"/>
        <v>1.532843873407862</v>
      </c>
      <c r="S365" s="251">
        <f t="shared" si="73"/>
        <v>-1.846946551035944E-2</v>
      </c>
      <c r="T365" s="252">
        <f>C365*'1. Share_Price_Analysis'!$E$11+T364*(1-'1. Share_Price_Analysis'!$E$11)</f>
        <v>236.69028282705071</v>
      </c>
      <c r="U365" s="253">
        <f t="shared" si="74"/>
        <v>261.87009110237801</v>
      </c>
    </row>
    <row r="366" spans="2:21" x14ac:dyDescent="0.2">
      <c r="B366" s="245">
        <v>45428</v>
      </c>
      <c r="C366" s="246">
        <v>260</v>
      </c>
      <c r="D366" s="246">
        <v>528.69000000000005</v>
      </c>
      <c r="E366" s="246">
        <v>45.685000000000002</v>
      </c>
      <c r="F366" s="248">
        <f t="shared" si="65"/>
        <v>-3.8817005545286554E-2</v>
      </c>
      <c r="G366" s="248">
        <f t="shared" si="66"/>
        <v>-2.057457812676855E-3</v>
      </c>
      <c r="H366" s="248">
        <f t="shared" si="67"/>
        <v>-7.1715744865804565E-3</v>
      </c>
      <c r="I366" s="249">
        <f t="shared" si="68"/>
        <v>0.44613159797541324</v>
      </c>
      <c r="J366" s="249">
        <f t="shared" si="69"/>
        <v>0.30711795683239695</v>
      </c>
      <c r="K366" s="249">
        <f t="shared" si="70"/>
        <v>9.7801273579238401E-2</v>
      </c>
      <c r="L366" s="250">
        <f t="shared" si="60"/>
        <v>144.61315979754158</v>
      </c>
      <c r="M366" s="250">
        <f t="shared" si="61"/>
        <v>130.71179568323981</v>
      </c>
      <c r="N366" s="250">
        <f t="shared" si="62"/>
        <v>109.78012735792382</v>
      </c>
      <c r="O366" s="248">
        <f t="shared" si="63"/>
        <v>0.10635125959090552</v>
      </c>
      <c r="P366" s="247">
        <f t="shared" si="64"/>
        <v>0.31729816022210389</v>
      </c>
      <c r="Q366" s="251">
        <f t="shared" si="71"/>
        <v>1.4461315979754132</v>
      </c>
      <c r="R366" s="251">
        <f t="shared" si="72"/>
        <v>1.532843873407862</v>
      </c>
      <c r="S366" s="251">
        <f t="shared" si="73"/>
        <v>-5.6569541710511984E-2</v>
      </c>
      <c r="T366" s="252">
        <f>C366*'1. Share_Price_Analysis'!$E$11+T365*(1-'1. Share_Price_Analysis'!$E$11)</f>
        <v>236.92222031135867</v>
      </c>
      <c r="U366" s="253">
        <f t="shared" si="74"/>
        <v>261.79675419640239</v>
      </c>
    </row>
    <row r="367" spans="2:21" x14ac:dyDescent="0.2">
      <c r="B367" s="245">
        <v>45429</v>
      </c>
      <c r="C367" s="246">
        <v>259.10000000000002</v>
      </c>
      <c r="D367" s="246">
        <v>529.45000000000005</v>
      </c>
      <c r="E367" s="246">
        <v>46.075000000000003</v>
      </c>
      <c r="F367" s="248">
        <f t="shared" si="65"/>
        <v>-3.4615384615384048E-3</v>
      </c>
      <c r="G367" s="248">
        <f t="shared" si="66"/>
        <v>1.4375153681740471E-3</v>
      </c>
      <c r="H367" s="248">
        <f t="shared" si="67"/>
        <v>8.536718835504109E-3</v>
      </c>
      <c r="I367" s="249">
        <f t="shared" si="68"/>
        <v>0.44112575782857544</v>
      </c>
      <c r="J367" s="249">
        <f t="shared" si="69"/>
        <v>0.30899695898335988</v>
      </c>
      <c r="K367" s="249">
        <f t="shared" si="70"/>
        <v>0.10717289438904265</v>
      </c>
      <c r="L367" s="250">
        <f t="shared" si="60"/>
        <v>144.11257578285779</v>
      </c>
      <c r="M367" s="250">
        <f t="shared" si="61"/>
        <v>130.89969589833609</v>
      </c>
      <c r="N367" s="250">
        <f t="shared" si="62"/>
        <v>110.71728943890425</v>
      </c>
      <c r="O367" s="248">
        <f t="shared" si="63"/>
        <v>0.10093896547157311</v>
      </c>
      <c r="P367" s="247">
        <f t="shared" si="64"/>
        <v>0.30162666114023118</v>
      </c>
      <c r="Q367" s="251">
        <f t="shared" si="71"/>
        <v>1.4411257578285754</v>
      </c>
      <c r="R367" s="251">
        <f t="shared" si="72"/>
        <v>1.532843873407862</v>
      </c>
      <c r="S367" s="251">
        <f t="shared" si="73"/>
        <v>-5.9835262527667799E-2</v>
      </c>
      <c r="T367" s="252">
        <f>C367*'1. Share_Price_Analysis'!$E$11+T366*(1-'1. Share_Price_Analysis'!$E$11)</f>
        <v>237.14289473612129</v>
      </c>
      <c r="U367" s="253">
        <f t="shared" si="74"/>
        <v>261.69099912987684</v>
      </c>
    </row>
    <row r="368" spans="2:21" x14ac:dyDescent="0.2">
      <c r="B368" s="245">
        <v>45432</v>
      </c>
      <c r="C368" s="246">
        <v>260.20999999999998</v>
      </c>
      <c r="D368" s="246">
        <v>530.05999999999995</v>
      </c>
      <c r="E368" s="246">
        <v>46.14</v>
      </c>
      <c r="F368" s="248">
        <f t="shared" si="65"/>
        <v>4.2840602084135426E-3</v>
      </c>
      <c r="G368" s="248">
        <f t="shared" si="66"/>
        <v>1.1521390121822517E-3</v>
      </c>
      <c r="H368" s="248">
        <f t="shared" si="67"/>
        <v>1.4107433532284386E-3</v>
      </c>
      <c r="I368" s="249">
        <f t="shared" si="68"/>
        <v>0.44729962734300854</v>
      </c>
      <c r="J368" s="249">
        <f t="shared" si="69"/>
        <v>0.31050510544663257</v>
      </c>
      <c r="K368" s="249">
        <f t="shared" si="70"/>
        <v>0.10873483119067662</v>
      </c>
      <c r="L368" s="250">
        <f t="shared" si="60"/>
        <v>144.72996273430113</v>
      </c>
      <c r="M368" s="250">
        <f t="shared" si="61"/>
        <v>131.05051054466338</v>
      </c>
      <c r="N368" s="250">
        <f t="shared" si="62"/>
        <v>110.87348311906764</v>
      </c>
      <c r="O368" s="248">
        <f t="shared" si="63"/>
        <v>0.10438305148743021</v>
      </c>
      <c r="P368" s="247">
        <f t="shared" si="64"/>
        <v>0.30536137823752263</v>
      </c>
      <c r="Q368" s="251">
        <f t="shared" si="71"/>
        <v>1.4472996273430085</v>
      </c>
      <c r="R368" s="251">
        <f t="shared" si="72"/>
        <v>1.532843873407862</v>
      </c>
      <c r="S368" s="251">
        <f t="shared" si="73"/>
        <v>-5.5807540186509019E-2</v>
      </c>
      <c r="T368" s="252">
        <f>C368*'1. Share_Price_Analysis'!$E$11+T367*(1-'1. Share_Price_Analysis'!$E$11)</f>
        <v>237.37241817158281</v>
      </c>
      <c r="U368" s="253">
        <f t="shared" si="74"/>
        <v>261.63292073262676</v>
      </c>
    </row>
    <row r="369" spans="2:21" x14ac:dyDescent="0.2">
      <c r="B369" s="245">
        <v>45433</v>
      </c>
      <c r="C369" s="246">
        <v>262.18</v>
      </c>
      <c r="D369" s="246">
        <v>531.36</v>
      </c>
      <c r="E369" s="246">
        <v>46.14</v>
      </c>
      <c r="F369" s="248">
        <f t="shared" si="65"/>
        <v>7.5708081933822946E-3</v>
      </c>
      <c r="G369" s="248">
        <f t="shared" si="66"/>
        <v>2.4525525412217863E-3</v>
      </c>
      <c r="H369" s="248">
        <f t="shared" si="67"/>
        <v>0</v>
      </c>
      <c r="I369" s="249">
        <f t="shared" si="68"/>
        <v>0.45825685521997617</v>
      </c>
      <c r="J369" s="249">
        <f t="shared" si="69"/>
        <v>0.31371918807327992</v>
      </c>
      <c r="K369" s="249">
        <f t="shared" si="70"/>
        <v>0.10873483119067662</v>
      </c>
      <c r="L369" s="250">
        <f t="shared" si="60"/>
        <v>145.82568552199791</v>
      </c>
      <c r="M369" s="250">
        <f t="shared" si="61"/>
        <v>131.37191880732811</v>
      </c>
      <c r="N369" s="250">
        <f t="shared" si="62"/>
        <v>110.87348311906764</v>
      </c>
      <c r="O369" s="248">
        <f t="shared" si="63"/>
        <v>0.11002173711010288</v>
      </c>
      <c r="P369" s="247">
        <f t="shared" si="64"/>
        <v>0.31524401885520792</v>
      </c>
      <c r="Q369" s="251">
        <f t="shared" si="71"/>
        <v>1.4582568552199762</v>
      </c>
      <c r="R369" s="251">
        <f t="shared" si="72"/>
        <v>1.532843873407862</v>
      </c>
      <c r="S369" s="251">
        <f t="shared" si="73"/>
        <v>-4.8659240175623286E-2</v>
      </c>
      <c r="T369" s="252">
        <f>C369*'1. Share_Price_Analysis'!$E$11+T368*(1-'1. Share_Price_Analysis'!$E$11)</f>
        <v>237.61925978181583</v>
      </c>
      <c r="U369" s="253">
        <f t="shared" si="74"/>
        <v>261.65437482154334</v>
      </c>
    </row>
    <row r="370" spans="2:21" x14ac:dyDescent="0.2">
      <c r="B370" s="245">
        <v>45434</v>
      </c>
      <c r="C370" s="246">
        <v>260.87</v>
      </c>
      <c r="D370" s="246">
        <v>529.83000000000004</v>
      </c>
      <c r="E370" s="246">
        <v>45.69</v>
      </c>
      <c r="F370" s="248">
        <f t="shared" si="65"/>
        <v>-4.9965672438783137E-3</v>
      </c>
      <c r="G370" s="248">
        <f t="shared" si="66"/>
        <v>-2.8794037940378381E-3</v>
      </c>
      <c r="H370" s="248">
        <f t="shared" si="67"/>
        <v>-9.7529258777634409E-3</v>
      </c>
      <c r="I370" s="249">
        <f t="shared" si="68"/>
        <v>0.45097057678402308</v>
      </c>
      <c r="J370" s="249">
        <f t="shared" si="69"/>
        <v>0.30993646005884146</v>
      </c>
      <c r="K370" s="249">
        <f t="shared" si="70"/>
        <v>9.7921422563979288E-2</v>
      </c>
      <c r="L370" s="250">
        <f t="shared" si="60"/>
        <v>145.09705767840259</v>
      </c>
      <c r="M370" s="250">
        <f t="shared" si="61"/>
        <v>130.99364600588424</v>
      </c>
      <c r="N370" s="250">
        <f t="shared" si="62"/>
        <v>109.79214225639792</v>
      </c>
      <c r="O370" s="248">
        <f t="shared" si="63"/>
        <v>0.10766485323940556</v>
      </c>
      <c r="P370" s="247">
        <f t="shared" si="64"/>
        <v>0.32156140408989109</v>
      </c>
      <c r="Q370" s="251">
        <f t="shared" si="71"/>
        <v>1.4509705767840231</v>
      </c>
      <c r="R370" s="251">
        <f t="shared" si="72"/>
        <v>1.532843873407862</v>
      </c>
      <c r="S370" s="251">
        <f t="shared" si="73"/>
        <v>-5.3412678253928036E-2</v>
      </c>
      <c r="T370" s="252">
        <f>C370*'1. Share_Price_Analysis'!$E$11+T369*(1-'1. Share_Price_Analysis'!$E$11)</f>
        <v>237.85061043075299</v>
      </c>
      <c r="U370" s="253">
        <f t="shared" si="74"/>
        <v>261.62361502462011</v>
      </c>
    </row>
    <row r="371" spans="2:21" x14ac:dyDescent="0.2">
      <c r="B371" s="245">
        <v>45435</v>
      </c>
      <c r="C371" s="246">
        <v>257.20999999999998</v>
      </c>
      <c r="D371" s="246">
        <v>525.96</v>
      </c>
      <c r="E371" s="246">
        <v>45.284999999999997</v>
      </c>
      <c r="F371" s="248">
        <f t="shared" si="65"/>
        <v>-1.4029976616705686E-2</v>
      </c>
      <c r="G371" s="248">
        <f t="shared" si="66"/>
        <v>-7.3042296585696942E-3</v>
      </c>
      <c r="H371" s="248">
        <f t="shared" si="67"/>
        <v>-8.864084044648779E-3</v>
      </c>
      <c r="I371" s="249">
        <f t="shared" si="68"/>
        <v>0.43061349352021527</v>
      </c>
      <c r="J371" s="249">
        <f t="shared" si="69"/>
        <v>0.30036838331643789</v>
      </c>
      <c r="K371" s="249">
        <f t="shared" si="70"/>
        <v>8.8189354799951936E-2</v>
      </c>
      <c r="L371" s="250">
        <f t="shared" si="60"/>
        <v>143.06134935202181</v>
      </c>
      <c r="M371" s="250">
        <f t="shared" si="61"/>
        <v>130.03683833164388</v>
      </c>
      <c r="N371" s="250">
        <f t="shared" si="62"/>
        <v>108.81893547999518</v>
      </c>
      <c r="O371" s="248">
        <f t="shared" si="63"/>
        <v>0.10016016374652414</v>
      </c>
      <c r="P371" s="247">
        <f t="shared" si="64"/>
        <v>0.31467330314328712</v>
      </c>
      <c r="Q371" s="251">
        <f t="shared" si="71"/>
        <v>1.4306134935202153</v>
      </c>
      <c r="R371" s="251">
        <f t="shared" si="72"/>
        <v>1.532843873407862</v>
      </c>
      <c r="S371" s="251">
        <f t="shared" si="73"/>
        <v>-6.6693276243695476E-2</v>
      </c>
      <c r="T371" s="252">
        <f>C371*'1. Share_Price_Analysis'!$E$11+T370*(1-'1. Share_Price_Analysis'!$E$11)</f>
        <v>238.04324117273558</v>
      </c>
      <c r="U371" s="253">
        <f t="shared" si="74"/>
        <v>261.45053208247816</v>
      </c>
    </row>
    <row r="372" spans="2:21" x14ac:dyDescent="0.2">
      <c r="B372" s="245">
        <v>45436</v>
      </c>
      <c r="C372" s="246">
        <v>259.25</v>
      </c>
      <c r="D372" s="246">
        <v>529.44000000000005</v>
      </c>
      <c r="E372" s="246">
        <v>45.68</v>
      </c>
      <c r="F372" s="248">
        <f t="shared" si="65"/>
        <v>7.9312623925975601E-3</v>
      </c>
      <c r="G372" s="248">
        <f t="shared" si="66"/>
        <v>6.616472735569312E-3</v>
      </c>
      <c r="H372" s="248">
        <f t="shared" si="67"/>
        <v>8.7225350557580406E-3</v>
      </c>
      <c r="I372" s="249">
        <f t="shared" si="68"/>
        <v>0.44196006451971481</v>
      </c>
      <c r="J372" s="249">
        <f t="shared" si="69"/>
        <v>0.3089722352708475</v>
      </c>
      <c r="K372" s="249">
        <f t="shared" si="70"/>
        <v>9.7681124594497293E-2</v>
      </c>
      <c r="L372" s="250">
        <f t="shared" si="60"/>
        <v>144.19600645197175</v>
      </c>
      <c r="M372" s="250">
        <f t="shared" si="61"/>
        <v>130.89722352708483</v>
      </c>
      <c r="N372" s="250">
        <f t="shared" si="62"/>
        <v>109.76811245944971</v>
      </c>
      <c r="O372" s="248">
        <f t="shared" si="63"/>
        <v>0.10159713526799896</v>
      </c>
      <c r="P372" s="247">
        <f t="shared" si="64"/>
        <v>0.31364203338414898</v>
      </c>
      <c r="Q372" s="251">
        <f t="shared" si="71"/>
        <v>1.4419600645197148</v>
      </c>
      <c r="R372" s="251">
        <f t="shared" si="72"/>
        <v>1.532843873407862</v>
      </c>
      <c r="S372" s="251">
        <f t="shared" si="73"/>
        <v>-5.9290975724808681E-2</v>
      </c>
      <c r="T372" s="252">
        <f>C372*'1. Share_Price_Analysis'!$E$11+T371*(1-'1. Share_Price_Analysis'!$E$11)</f>
        <v>238.25425369838001</v>
      </c>
      <c r="U372" s="253">
        <f t="shared" si="74"/>
        <v>261.36423670669473</v>
      </c>
    </row>
    <row r="373" spans="2:21" x14ac:dyDescent="0.2">
      <c r="B373" s="245">
        <v>45440</v>
      </c>
      <c r="C373" s="246">
        <v>253.98</v>
      </c>
      <c r="D373" s="246">
        <v>529.80999999999995</v>
      </c>
      <c r="E373" s="246">
        <v>45.505000000000003</v>
      </c>
      <c r="F373" s="248">
        <f t="shared" si="65"/>
        <v>-2.0327868852459074E-2</v>
      </c>
      <c r="G373" s="248">
        <f t="shared" si="66"/>
        <v>6.988516168024983E-4</v>
      </c>
      <c r="H373" s="248">
        <f t="shared" si="67"/>
        <v>-3.8309982486864902E-3</v>
      </c>
      <c r="I373" s="249">
        <f t="shared" si="68"/>
        <v>0.41264808943767473</v>
      </c>
      <c r="J373" s="249">
        <f t="shared" si="69"/>
        <v>0.30988701263381602</v>
      </c>
      <c r="K373" s="249">
        <f t="shared" si="70"/>
        <v>9.3475910128559603E-2</v>
      </c>
      <c r="L373" s="250">
        <f t="shared" si="60"/>
        <v>141.26480894376775</v>
      </c>
      <c r="M373" s="250">
        <f t="shared" si="61"/>
        <v>130.9887012633817</v>
      </c>
      <c r="N373" s="250">
        <f t="shared" si="62"/>
        <v>109.34759101285594</v>
      </c>
      <c r="O373" s="248">
        <f t="shared" si="63"/>
        <v>7.8450336412783317E-2</v>
      </c>
      <c r="P373" s="247">
        <f t="shared" si="64"/>
        <v>0.29188770996481317</v>
      </c>
      <c r="Q373" s="251">
        <f t="shared" si="71"/>
        <v>1.4126480894376747</v>
      </c>
      <c r="R373" s="251">
        <f t="shared" si="72"/>
        <v>1.532843873407862</v>
      </c>
      <c r="S373" s="251">
        <f t="shared" si="73"/>
        <v>-7.8413585398599439E-2</v>
      </c>
      <c r="T373" s="252">
        <f>C373*'1. Share_Price_Analysis'!$E$11+T372*(1-'1. Share_Price_Analysis'!$E$11)</f>
        <v>238.41072878595836</v>
      </c>
      <c r="U373" s="253">
        <f t="shared" si="74"/>
        <v>261.07465879662828</v>
      </c>
    </row>
    <row r="374" spans="2:21" x14ac:dyDescent="0.2">
      <c r="B374" s="245">
        <v>45441</v>
      </c>
      <c r="C374" s="246">
        <v>251.91</v>
      </c>
      <c r="D374" s="246">
        <v>526.1</v>
      </c>
      <c r="E374" s="246">
        <v>44.854999999999997</v>
      </c>
      <c r="F374" s="248">
        <f t="shared" si="65"/>
        <v>-8.1502480510275976E-3</v>
      </c>
      <c r="G374" s="248">
        <f t="shared" si="66"/>
        <v>-7.0025103338930972E-3</v>
      </c>
      <c r="H374" s="248">
        <f t="shared" si="67"/>
        <v>-1.4284144599494675E-2</v>
      </c>
      <c r="I374" s="249">
        <f t="shared" si="68"/>
        <v>0.40113465709994744</v>
      </c>
      <c r="J374" s="249">
        <f t="shared" si="69"/>
        <v>0.3007145152916153</v>
      </c>
      <c r="K374" s="249">
        <f t="shared" si="70"/>
        <v>7.7856542112219262E-2</v>
      </c>
      <c r="L374" s="250">
        <f t="shared" si="60"/>
        <v>140.11346570999498</v>
      </c>
      <c r="M374" s="250">
        <f t="shared" si="61"/>
        <v>130.07145152916161</v>
      </c>
      <c r="N374" s="250">
        <f t="shared" si="62"/>
        <v>107.78565421122191</v>
      </c>
      <c r="O374" s="248">
        <f t="shared" si="63"/>
        <v>7.7203829608850194E-2</v>
      </c>
      <c r="P374" s="247">
        <f t="shared" si="64"/>
        <v>0.29992684773635725</v>
      </c>
      <c r="Q374" s="251">
        <f t="shared" si="71"/>
        <v>1.4011346570999474</v>
      </c>
      <c r="R374" s="251">
        <f t="shared" si="72"/>
        <v>1.532843873407862</v>
      </c>
      <c r="S374" s="251">
        <f t="shared" si="73"/>
        <v>-8.5924743278057991E-2</v>
      </c>
      <c r="T374" s="252">
        <f>C374*'1. Share_Price_Analysis'!$E$11+T373*(1-'1. Share_Price_Analysis'!$E$11)</f>
        <v>238.54504989256574</v>
      </c>
      <c r="U374" s="253">
        <f t="shared" si="74"/>
        <v>260.71526041244681</v>
      </c>
    </row>
    <row r="375" spans="2:21" x14ac:dyDescent="0.2">
      <c r="B375" s="245">
        <v>45442</v>
      </c>
      <c r="C375" s="246">
        <v>254.08</v>
      </c>
      <c r="D375" s="246">
        <v>522.61</v>
      </c>
      <c r="E375" s="246">
        <v>45.22</v>
      </c>
      <c r="F375" s="248">
        <f t="shared" si="65"/>
        <v>8.6141876066849754E-3</v>
      </c>
      <c r="G375" s="248">
        <f t="shared" si="66"/>
        <v>-6.6337198251282814E-3</v>
      </c>
      <c r="H375" s="248">
        <f t="shared" si="67"/>
        <v>8.1373314011816689E-3</v>
      </c>
      <c r="I375" s="249">
        <f t="shared" si="68"/>
        <v>0.4132042938984346</v>
      </c>
      <c r="J375" s="249">
        <f t="shared" si="69"/>
        <v>0.29208593962469309</v>
      </c>
      <c r="K375" s="249">
        <f t="shared" si="70"/>
        <v>8.662741799831819E-2</v>
      </c>
      <c r="L375" s="250">
        <f t="shared" si="60"/>
        <v>141.32042938984372</v>
      </c>
      <c r="M375" s="250">
        <f t="shared" si="61"/>
        <v>129.20859396246939</v>
      </c>
      <c r="N375" s="250">
        <f t="shared" si="62"/>
        <v>108.66274179983178</v>
      </c>
      <c r="O375" s="248">
        <f t="shared" si="63"/>
        <v>9.3738621061786542E-2</v>
      </c>
      <c r="P375" s="247">
        <f t="shared" si="64"/>
        <v>0.30054172248083466</v>
      </c>
      <c r="Q375" s="251">
        <f t="shared" si="71"/>
        <v>1.4132042938984346</v>
      </c>
      <c r="R375" s="251">
        <f t="shared" si="72"/>
        <v>1.532843873407862</v>
      </c>
      <c r="S375" s="251">
        <f t="shared" si="73"/>
        <v>-7.8050727530026398E-2</v>
      </c>
      <c r="T375" s="252">
        <f>C375*'1. Share_Price_Analysis'!$E$11+T374*(1-'1. Share_Price_Analysis'!$E$11)</f>
        <v>238.69962651055016</v>
      </c>
      <c r="U375" s="253">
        <f t="shared" si="74"/>
        <v>260.4550541217626</v>
      </c>
    </row>
    <row r="376" spans="2:21" x14ac:dyDescent="0.2">
      <c r="B376" s="245">
        <v>45443</v>
      </c>
      <c r="C376" s="246">
        <v>255.77</v>
      </c>
      <c r="D376" s="246">
        <v>527.37</v>
      </c>
      <c r="E376" s="246">
        <v>45.765000000000001</v>
      </c>
      <c r="F376" s="248">
        <f t="shared" si="65"/>
        <v>6.651448362720469E-3</v>
      </c>
      <c r="G376" s="248">
        <f t="shared" si="66"/>
        <v>9.1081303457645202E-3</v>
      </c>
      <c r="H376" s="248">
        <f t="shared" si="67"/>
        <v>1.2052189296771321E-2</v>
      </c>
      <c r="I376" s="249">
        <f t="shared" si="68"/>
        <v>0.42260414928527479</v>
      </c>
      <c r="J376" s="249">
        <f t="shared" si="69"/>
        <v>0.30385442678072438</v>
      </c>
      <c r="K376" s="249">
        <f t="shared" si="70"/>
        <v>9.9723657335095695E-2</v>
      </c>
      <c r="L376" s="250">
        <f t="shared" si="60"/>
        <v>142.26041492852775</v>
      </c>
      <c r="M376" s="250">
        <f t="shared" si="61"/>
        <v>130.38544267807254</v>
      </c>
      <c r="N376" s="250">
        <f t="shared" si="62"/>
        <v>109.97236573350955</v>
      </c>
      <c r="O376" s="248">
        <f t="shared" si="63"/>
        <v>9.1075905458056994E-2</v>
      </c>
      <c r="P376" s="247">
        <f t="shared" si="64"/>
        <v>0.293601478695656</v>
      </c>
      <c r="Q376" s="251">
        <f t="shared" si="71"/>
        <v>1.4226041492852748</v>
      </c>
      <c r="R376" s="251">
        <f t="shared" si="72"/>
        <v>1.532843873407862</v>
      </c>
      <c r="S376" s="251">
        <f t="shared" si="73"/>
        <v>-7.1918429551144802E-2</v>
      </c>
      <c r="T376" s="252">
        <f>C376*'1. Share_Price_Analysis'!$E$11+T375*(1-'1. Share_Price_Analysis'!$E$11)</f>
        <v>238.86948097313177</v>
      </c>
      <c r="U376" s="253">
        <f t="shared" si="74"/>
        <v>260.2713265091445</v>
      </c>
    </row>
    <row r="377" spans="2:21" x14ac:dyDescent="0.2">
      <c r="B377" s="245">
        <v>45446</v>
      </c>
      <c r="C377" s="246">
        <v>252.19</v>
      </c>
      <c r="D377" s="246">
        <v>527.79999999999995</v>
      </c>
      <c r="E377" s="246">
        <v>45.494999999999997</v>
      </c>
      <c r="F377" s="248">
        <f t="shared" si="65"/>
        <v>-1.3996950385111617E-2</v>
      </c>
      <c r="G377" s="248">
        <f t="shared" si="66"/>
        <v>8.1536682025884488E-4</v>
      </c>
      <c r="H377" s="248">
        <f t="shared" si="67"/>
        <v>-5.8997050147493457E-3</v>
      </c>
      <c r="I377" s="249">
        <f t="shared" si="68"/>
        <v>0.40269202959007488</v>
      </c>
      <c r="J377" s="249">
        <f t="shared" si="69"/>
        <v>0.304917546418769</v>
      </c>
      <c r="K377" s="249">
        <f t="shared" si="70"/>
        <v>9.3235612159077386E-2</v>
      </c>
      <c r="L377" s="250">
        <f t="shared" si="60"/>
        <v>140.26920295900774</v>
      </c>
      <c r="M377" s="250">
        <f t="shared" si="61"/>
        <v>130.49175464187701</v>
      </c>
      <c r="N377" s="250">
        <f t="shared" si="62"/>
        <v>109.32356121590772</v>
      </c>
      <c r="O377" s="248">
        <f t="shared" si="63"/>
        <v>7.4927709754259331E-2</v>
      </c>
      <c r="P377" s="247">
        <f t="shared" si="64"/>
        <v>0.28306470626202795</v>
      </c>
      <c r="Q377" s="251">
        <f t="shared" si="71"/>
        <v>1.4026920295900749</v>
      </c>
      <c r="R377" s="251">
        <f t="shared" si="72"/>
        <v>1.532843873407862</v>
      </c>
      <c r="S377" s="251">
        <f t="shared" si="73"/>
        <v>-8.4908741246053854E-2</v>
      </c>
      <c r="T377" s="252">
        <f>C377*'1. Share_Price_Analysis'!$E$11+T376*(1-'1. Share_Price_Analysis'!$E$11)</f>
        <v>239.00202345101107</v>
      </c>
      <c r="U377" s="253">
        <f t="shared" si="74"/>
        <v>259.95441174408001</v>
      </c>
    </row>
    <row r="378" spans="2:21" x14ac:dyDescent="0.2">
      <c r="B378" s="245">
        <v>45447</v>
      </c>
      <c r="C378" s="246">
        <v>250.46</v>
      </c>
      <c r="D378" s="246">
        <v>528.39</v>
      </c>
      <c r="E378" s="246">
        <v>44.99</v>
      </c>
      <c r="F378" s="248">
        <f t="shared" si="65"/>
        <v>-6.8599072128157079E-3</v>
      </c>
      <c r="G378" s="248">
        <f t="shared" si="66"/>
        <v>1.1178476695719031E-3</v>
      </c>
      <c r="H378" s="248">
        <f t="shared" si="67"/>
        <v>-1.110012089240564E-2</v>
      </c>
      <c r="I378" s="249">
        <f t="shared" si="68"/>
        <v>0.39306969241893075</v>
      </c>
      <c r="J378" s="249">
        <f t="shared" si="69"/>
        <v>0.30637624545701669</v>
      </c>
      <c r="K378" s="249">
        <f t="shared" si="70"/>
        <v>8.1100564700228528E-2</v>
      </c>
      <c r="L378" s="250">
        <f t="shared" si="60"/>
        <v>139.30696924189334</v>
      </c>
      <c r="M378" s="250">
        <f t="shared" si="61"/>
        <v>130.63762454570178</v>
      </c>
      <c r="N378" s="250">
        <f t="shared" si="62"/>
        <v>108.11005647002283</v>
      </c>
      <c r="O378" s="248">
        <f t="shared" si="63"/>
        <v>6.6361775379332411E-2</v>
      </c>
      <c r="P378" s="247">
        <f t="shared" si="64"/>
        <v>0.28856624249863949</v>
      </c>
      <c r="Q378" s="251">
        <f t="shared" si="71"/>
        <v>1.3930696924189307</v>
      </c>
      <c r="R378" s="251">
        <f t="shared" si="72"/>
        <v>1.532843873407862</v>
      </c>
      <c r="S378" s="251">
        <f t="shared" si="73"/>
        <v>-9.1186182372364755E-2</v>
      </c>
      <c r="T378" s="252">
        <f>C378*'1. Share_Price_Analysis'!$E$11+T377*(1-'1. Share_Price_Analysis'!$E$11)</f>
        <v>239.11603316791644</v>
      </c>
      <c r="U378" s="253">
        <f t="shared" si="74"/>
        <v>259.58208187176314</v>
      </c>
    </row>
    <row r="379" spans="2:21" x14ac:dyDescent="0.2">
      <c r="B379" s="245">
        <v>45448</v>
      </c>
      <c r="C379" s="246">
        <v>251.18</v>
      </c>
      <c r="D379" s="246">
        <v>534.66999999999996</v>
      </c>
      <c r="E379" s="246">
        <v>45.3</v>
      </c>
      <c r="F379" s="248">
        <f t="shared" si="65"/>
        <v>2.8747105326198952E-3</v>
      </c>
      <c r="G379" s="248">
        <f t="shared" si="66"/>
        <v>1.1885160582145726E-2</v>
      </c>
      <c r="H379" s="248">
        <f t="shared" si="67"/>
        <v>6.8904200933539439E-3</v>
      </c>
      <c r="I379" s="249">
        <f t="shared" si="68"/>
        <v>0.39707436453640099</v>
      </c>
      <c r="J379" s="249">
        <f t="shared" si="69"/>
        <v>0.32190273691497406</v>
      </c>
      <c r="K379" s="249">
        <f t="shared" si="70"/>
        <v>8.8549801754175261E-2</v>
      </c>
      <c r="L379" s="250">
        <f t="shared" si="60"/>
        <v>139.70743645364036</v>
      </c>
      <c r="M379" s="250">
        <f t="shared" si="61"/>
        <v>132.19027369149751</v>
      </c>
      <c r="N379" s="250">
        <f t="shared" si="62"/>
        <v>108.85498017541751</v>
      </c>
      <c r="O379" s="248">
        <f t="shared" si="63"/>
        <v>5.6866231926307131E-2</v>
      </c>
      <c r="P379" s="247">
        <f t="shared" si="64"/>
        <v>0.28342714525788781</v>
      </c>
      <c r="Q379" s="251">
        <f t="shared" si="71"/>
        <v>1.397074364536401</v>
      </c>
      <c r="R379" s="251">
        <f t="shared" si="72"/>
        <v>1.532843873407862</v>
      </c>
      <c r="S379" s="251">
        <f t="shared" si="73"/>
        <v>-8.8573605718640036E-2</v>
      </c>
      <c r="T379" s="252">
        <f>C379*'1. Share_Price_Analysis'!$E$11+T378*(1-'1. Share_Price_Analysis'!$E$11)</f>
        <v>239.23607263888246</v>
      </c>
      <c r="U379" s="253">
        <f t="shared" si="74"/>
        <v>259.25258846502732</v>
      </c>
    </row>
    <row r="380" spans="2:21" x14ac:dyDescent="0.2">
      <c r="B380" s="245">
        <v>45449</v>
      </c>
      <c r="C380" s="246">
        <v>248.58</v>
      </c>
      <c r="D380" s="246">
        <v>534.66</v>
      </c>
      <c r="E380" s="246">
        <v>45.35</v>
      </c>
      <c r="F380" s="248">
        <f t="shared" si="65"/>
        <v>-1.0351142606895403E-2</v>
      </c>
      <c r="G380" s="248">
        <f t="shared" si="66"/>
        <v>-1.8703125292174327E-5</v>
      </c>
      <c r="H380" s="248">
        <f t="shared" si="67"/>
        <v>1.1037527593820151E-3</v>
      </c>
      <c r="I380" s="249">
        <f t="shared" si="68"/>
        <v>0.38261304855664702</v>
      </c>
      <c r="J380" s="249">
        <f t="shared" si="69"/>
        <v>0.32187801320246145</v>
      </c>
      <c r="K380" s="249">
        <f t="shared" si="70"/>
        <v>8.9751291601586125E-2</v>
      </c>
      <c r="L380" s="250">
        <f t="shared" si="60"/>
        <v>138.26130485566495</v>
      </c>
      <c r="M380" s="250">
        <f t="shared" si="61"/>
        <v>132.18780132024622</v>
      </c>
      <c r="N380" s="250">
        <f t="shared" si="62"/>
        <v>108.97512916015859</v>
      </c>
      <c r="O380" s="248">
        <f t="shared" si="63"/>
        <v>4.5946021302710971E-2</v>
      </c>
      <c r="P380" s="247">
        <f t="shared" si="64"/>
        <v>0.26874183055534417</v>
      </c>
      <c r="Q380" s="251">
        <f t="shared" si="71"/>
        <v>1.382613048556647</v>
      </c>
      <c r="R380" s="251">
        <f t="shared" si="72"/>
        <v>1.532843873407862</v>
      </c>
      <c r="S380" s="251">
        <f t="shared" si="73"/>
        <v>-9.8007910301534884E-2</v>
      </c>
      <c r="T380" s="252">
        <f>C380*'1. Share_Price_Analysis'!$E$11+T379*(1-'1. Share_Price_Analysis'!$E$11)</f>
        <v>239.32904704048562</v>
      </c>
      <c r="U380" s="253">
        <f t="shared" si="74"/>
        <v>258.83405558404587</v>
      </c>
    </row>
    <row r="381" spans="2:21" x14ac:dyDescent="0.2">
      <c r="B381" s="245">
        <v>45450</v>
      </c>
      <c r="C381" s="246">
        <v>247.59</v>
      </c>
      <c r="D381" s="246">
        <v>534.01</v>
      </c>
      <c r="E381" s="246">
        <v>44.895000000000003</v>
      </c>
      <c r="F381" s="248">
        <f t="shared" si="65"/>
        <v>-3.9826212889211288E-3</v>
      </c>
      <c r="G381" s="248">
        <f t="shared" si="66"/>
        <v>-1.215725881868801E-3</v>
      </c>
      <c r="H381" s="248">
        <f t="shared" si="67"/>
        <v>-1.0033076074972391E-2</v>
      </c>
      <c r="I381" s="249">
        <f t="shared" si="68"/>
        <v>0.3771066243951251</v>
      </c>
      <c r="J381" s="249">
        <f t="shared" si="69"/>
        <v>0.32027097188913789</v>
      </c>
      <c r="K381" s="249">
        <f t="shared" si="70"/>
        <v>7.8817733990147909E-2</v>
      </c>
      <c r="L381" s="250">
        <f t="shared" si="60"/>
        <v>137.71066243951279</v>
      </c>
      <c r="M381" s="250">
        <f t="shared" si="61"/>
        <v>132.02709718891387</v>
      </c>
      <c r="N381" s="250">
        <f t="shared" si="62"/>
        <v>107.88177339901479</v>
      </c>
      <c r="O381" s="248">
        <f t="shared" si="63"/>
        <v>4.3048475438843159E-2</v>
      </c>
      <c r="P381" s="247">
        <f t="shared" si="64"/>
        <v>0.27649609475895143</v>
      </c>
      <c r="Q381" s="251">
        <f t="shared" si="71"/>
        <v>1.3771066243951251</v>
      </c>
      <c r="R381" s="251">
        <f t="shared" si="72"/>
        <v>1.532843873407862</v>
      </c>
      <c r="S381" s="251">
        <f t="shared" si="73"/>
        <v>-0.10160020320040641</v>
      </c>
      <c r="T381" s="252">
        <f>C381*'1. Share_Price_Analysis'!$E$11+T380*(1-'1. Share_Price_Analysis'!$E$11)</f>
        <v>239.41124557739622</v>
      </c>
      <c r="U381" s="253">
        <f t="shared" si="74"/>
        <v>258.39311222780879</v>
      </c>
    </row>
    <row r="382" spans="2:21" x14ac:dyDescent="0.2">
      <c r="B382" s="245">
        <v>45453</v>
      </c>
      <c r="C382" s="246">
        <v>247.81</v>
      </c>
      <c r="D382" s="246">
        <v>535.66</v>
      </c>
      <c r="E382" s="246">
        <v>44.85</v>
      </c>
      <c r="F382" s="248">
        <f t="shared" si="65"/>
        <v>8.8856577406204451E-4</v>
      </c>
      <c r="G382" s="248">
        <f t="shared" si="66"/>
        <v>3.0898297784685003E-3</v>
      </c>
      <c r="H382" s="248">
        <f t="shared" si="67"/>
        <v>-1.0023387905112591E-3</v>
      </c>
      <c r="I382" s="249">
        <f t="shared" si="68"/>
        <v>0.37833027420879684</v>
      </c>
      <c r="J382" s="249">
        <f t="shared" si="69"/>
        <v>0.32435038445372855</v>
      </c>
      <c r="K382" s="249">
        <f t="shared" si="70"/>
        <v>7.7736393127478154E-2</v>
      </c>
      <c r="L382" s="250">
        <f t="shared" si="60"/>
        <v>137.83302742087992</v>
      </c>
      <c r="M382" s="250">
        <f t="shared" si="61"/>
        <v>132.43503844537295</v>
      </c>
      <c r="N382" s="250">
        <f t="shared" si="62"/>
        <v>107.77363931274782</v>
      </c>
      <c r="O382" s="248">
        <f t="shared" si="63"/>
        <v>4.0759522848882623E-2</v>
      </c>
      <c r="P382" s="247">
        <f t="shared" si="64"/>
        <v>0.27891224885616661</v>
      </c>
      <c r="Q382" s="251">
        <f t="shared" si="71"/>
        <v>1.3783302742087968</v>
      </c>
      <c r="R382" s="251">
        <f t="shared" si="72"/>
        <v>1.532843873407862</v>
      </c>
      <c r="S382" s="251">
        <f t="shared" si="73"/>
        <v>-0.10080191588954601</v>
      </c>
      <c r="T382" s="252">
        <f>C382*'1. Share_Price_Analysis'!$E$11+T381*(1-'1. Share_Price_Analysis'!$E$11)</f>
        <v>239.49481527314353</v>
      </c>
      <c r="U382" s="253">
        <f t="shared" si="74"/>
        <v>257.97808821887509</v>
      </c>
    </row>
    <row r="383" spans="2:21" x14ac:dyDescent="0.2">
      <c r="B383" s="245">
        <v>45454</v>
      </c>
      <c r="C383" s="246">
        <v>244.64</v>
      </c>
      <c r="D383" s="246">
        <v>536.95000000000005</v>
      </c>
      <c r="E383" s="246">
        <v>44.835000000000001</v>
      </c>
      <c r="F383" s="248">
        <f t="shared" si="65"/>
        <v>-1.2792058431863151E-2</v>
      </c>
      <c r="G383" s="248">
        <f t="shared" si="66"/>
        <v>2.4082440353956347E-3</v>
      </c>
      <c r="H383" s="248">
        <f t="shared" si="67"/>
        <v>-3.3444816053518345E-4</v>
      </c>
      <c r="I383" s="249">
        <f t="shared" si="68"/>
        <v>0.36069859280271199</v>
      </c>
      <c r="J383" s="249">
        <f t="shared" si="69"/>
        <v>0.32753974336786307</v>
      </c>
      <c r="K383" s="249">
        <f t="shared" si="70"/>
        <v>7.7375946173254828E-2</v>
      </c>
      <c r="L383" s="250">
        <f t="shared" si="60"/>
        <v>136.06985928027143</v>
      </c>
      <c r="M383" s="250">
        <f t="shared" si="61"/>
        <v>132.75397433678643</v>
      </c>
      <c r="N383" s="250">
        <f t="shared" si="62"/>
        <v>107.73759461732548</v>
      </c>
      <c r="O383" s="248">
        <f t="shared" si="63"/>
        <v>2.4977669859229668E-2</v>
      </c>
      <c r="P383" s="247">
        <f t="shared" si="64"/>
        <v>0.26297472821422674</v>
      </c>
      <c r="Q383" s="251">
        <f t="shared" si="71"/>
        <v>1.360698592802712</v>
      </c>
      <c r="R383" s="251">
        <f t="shared" si="72"/>
        <v>1.532843873407862</v>
      </c>
      <c r="S383" s="251">
        <f t="shared" si="73"/>
        <v>-0.11230451032330624</v>
      </c>
      <c r="T383" s="252">
        <f>C383*'1. Share_Price_Analysis'!$E$11+T382*(1-'1. Share_Price_Analysis'!$E$11)</f>
        <v>239.54601114107246</v>
      </c>
      <c r="U383" s="253">
        <f t="shared" si="74"/>
        <v>257.45502593578192</v>
      </c>
    </row>
    <row r="384" spans="2:21" x14ac:dyDescent="0.2">
      <c r="B384" s="245">
        <v>45455</v>
      </c>
      <c r="C384" s="246">
        <v>249.12</v>
      </c>
      <c r="D384" s="246">
        <v>541.36</v>
      </c>
      <c r="E384" s="246">
        <v>44.92</v>
      </c>
      <c r="F384" s="248">
        <f t="shared" si="65"/>
        <v>1.8312622629169439E-2</v>
      </c>
      <c r="G384" s="248">
        <f t="shared" si="66"/>
        <v>8.213055219294052E-3</v>
      </c>
      <c r="H384" s="248">
        <f t="shared" si="67"/>
        <v>1.8958403033344506E-3</v>
      </c>
      <c r="I384" s="249">
        <f t="shared" si="68"/>
        <v>0.38561655264474992</v>
      </c>
      <c r="J384" s="249">
        <f t="shared" si="69"/>
        <v>0.33844290058595083</v>
      </c>
      <c r="K384" s="249">
        <f t="shared" si="70"/>
        <v>7.941847891385323E-2</v>
      </c>
      <c r="L384" s="250">
        <f t="shared" ref="L384:L447" si="75">(C384/$C$64)*100</f>
        <v>138.56165526447523</v>
      </c>
      <c r="M384" s="250">
        <f t="shared" ref="M384:M447" si="76">(D384/$D$64)*100</f>
        <v>133.84429005859519</v>
      </c>
      <c r="N384" s="250">
        <f t="shared" ref="N384:N447" si="77">(E384/$E$64)*100</f>
        <v>107.94184789138532</v>
      </c>
      <c r="O384" s="248">
        <f t="shared" ref="O384:O447" si="78">(1+I384)/(1+J384)-1</f>
        <v>3.5245173356403203E-2</v>
      </c>
      <c r="P384" s="247">
        <f t="shared" ref="P384:P447" si="79">(1+I384)/(1+K384)-1</f>
        <v>0.28366947547442711</v>
      </c>
      <c r="Q384" s="251">
        <f t="shared" si="71"/>
        <v>1.3856165526447499</v>
      </c>
      <c r="R384" s="251">
        <f t="shared" si="72"/>
        <v>1.532843873407862</v>
      </c>
      <c r="S384" s="251">
        <f t="shared" si="73"/>
        <v>-9.6048477811241262E-2</v>
      </c>
      <c r="T384" s="252">
        <f>C384*'1. Share_Price_Analysis'!$E$11+T383*(1-'1. Share_Price_Analysis'!$E$11)</f>
        <v>239.64127471180808</v>
      </c>
      <c r="U384" s="253">
        <f t="shared" si="74"/>
        <v>257.12816217359438</v>
      </c>
    </row>
    <row r="385" spans="2:21" x14ac:dyDescent="0.2">
      <c r="B385" s="245">
        <v>45456</v>
      </c>
      <c r="C385" s="246">
        <v>253.95</v>
      </c>
      <c r="D385" s="246">
        <v>542.45000000000005</v>
      </c>
      <c r="E385" s="246">
        <v>44.905000000000001</v>
      </c>
      <c r="F385" s="248">
        <f t="shared" ref="F385:F448" si="80">C385/C384-1</f>
        <v>1.938824662813099E-2</v>
      </c>
      <c r="G385" s="248">
        <f t="shared" ref="G385:G448" si="81">D385/D384 - 1</f>
        <v>2.0134476134181511E-3</v>
      </c>
      <c r="H385" s="248">
        <f t="shared" ref="H385:H448" si="82">E385/E384 - 1</f>
        <v>-3.3392698130008114E-4</v>
      </c>
      <c r="I385" s="249">
        <f t="shared" ref="I385:I448" si="83">(1+F385)*(1+I384)-1</f>
        <v>0.41248122809944698</v>
      </c>
      <c r="J385" s="249">
        <f t="shared" ref="J385:J448" si="84">(1+G385)*(1+J384)-1</f>
        <v>0.34113778524983207</v>
      </c>
      <c r="K385" s="249">
        <f t="shared" ref="K385:K448" si="85">(1+H385)*(1+K384)-1</f>
        <v>7.9058031959629904E-2</v>
      </c>
      <c r="L385" s="250">
        <f t="shared" si="75"/>
        <v>141.24812280994493</v>
      </c>
      <c r="M385" s="250">
        <f t="shared" si="76"/>
        <v>134.11377852498333</v>
      </c>
      <c r="N385" s="250">
        <f t="shared" si="77"/>
        <v>107.90580319596299</v>
      </c>
      <c r="O385" s="248">
        <f t="shared" si="78"/>
        <v>5.319620670915981E-2</v>
      </c>
      <c r="P385" s="247">
        <f t="shared" si="79"/>
        <v>0.30899468449746115</v>
      </c>
      <c r="Q385" s="251">
        <f t="shared" ref="Q385:Q448" si="86">Q384*(1+F385)</f>
        <v>1.412481228099447</v>
      </c>
      <c r="R385" s="251">
        <f t="shared" ref="R385:R448" si="87">MAX(Q385,R384)</f>
        <v>1.532843873407862</v>
      </c>
      <c r="S385" s="251">
        <f t="shared" ref="S385:S448" si="88">Q385/R385-1</f>
        <v>-7.8522442759171085E-2</v>
      </c>
      <c r="T385" s="252">
        <f>C385*'1. Share_Price_Analysis'!$E$11+T384*(1-'1. Share_Price_Analysis'!$E$11)</f>
        <v>239.78365008781</v>
      </c>
      <c r="U385" s="253">
        <f t="shared" ref="U385:U448" si="89">C385*$L$5+U384*(1-$L$5)</f>
        <v>257.00352836286521</v>
      </c>
    </row>
    <row r="386" spans="2:21" x14ac:dyDescent="0.2">
      <c r="B386" s="245">
        <v>45457</v>
      </c>
      <c r="C386" s="246">
        <v>252.64</v>
      </c>
      <c r="D386" s="246">
        <v>542.78</v>
      </c>
      <c r="E386" s="246">
        <v>44.49</v>
      </c>
      <c r="F386" s="248">
        <f t="shared" si="80"/>
        <v>-5.1584957668832088E-3</v>
      </c>
      <c r="G386" s="248">
        <f t="shared" si="81"/>
        <v>6.0835100009204446E-4</v>
      </c>
      <c r="H386" s="248">
        <f t="shared" si="82"/>
        <v>-9.2417325464869693E-3</v>
      </c>
      <c r="I386" s="249">
        <f t="shared" si="83"/>
        <v>0.4051949496634939</v>
      </c>
      <c r="J386" s="249">
        <f t="shared" si="84"/>
        <v>0.34195366776274994</v>
      </c>
      <c r="K386" s="249">
        <f t="shared" si="85"/>
        <v>6.9085666226120335E-2</v>
      </c>
      <c r="L386" s="250">
        <f t="shared" si="75"/>
        <v>140.51949496634964</v>
      </c>
      <c r="M386" s="250">
        <f t="shared" si="76"/>
        <v>134.19536677627511</v>
      </c>
      <c r="N386" s="250">
        <f t="shared" si="77"/>
        <v>106.90856662261203</v>
      </c>
      <c r="O386" s="248">
        <f t="shared" si="78"/>
        <v>4.7126278216577555E-2</v>
      </c>
      <c r="P386" s="247">
        <f t="shared" si="79"/>
        <v>0.31438947696665087</v>
      </c>
      <c r="Q386" s="251">
        <f t="shared" si="86"/>
        <v>1.4051949496634939</v>
      </c>
      <c r="R386" s="251">
        <f t="shared" si="87"/>
        <v>1.532843873407862</v>
      </c>
      <c r="S386" s="251">
        <f t="shared" si="88"/>
        <v>-8.3275880837475835E-2</v>
      </c>
      <c r="T386" s="252">
        <f>C386*'1. Share_Price_Analysis'!$E$11+T385*(1-'1. Share_Price_Analysis'!$E$11)</f>
        <v>239.91157396753329</v>
      </c>
      <c r="U386" s="253">
        <f t="shared" si="89"/>
        <v>256.83240960353714</v>
      </c>
    </row>
    <row r="387" spans="2:21" x14ac:dyDescent="0.2">
      <c r="B387" s="245">
        <v>45460</v>
      </c>
      <c r="C387" s="246">
        <v>256.35000000000002</v>
      </c>
      <c r="D387" s="246">
        <v>547.1</v>
      </c>
      <c r="E387" s="246">
        <v>44.82</v>
      </c>
      <c r="F387" s="248">
        <f t="shared" si="80"/>
        <v>1.468492716909453E-2</v>
      </c>
      <c r="G387" s="248">
        <f t="shared" si="81"/>
        <v>7.9590257562918154E-3</v>
      </c>
      <c r="H387" s="248">
        <f t="shared" si="82"/>
        <v>7.417397167902795E-3</v>
      </c>
      <c r="I387" s="249">
        <f t="shared" si="83"/>
        <v>0.42583013515768187</v>
      </c>
      <c r="J387" s="249">
        <f t="shared" si="84"/>
        <v>0.352634311568224</v>
      </c>
      <c r="K387" s="249">
        <f t="shared" si="85"/>
        <v>7.7015499219031502E-2</v>
      </c>
      <c r="L387" s="250">
        <f t="shared" si="75"/>
        <v>142.58301351576841</v>
      </c>
      <c r="M387" s="250">
        <f t="shared" si="76"/>
        <v>135.26343115682252</v>
      </c>
      <c r="N387" s="250">
        <f t="shared" si="77"/>
        <v>107.70154992190315</v>
      </c>
      <c r="O387" s="248">
        <f t="shared" si="78"/>
        <v>5.4113534577276523E-2</v>
      </c>
      <c r="P387" s="247">
        <f t="shared" si="79"/>
        <v>0.32387150991938718</v>
      </c>
      <c r="Q387" s="251">
        <f t="shared" si="86"/>
        <v>1.4258301351576819</v>
      </c>
      <c r="R387" s="251">
        <f t="shared" si="87"/>
        <v>1.532843873407862</v>
      </c>
      <c r="S387" s="251">
        <f t="shared" si="88"/>
        <v>-6.9813853913421764E-2</v>
      </c>
      <c r="T387" s="252">
        <f>C387*'1. Share_Price_Analysis'!$E$11+T386*(1-'1. Share_Price_Analysis'!$E$11)</f>
        <v>240.07514039571706</v>
      </c>
      <c r="U387" s="253">
        <f t="shared" si="89"/>
        <v>256.81349157986904</v>
      </c>
    </row>
    <row r="388" spans="2:21" x14ac:dyDescent="0.2">
      <c r="B388" s="245">
        <v>45461</v>
      </c>
      <c r="C388" s="246">
        <v>255.61</v>
      </c>
      <c r="D388" s="246">
        <v>548.49</v>
      </c>
      <c r="E388" s="246">
        <v>44.77</v>
      </c>
      <c r="F388" s="248">
        <f t="shared" si="80"/>
        <v>-2.8866783694168063E-3</v>
      </c>
      <c r="G388" s="248">
        <f t="shared" si="81"/>
        <v>2.5406689819045258E-3</v>
      </c>
      <c r="H388" s="248">
        <f t="shared" si="82"/>
        <v>-1.1155734047300081E-3</v>
      </c>
      <c r="I388" s="249">
        <f t="shared" si="83"/>
        <v>0.42171422214805965</v>
      </c>
      <c r="J388" s="249">
        <f t="shared" si="84"/>
        <v>0.35607090760748528</v>
      </c>
      <c r="K388" s="249">
        <f t="shared" si="85"/>
        <v>7.5814009371620639E-2</v>
      </c>
      <c r="L388" s="250">
        <f t="shared" si="75"/>
        <v>142.1714222148062</v>
      </c>
      <c r="M388" s="250">
        <f t="shared" si="76"/>
        <v>135.6070907607486</v>
      </c>
      <c r="N388" s="250">
        <f t="shared" si="77"/>
        <v>107.58140093716209</v>
      </c>
      <c r="O388" s="248">
        <f t="shared" si="78"/>
        <v>4.8406992711309549E-2</v>
      </c>
      <c r="P388" s="247">
        <f t="shared" si="79"/>
        <v>0.32152417589214899</v>
      </c>
      <c r="Q388" s="251">
        <f t="shared" si="86"/>
        <v>1.4217142221480596</v>
      </c>
      <c r="R388" s="251">
        <f t="shared" si="87"/>
        <v>1.532843873407862</v>
      </c>
      <c r="S388" s="251">
        <f t="shared" si="88"/>
        <v>-7.2499002140861024E-2</v>
      </c>
      <c r="T388" s="252">
        <f>C388*'1. Share_Price_Analysis'!$E$11+T387*(1-'1. Share_Price_Analysis'!$E$11)</f>
        <v>240.2297161131726</v>
      </c>
      <c r="U388" s="253">
        <f t="shared" si="89"/>
        <v>256.7662958316389</v>
      </c>
    </row>
    <row r="389" spans="2:21" x14ac:dyDescent="0.2">
      <c r="B389" s="245">
        <v>45463</v>
      </c>
      <c r="C389" s="246">
        <v>246.46</v>
      </c>
      <c r="D389" s="246">
        <v>547</v>
      </c>
      <c r="E389" s="246">
        <v>44.814999999999998</v>
      </c>
      <c r="F389" s="248">
        <f t="shared" si="80"/>
        <v>-3.5796721568013834E-2</v>
      </c>
      <c r="G389" s="248">
        <f t="shared" si="81"/>
        <v>-2.716549071086094E-3</v>
      </c>
      <c r="H389" s="248">
        <f t="shared" si="82"/>
        <v>1.005137368773612E-3</v>
      </c>
      <c r="I389" s="249">
        <f t="shared" si="83"/>
        <v>0.37082151398854024</v>
      </c>
      <c r="J389" s="249">
        <f t="shared" si="84"/>
        <v>0.35238707444309725</v>
      </c>
      <c r="K389" s="249">
        <f t="shared" si="85"/>
        <v>7.6895350234290172E-2</v>
      </c>
      <c r="L389" s="250">
        <f t="shared" si="75"/>
        <v>137.08215139885422</v>
      </c>
      <c r="M389" s="250">
        <f t="shared" si="76"/>
        <v>135.23870744430982</v>
      </c>
      <c r="N389" s="250">
        <f t="shared" si="77"/>
        <v>107.68953502342904</v>
      </c>
      <c r="O389" s="248">
        <f t="shared" si="78"/>
        <v>1.3631037957852588E-2</v>
      </c>
      <c r="P389" s="247">
        <f t="shared" si="79"/>
        <v>0.27293846490311546</v>
      </c>
      <c r="Q389" s="251">
        <f t="shared" si="86"/>
        <v>1.3708215139885402</v>
      </c>
      <c r="R389" s="251">
        <f t="shared" si="87"/>
        <v>1.532843873407862</v>
      </c>
      <c r="S389" s="251">
        <f t="shared" si="88"/>
        <v>-0.10570049711527962</v>
      </c>
      <c r="T389" s="252">
        <f>C389*'1. Share_Price_Analysis'!$E$11+T388*(1-'1. Share_Price_Analysis'!$E$11)</f>
        <v>240.29170898766841</v>
      </c>
      <c r="U389" s="253">
        <f t="shared" si="89"/>
        <v>256.3621273676531</v>
      </c>
    </row>
    <row r="390" spans="2:21" x14ac:dyDescent="0.2">
      <c r="B390" s="245">
        <v>45464</v>
      </c>
      <c r="C390" s="246">
        <v>247.81</v>
      </c>
      <c r="D390" s="246">
        <v>544.51</v>
      </c>
      <c r="E390" s="246">
        <v>44.82</v>
      </c>
      <c r="F390" s="248">
        <f t="shared" si="80"/>
        <v>5.4775622819118741E-3</v>
      </c>
      <c r="G390" s="248">
        <f t="shared" si="81"/>
        <v>-4.5521023765996427E-3</v>
      </c>
      <c r="H390" s="248">
        <f t="shared" si="82"/>
        <v>1.1156978690185504E-4</v>
      </c>
      <c r="I390" s="249">
        <f t="shared" si="83"/>
        <v>0.37833027420879728</v>
      </c>
      <c r="J390" s="249">
        <f t="shared" si="84"/>
        <v>0.34623087002744213</v>
      </c>
      <c r="K390" s="249">
        <f t="shared" si="85"/>
        <v>7.7015499219031502E-2</v>
      </c>
      <c r="L390" s="250">
        <f t="shared" si="75"/>
        <v>137.83302742087992</v>
      </c>
      <c r="M390" s="250">
        <f t="shared" si="76"/>
        <v>134.62308700274431</v>
      </c>
      <c r="N390" s="250">
        <f t="shared" si="77"/>
        <v>107.70154992190315</v>
      </c>
      <c r="O390" s="248">
        <f t="shared" si="78"/>
        <v>2.384390738321196E-2</v>
      </c>
      <c r="P390" s="247">
        <f t="shared" si="79"/>
        <v>0.27976828115125185</v>
      </c>
      <c r="Q390" s="251">
        <f t="shared" si="86"/>
        <v>1.3783302742087973</v>
      </c>
      <c r="R390" s="251">
        <f t="shared" si="87"/>
        <v>1.532843873407862</v>
      </c>
      <c r="S390" s="251">
        <f t="shared" si="88"/>
        <v>-0.10080191588954568</v>
      </c>
      <c r="T390" s="252">
        <f>C390*'1. Share_Price_Analysis'!$E$11+T389*(1-'1. Share_Price_Analysis'!$E$11)</f>
        <v>240.3665178534628</v>
      </c>
      <c r="U390" s="253">
        <f t="shared" si="89"/>
        <v>256.02674982382359</v>
      </c>
    </row>
    <row r="391" spans="2:21" x14ac:dyDescent="0.2">
      <c r="B391" s="245">
        <v>45467</v>
      </c>
      <c r="C391" s="246">
        <v>247.58</v>
      </c>
      <c r="D391" s="246">
        <v>542.74</v>
      </c>
      <c r="E391" s="246">
        <v>44.895000000000003</v>
      </c>
      <c r="F391" s="248">
        <f t="shared" si="80"/>
        <v>-9.2813042250106115E-4</v>
      </c>
      <c r="G391" s="248">
        <f t="shared" si="81"/>
        <v>-3.2506290058951226E-3</v>
      </c>
      <c r="H391" s="248">
        <f t="shared" si="82"/>
        <v>1.6733601070950677E-3</v>
      </c>
      <c r="I391" s="249">
        <f t="shared" si="83"/>
        <v>0.37705100394904978</v>
      </c>
      <c r="J391" s="249">
        <f t="shared" si="84"/>
        <v>0.3418547729126995</v>
      </c>
      <c r="K391" s="249">
        <f t="shared" si="85"/>
        <v>7.8817733990147687E-2</v>
      </c>
      <c r="L391" s="250">
        <f t="shared" si="75"/>
        <v>137.70510039490517</v>
      </c>
      <c r="M391" s="250">
        <f t="shared" si="76"/>
        <v>134.18547729127005</v>
      </c>
      <c r="N391" s="250">
        <f t="shared" si="77"/>
        <v>107.88177339901479</v>
      </c>
      <c r="O391" s="248">
        <f t="shared" si="78"/>
        <v>2.622953820848406E-2</v>
      </c>
      <c r="P391" s="247">
        <f t="shared" si="79"/>
        <v>0.2764445379071101</v>
      </c>
      <c r="Q391" s="251">
        <f t="shared" si="86"/>
        <v>1.3770510039490498</v>
      </c>
      <c r="R391" s="251">
        <f t="shared" si="87"/>
        <v>1.532843873407862</v>
      </c>
      <c r="S391" s="251">
        <f t="shared" si="88"/>
        <v>-0.1016364889872633</v>
      </c>
      <c r="T391" s="252">
        <f>C391*'1. Share_Price_Analysis'!$E$11+T390*(1-'1. Share_Price_Analysis'!$E$11)</f>
        <v>240.43829379521938</v>
      </c>
      <c r="U391" s="253">
        <f t="shared" si="89"/>
        <v>255.69550473269328</v>
      </c>
    </row>
    <row r="392" spans="2:21" x14ac:dyDescent="0.2">
      <c r="B392" s="245">
        <v>45468</v>
      </c>
      <c r="C392" s="246">
        <v>246.15</v>
      </c>
      <c r="D392" s="246">
        <v>544.83000000000004</v>
      </c>
      <c r="E392" s="246">
        <v>44.325000000000003</v>
      </c>
      <c r="F392" s="248">
        <f t="shared" si="80"/>
        <v>-5.7759108167056983E-3</v>
      </c>
      <c r="G392" s="248">
        <f t="shared" si="81"/>
        <v>3.8508309687881326E-3</v>
      </c>
      <c r="H392" s="248">
        <f t="shared" si="82"/>
        <v>-1.2696291346475097E-2</v>
      </c>
      <c r="I392" s="249">
        <f t="shared" si="83"/>
        <v>0.36909728016018506</v>
      </c>
      <c r="J392" s="249">
        <f t="shared" si="84"/>
        <v>0.34702202882784783</v>
      </c>
      <c r="K392" s="249">
        <f t="shared" si="85"/>
        <v>6.512074972966464E-2</v>
      </c>
      <c r="L392" s="250">
        <f t="shared" si="75"/>
        <v>136.9097280160187</v>
      </c>
      <c r="M392" s="250">
        <f t="shared" si="76"/>
        <v>134.70220288278486</v>
      </c>
      <c r="N392" s="250">
        <f t="shared" si="77"/>
        <v>106.51207497296649</v>
      </c>
      <c r="O392" s="248">
        <f t="shared" si="78"/>
        <v>1.6388188804563608E-2</v>
      </c>
      <c r="P392" s="247">
        <f t="shared" si="79"/>
        <v>0.28539161452602624</v>
      </c>
      <c r="Q392" s="251">
        <f t="shared" si="86"/>
        <v>1.3690972801601851</v>
      </c>
      <c r="R392" s="251">
        <f t="shared" si="87"/>
        <v>1.532843873407862</v>
      </c>
      <c r="S392" s="251">
        <f t="shared" si="88"/>
        <v>-0.10682535650785552</v>
      </c>
      <c r="T392" s="252">
        <f>C392*'1. Share_Price_Analysis'!$E$11+T391*(1-'1. Share_Price_Analysis'!$E$11)</f>
        <v>240.49512669277939</v>
      </c>
      <c r="U392" s="253">
        <f t="shared" si="89"/>
        <v>255.32117121376413</v>
      </c>
    </row>
    <row r="393" spans="2:21" x14ac:dyDescent="0.2">
      <c r="B393" s="245">
        <v>45469</v>
      </c>
      <c r="C393" s="246">
        <v>245.88</v>
      </c>
      <c r="D393" s="246">
        <v>545.51</v>
      </c>
      <c r="E393" s="246">
        <v>44.295000000000002</v>
      </c>
      <c r="F393" s="248">
        <f t="shared" si="80"/>
        <v>-1.096892138939709E-3</v>
      </c>
      <c r="G393" s="248">
        <f t="shared" si="81"/>
        <v>1.2480957362845935E-3</v>
      </c>
      <c r="H393" s="248">
        <f t="shared" si="82"/>
        <v>-6.7681895093063549E-4</v>
      </c>
      <c r="I393" s="249">
        <f t="shared" si="83"/>
        <v>0.36759552811613361</v>
      </c>
      <c r="J393" s="249">
        <f t="shared" si="84"/>
        <v>0.34870324127870922</v>
      </c>
      <c r="K393" s="249">
        <f t="shared" si="85"/>
        <v>6.439985582121821E-2</v>
      </c>
      <c r="L393" s="250">
        <f t="shared" si="75"/>
        <v>136.75955281161356</v>
      </c>
      <c r="M393" s="250">
        <f t="shared" si="76"/>
        <v>134.87032412787104</v>
      </c>
      <c r="N393" s="250">
        <f t="shared" si="77"/>
        <v>106.43998558212182</v>
      </c>
      <c r="O393" s="248">
        <f t="shared" si="78"/>
        <v>1.4007741850988964E-2</v>
      </c>
      <c r="P393" s="247">
        <f t="shared" si="79"/>
        <v>0.28485129027097655</v>
      </c>
      <c r="Q393" s="251">
        <f t="shared" si="86"/>
        <v>1.3675955281161336</v>
      </c>
      <c r="R393" s="251">
        <f t="shared" si="87"/>
        <v>1.532843873407862</v>
      </c>
      <c r="S393" s="251">
        <f t="shared" si="88"/>
        <v>-0.10780507275300233</v>
      </c>
      <c r="T393" s="252">
        <f>C393*'1. Share_Price_Analysis'!$E$11+T392*(1-'1. Share_Price_Analysis'!$E$11)</f>
        <v>240.54870752170697</v>
      </c>
      <c r="U393" s="253">
        <f t="shared" si="89"/>
        <v>254.95092920538124</v>
      </c>
    </row>
    <row r="394" spans="2:21" x14ac:dyDescent="0.2">
      <c r="B394" s="245">
        <v>45470</v>
      </c>
      <c r="C394" s="246">
        <v>247.76</v>
      </c>
      <c r="D394" s="246">
        <v>546.37</v>
      </c>
      <c r="E394" s="246">
        <v>44.17</v>
      </c>
      <c r="F394" s="248">
        <f t="shared" si="80"/>
        <v>7.646006181877274E-3</v>
      </c>
      <c r="G394" s="248">
        <f t="shared" si="81"/>
        <v>1.5765063885171404E-3</v>
      </c>
      <c r="H394" s="248">
        <f t="shared" si="82"/>
        <v>-2.821988937803388E-3</v>
      </c>
      <c r="I394" s="249">
        <f t="shared" si="83"/>
        <v>0.37805217197841734</v>
      </c>
      <c r="J394" s="249">
        <f t="shared" si="84"/>
        <v>0.3508294805547989</v>
      </c>
      <c r="K394" s="249">
        <f t="shared" si="85"/>
        <v>6.1396131202691162E-2</v>
      </c>
      <c r="L394" s="250">
        <f t="shared" si="75"/>
        <v>137.80521719784193</v>
      </c>
      <c r="M394" s="250">
        <f t="shared" si="76"/>
        <v>135.08294805547999</v>
      </c>
      <c r="N394" s="250">
        <f t="shared" si="77"/>
        <v>106.13961312026913</v>
      </c>
      <c r="O394" s="248">
        <f t="shared" si="78"/>
        <v>2.015257426306527E-2</v>
      </c>
      <c r="P394" s="247">
        <f t="shared" si="79"/>
        <v>0.29833916995430942</v>
      </c>
      <c r="Q394" s="251">
        <f t="shared" si="86"/>
        <v>1.3780521719784173</v>
      </c>
      <c r="R394" s="251">
        <f t="shared" si="87"/>
        <v>1.532843873407862</v>
      </c>
      <c r="S394" s="251">
        <f t="shared" si="88"/>
        <v>-0.1009833448238322</v>
      </c>
      <c r="T394" s="252">
        <f>C394*'1. Share_Price_Analysis'!$E$11+T393*(1-'1. Share_Price_Analysis'!$E$11)</f>
        <v>240.62046167571987</v>
      </c>
      <c r="U394" s="253">
        <f t="shared" si="89"/>
        <v>254.66893198164081</v>
      </c>
    </row>
    <row r="395" spans="2:21" x14ac:dyDescent="0.2">
      <c r="B395" s="245">
        <v>45471</v>
      </c>
      <c r="C395" s="246">
        <v>248.68</v>
      </c>
      <c r="D395" s="246">
        <v>544.22</v>
      </c>
      <c r="E395" s="246">
        <v>44.155000000000001</v>
      </c>
      <c r="F395" s="248">
        <f t="shared" si="80"/>
        <v>3.7132709073297576E-3</v>
      </c>
      <c r="G395" s="248">
        <f t="shared" si="81"/>
        <v>-3.9350623204055246E-3</v>
      </c>
      <c r="H395" s="248">
        <f t="shared" si="82"/>
        <v>-3.3959701154628874E-4</v>
      </c>
      <c r="I395" s="249">
        <f t="shared" si="83"/>
        <v>0.38316925301740734</v>
      </c>
      <c r="J395" s="249">
        <f t="shared" si="84"/>
        <v>0.3455138823645747</v>
      </c>
      <c r="K395" s="249">
        <f t="shared" si="85"/>
        <v>6.1035684248467836E-2</v>
      </c>
      <c r="L395" s="250">
        <f t="shared" si="75"/>
        <v>138.31692530174092</v>
      </c>
      <c r="M395" s="250">
        <f t="shared" si="76"/>
        <v>134.55138823645757</v>
      </c>
      <c r="N395" s="250">
        <f t="shared" si="77"/>
        <v>106.1035684248468</v>
      </c>
      <c r="O395" s="248">
        <f t="shared" si="78"/>
        <v>2.7985865583681768E-2</v>
      </c>
      <c r="P395" s="247">
        <f t="shared" si="79"/>
        <v>0.30360295468960308</v>
      </c>
      <c r="Q395" s="251">
        <f t="shared" si="86"/>
        <v>1.3831692530174073</v>
      </c>
      <c r="R395" s="251">
        <f t="shared" si="87"/>
        <v>1.532843873407862</v>
      </c>
      <c r="S395" s="251">
        <f t="shared" si="88"/>
        <v>-9.7645052432961621E-2</v>
      </c>
      <c r="T395" s="252">
        <f>C395*'1. Share_Price_Analysis'!$E$11+T394*(1-'1. Share_Price_Analysis'!$E$11)</f>
        <v>240.70065608690675</v>
      </c>
      <c r="U395" s="253">
        <f t="shared" si="89"/>
        <v>254.43407190392941</v>
      </c>
    </row>
    <row r="396" spans="2:21" x14ac:dyDescent="0.2">
      <c r="B396" s="245">
        <v>45474</v>
      </c>
      <c r="C396" s="246">
        <v>243.72</v>
      </c>
      <c r="D396" s="246">
        <v>545.34</v>
      </c>
      <c r="E396" s="246">
        <v>43.475000000000001</v>
      </c>
      <c r="F396" s="248">
        <f t="shared" si="80"/>
        <v>-1.994531124336496E-2</v>
      </c>
      <c r="G396" s="248">
        <f t="shared" si="81"/>
        <v>2.057991253537228E-3</v>
      </c>
      <c r="H396" s="248">
        <f t="shared" si="82"/>
        <v>-1.5400294417393212E-2</v>
      </c>
      <c r="I396" s="249">
        <f t="shared" si="83"/>
        <v>0.35558151176372244</v>
      </c>
      <c r="J396" s="249">
        <f t="shared" si="84"/>
        <v>0.34828293816599398</v>
      </c>
      <c r="K396" s="249">
        <f t="shared" si="85"/>
        <v>4.4695422323681067E-2</v>
      </c>
      <c r="L396" s="250">
        <f t="shared" si="75"/>
        <v>135.55815117637243</v>
      </c>
      <c r="M396" s="250">
        <f t="shared" si="76"/>
        <v>134.82829381659951</v>
      </c>
      <c r="N396" s="250">
        <f t="shared" si="77"/>
        <v>104.46954223236813</v>
      </c>
      <c r="O396" s="248">
        <f t="shared" si="78"/>
        <v>5.4132358951721748E-3</v>
      </c>
      <c r="P396" s="247">
        <f t="shared" si="79"/>
        <v>0.29758538498096199</v>
      </c>
      <c r="Q396" s="251">
        <f t="shared" si="86"/>
        <v>1.3555815117637224</v>
      </c>
      <c r="R396" s="251">
        <f t="shared" si="87"/>
        <v>1.532843873407862</v>
      </c>
      <c r="S396" s="251">
        <f t="shared" si="88"/>
        <v>-0.11564280271417648</v>
      </c>
      <c r="T396" s="252">
        <f>C396*'1. Share_Price_Analysis'!$E$11+T395*(1-'1. Share_Price_Analysis'!$E$11)</f>
        <v>240.73069930992261</v>
      </c>
      <c r="U396" s="253">
        <f t="shared" si="89"/>
        <v>254.01391222142237</v>
      </c>
    </row>
    <row r="397" spans="2:21" x14ac:dyDescent="0.2">
      <c r="B397" s="245">
        <v>45475</v>
      </c>
      <c r="C397" s="246">
        <v>245.07</v>
      </c>
      <c r="D397" s="246">
        <v>549.01</v>
      </c>
      <c r="E397" s="246">
        <v>43.555</v>
      </c>
      <c r="F397" s="248">
        <f t="shared" si="80"/>
        <v>5.5391432791727091E-3</v>
      </c>
      <c r="G397" s="248">
        <f t="shared" si="81"/>
        <v>6.729746580115048E-3</v>
      </c>
      <c r="H397" s="248">
        <f t="shared" si="82"/>
        <v>1.840138010350767E-3</v>
      </c>
      <c r="I397" s="249">
        <f t="shared" si="83"/>
        <v>0.36309027198397925</v>
      </c>
      <c r="J397" s="249">
        <f t="shared" si="84"/>
        <v>0.35735654065814404</v>
      </c>
      <c r="K397" s="249">
        <f t="shared" si="85"/>
        <v>4.661780607953836E-2</v>
      </c>
      <c r="L397" s="250">
        <f t="shared" si="75"/>
        <v>136.30902719839813</v>
      </c>
      <c r="M397" s="250">
        <f t="shared" si="76"/>
        <v>135.73565406581451</v>
      </c>
      <c r="N397" s="250">
        <f t="shared" si="77"/>
        <v>104.66178060795386</v>
      </c>
      <c r="O397" s="248">
        <f t="shared" si="78"/>
        <v>4.2241895582240119E-3</v>
      </c>
      <c r="P397" s="247">
        <f t="shared" si="79"/>
        <v>0.30237634413071546</v>
      </c>
      <c r="Q397" s="251">
        <f t="shared" si="86"/>
        <v>1.3630902719839793</v>
      </c>
      <c r="R397" s="251">
        <f t="shared" si="87"/>
        <v>1.532843873407862</v>
      </c>
      <c r="S397" s="251">
        <f t="shared" si="88"/>
        <v>-0.11074422148844276</v>
      </c>
      <c r="T397" s="252">
        <f>C397*'1. Share_Price_Analysis'!$E$11+T396*(1-'1. Share_Price_Analysis'!$E$11)</f>
        <v>240.77387643121693</v>
      </c>
      <c r="U397" s="253">
        <f t="shared" si="89"/>
        <v>253.66317056568033</v>
      </c>
    </row>
    <row r="398" spans="2:21" x14ac:dyDescent="0.2">
      <c r="B398" s="245">
        <v>45476</v>
      </c>
      <c r="C398" s="246">
        <v>243.92</v>
      </c>
      <c r="D398" s="246">
        <v>551.46</v>
      </c>
      <c r="E398" s="246">
        <v>43.88</v>
      </c>
      <c r="F398" s="248">
        <f t="shared" si="80"/>
        <v>-4.6925368262129563E-3</v>
      </c>
      <c r="G398" s="248">
        <f t="shared" si="81"/>
        <v>4.4625780951168537E-3</v>
      </c>
      <c r="H398" s="248">
        <f t="shared" si="82"/>
        <v>7.4618298702791019E-3</v>
      </c>
      <c r="I398" s="249">
        <f t="shared" si="83"/>
        <v>0.35669392068524175</v>
      </c>
      <c r="J398" s="249">
        <f t="shared" si="84"/>
        <v>0.36341385022374872</v>
      </c>
      <c r="K398" s="249">
        <f t="shared" si="85"/>
        <v>5.4427490087708641E-2</v>
      </c>
      <c r="L398" s="250">
        <f t="shared" si="75"/>
        <v>135.66939206852439</v>
      </c>
      <c r="M398" s="250">
        <f t="shared" si="76"/>
        <v>136.34138502237496</v>
      </c>
      <c r="N398" s="250">
        <f t="shared" si="77"/>
        <v>105.44274900877089</v>
      </c>
      <c r="O398" s="248">
        <f t="shared" si="78"/>
        <v>-4.9287525848473734E-3</v>
      </c>
      <c r="P398" s="247">
        <f t="shared" si="79"/>
        <v>0.28666402710383632</v>
      </c>
      <c r="Q398" s="251">
        <f t="shared" si="86"/>
        <v>1.3566939206852417</v>
      </c>
      <c r="R398" s="251">
        <f t="shared" si="87"/>
        <v>1.532843873407862</v>
      </c>
      <c r="S398" s="251">
        <f t="shared" si="88"/>
        <v>-0.11491708697703096</v>
      </c>
      <c r="T398" s="252">
        <f>C398*'1. Share_Price_Analysis'!$E$11+T397*(1-'1. Share_Price_Analysis'!$E$11)</f>
        <v>240.80518114334413</v>
      </c>
      <c r="U398" s="253">
        <f t="shared" si="89"/>
        <v>253.28108544545759</v>
      </c>
    </row>
    <row r="399" spans="2:21" x14ac:dyDescent="0.2">
      <c r="B399" s="245">
        <v>45478</v>
      </c>
      <c r="C399" s="246">
        <v>244.21</v>
      </c>
      <c r="D399" s="246">
        <v>554.64</v>
      </c>
      <c r="E399" s="246">
        <v>43.95</v>
      </c>
      <c r="F399" s="248">
        <f t="shared" si="80"/>
        <v>1.1889143981633765E-3</v>
      </c>
      <c r="G399" s="248">
        <f t="shared" si="81"/>
        <v>5.766510717005735E-3</v>
      </c>
      <c r="H399" s="248">
        <f t="shared" si="82"/>
        <v>1.5952597994530748E-3</v>
      </c>
      <c r="I399" s="249">
        <f t="shared" si="83"/>
        <v>0.35830691362144518</v>
      </c>
      <c r="J399" s="249">
        <f t="shared" si="84"/>
        <v>0.37127599080277807</v>
      </c>
      <c r="K399" s="249">
        <f t="shared" si="85"/>
        <v>5.6109575874083717E-2</v>
      </c>
      <c r="L399" s="250">
        <f t="shared" si="75"/>
        <v>135.83069136214473</v>
      </c>
      <c r="M399" s="250">
        <f t="shared" si="76"/>
        <v>137.12759908027786</v>
      </c>
      <c r="N399" s="250">
        <f t="shared" si="77"/>
        <v>105.61095758740839</v>
      </c>
      <c r="O399" s="248">
        <f t="shared" si="78"/>
        <v>-9.457671007380819E-3</v>
      </c>
      <c r="P399" s="247">
        <f t="shared" si="79"/>
        <v>0.28614202981470882</v>
      </c>
      <c r="Q399" s="251">
        <f t="shared" si="86"/>
        <v>1.3583069136214452</v>
      </c>
      <c r="R399" s="251">
        <f t="shared" si="87"/>
        <v>1.532843873407862</v>
      </c>
      <c r="S399" s="251">
        <f t="shared" si="88"/>
        <v>-0.11386479915816949</v>
      </c>
      <c r="T399" s="252">
        <f>C399*'1. Share_Price_Analysis'!$E$11+T398*(1-'1. Share_Price_Analysis'!$E$11)</f>
        <v>240.83905993793775</v>
      </c>
      <c r="U399" s="253">
        <f t="shared" si="89"/>
        <v>252.92535660445924</v>
      </c>
    </row>
    <row r="400" spans="2:21" x14ac:dyDescent="0.2">
      <c r="B400" s="245">
        <v>45481</v>
      </c>
      <c r="C400" s="246">
        <v>241.97</v>
      </c>
      <c r="D400" s="246">
        <v>555.28</v>
      </c>
      <c r="E400" s="246">
        <v>44.08</v>
      </c>
      <c r="F400" s="248">
        <f t="shared" si="80"/>
        <v>-9.1724335612792807E-3</v>
      </c>
      <c r="G400" s="248">
        <f t="shared" si="81"/>
        <v>1.1539016298860449E-3</v>
      </c>
      <c r="H400" s="248">
        <f t="shared" si="82"/>
        <v>2.9579067121727753E-3</v>
      </c>
      <c r="I400" s="249">
        <f t="shared" si="83"/>
        <v>0.3458479337004261</v>
      </c>
      <c r="J400" s="249">
        <f t="shared" si="84"/>
        <v>0.37285830840358902</v>
      </c>
      <c r="K400" s="249">
        <f t="shared" si="85"/>
        <v>5.9233449477351652E-2</v>
      </c>
      <c r="L400" s="250">
        <f t="shared" si="75"/>
        <v>134.58479337004283</v>
      </c>
      <c r="M400" s="250">
        <f t="shared" si="76"/>
        <v>137.28583084035898</v>
      </c>
      <c r="N400" s="250">
        <f t="shared" si="77"/>
        <v>105.92334494773519</v>
      </c>
      <c r="O400" s="248">
        <f t="shared" si="78"/>
        <v>-1.9674553839843512E-2</v>
      </c>
      <c r="P400" s="247">
        <f t="shared" si="79"/>
        <v>0.27058670056586309</v>
      </c>
      <c r="Q400" s="251">
        <f t="shared" si="86"/>
        <v>1.3458479337004261</v>
      </c>
      <c r="R400" s="251">
        <f t="shared" si="87"/>
        <v>1.532843873407862</v>
      </c>
      <c r="S400" s="251">
        <f t="shared" si="88"/>
        <v>-0.12199281541420215</v>
      </c>
      <c r="T400" s="252">
        <f>C400*'1. Share_Price_Analysis'!$E$11+T399*(1-'1. Share_Price_Analysis'!$E$11)</f>
        <v>240.85031307288367</v>
      </c>
      <c r="U400" s="253">
        <f t="shared" si="89"/>
        <v>252.49573477683342</v>
      </c>
    </row>
    <row r="401" spans="2:21" x14ac:dyDescent="0.2">
      <c r="B401" s="245">
        <v>45482</v>
      </c>
      <c r="C401" s="246">
        <v>242.25</v>
      </c>
      <c r="D401" s="246">
        <v>555.82000000000005</v>
      </c>
      <c r="E401" s="246">
        <v>43.63</v>
      </c>
      <c r="F401" s="248">
        <f t="shared" si="80"/>
        <v>1.157168243997253E-3</v>
      </c>
      <c r="G401" s="248">
        <f t="shared" si="81"/>
        <v>9.7248235124625104E-4</v>
      </c>
      <c r="H401" s="248">
        <f t="shared" si="82"/>
        <v>-1.0208711433756679E-2</v>
      </c>
      <c r="I401" s="249">
        <f t="shared" si="83"/>
        <v>0.34740530619055354</v>
      </c>
      <c r="J401" s="249">
        <f t="shared" si="84"/>
        <v>0.37419338887927323</v>
      </c>
      <c r="K401" s="249">
        <f t="shared" si="85"/>
        <v>4.8420040850654766E-2</v>
      </c>
      <c r="L401" s="250">
        <f t="shared" si="75"/>
        <v>134.74053061905556</v>
      </c>
      <c r="M401" s="250">
        <f t="shared" si="76"/>
        <v>137.41933888792741</v>
      </c>
      <c r="N401" s="250">
        <f t="shared" si="77"/>
        <v>104.84200408506548</v>
      </c>
      <c r="O401" s="248">
        <f t="shared" si="78"/>
        <v>-1.9493677458721326E-2</v>
      </c>
      <c r="P401" s="247">
        <f t="shared" si="79"/>
        <v>0.28517698411918158</v>
      </c>
      <c r="Q401" s="251">
        <f t="shared" si="86"/>
        <v>1.3474053061905535</v>
      </c>
      <c r="R401" s="251">
        <f t="shared" si="87"/>
        <v>1.532843873407862</v>
      </c>
      <c r="S401" s="251">
        <f t="shared" si="88"/>
        <v>-0.12097681338219801</v>
      </c>
      <c r="T401" s="252">
        <f>C401*'1. Share_Price_Analysis'!$E$11+T400*(1-'1. Share_Price_Analysis'!$E$11)</f>
        <v>240.86424030598931</v>
      </c>
      <c r="U401" s="253">
        <f t="shared" si="89"/>
        <v>252.09394125617328</v>
      </c>
    </row>
    <row r="402" spans="2:21" x14ac:dyDescent="0.2">
      <c r="B402" s="245">
        <v>45483</v>
      </c>
      <c r="C402" s="246">
        <v>247.72</v>
      </c>
      <c r="D402" s="246">
        <v>561.32000000000005</v>
      </c>
      <c r="E402" s="246">
        <v>44.215000000000003</v>
      </c>
      <c r="F402" s="248">
        <f t="shared" si="80"/>
        <v>2.2579979360165092E-2</v>
      </c>
      <c r="G402" s="248">
        <f t="shared" si="81"/>
        <v>9.8952898420352486E-3</v>
      </c>
      <c r="H402" s="248">
        <f t="shared" si="82"/>
        <v>1.3408205363282244E-2</v>
      </c>
      <c r="I402" s="249">
        <f t="shared" si="83"/>
        <v>0.37782969019411317</v>
      </c>
      <c r="J402" s="249">
        <f t="shared" si="84"/>
        <v>0.38779143076124223</v>
      </c>
      <c r="K402" s="249">
        <f t="shared" si="85"/>
        <v>6.2477472065361139E-2</v>
      </c>
      <c r="L402" s="250">
        <f t="shared" si="75"/>
        <v>137.78296901941155</v>
      </c>
      <c r="M402" s="250">
        <f t="shared" si="76"/>
        <v>138.77914307612431</v>
      </c>
      <c r="N402" s="250">
        <f t="shared" si="77"/>
        <v>106.24774720653612</v>
      </c>
      <c r="O402" s="248">
        <f t="shared" si="78"/>
        <v>-7.1781251464168028E-3</v>
      </c>
      <c r="P402" s="247">
        <f t="shared" si="79"/>
        <v>0.29680838080805194</v>
      </c>
      <c r="Q402" s="251">
        <f t="shared" si="86"/>
        <v>1.3778296901941132</v>
      </c>
      <c r="R402" s="251">
        <f t="shared" si="87"/>
        <v>1.532843873407862</v>
      </c>
      <c r="S402" s="251">
        <f t="shared" si="88"/>
        <v>-0.1011284879712615</v>
      </c>
      <c r="T402" s="252">
        <f>C402*'1. Share_Price_Analysis'!$E$11+T401*(1-'1. Share_Price_Analysis'!$E$11)</f>
        <v>240.93245682035757</v>
      </c>
      <c r="U402" s="253">
        <f t="shared" si="89"/>
        <v>251.92241414808805</v>
      </c>
    </row>
    <row r="403" spans="2:21" x14ac:dyDescent="0.2">
      <c r="B403" s="245">
        <v>45484</v>
      </c>
      <c r="C403" s="246">
        <v>254.69</v>
      </c>
      <c r="D403" s="246">
        <v>556.48</v>
      </c>
      <c r="E403" s="246">
        <v>44.82</v>
      </c>
      <c r="F403" s="248">
        <f t="shared" si="80"/>
        <v>2.8136605845309193E-2</v>
      </c>
      <c r="G403" s="248">
        <f t="shared" si="81"/>
        <v>-8.6225326017245196E-3</v>
      </c>
      <c r="H403" s="248">
        <f t="shared" si="82"/>
        <v>1.3683139206151607E-2</v>
      </c>
      <c r="I403" s="249">
        <f t="shared" si="83"/>
        <v>0.41659714110906942</v>
      </c>
      <c r="J403" s="249">
        <f t="shared" si="84"/>
        <v>0.3758251539051094</v>
      </c>
      <c r="K403" s="249">
        <f t="shared" si="85"/>
        <v>7.7015499219031502E-2</v>
      </c>
      <c r="L403" s="250">
        <f t="shared" si="75"/>
        <v>141.65971411090717</v>
      </c>
      <c r="M403" s="250">
        <f t="shared" si="76"/>
        <v>137.58251539051102</v>
      </c>
      <c r="N403" s="250">
        <f t="shared" si="77"/>
        <v>107.70154992190315</v>
      </c>
      <c r="O403" s="248">
        <f t="shared" si="78"/>
        <v>2.9634570270963501E-2</v>
      </c>
      <c r="P403" s="247">
        <f t="shared" si="79"/>
        <v>0.31529875116586181</v>
      </c>
      <c r="Q403" s="251">
        <f t="shared" si="86"/>
        <v>1.4165971411090694</v>
      </c>
      <c r="R403" s="251">
        <f t="shared" si="87"/>
        <v>1.532843873407862</v>
      </c>
      <c r="S403" s="251">
        <f t="shared" si="88"/>
        <v>-7.5837294531731714E-2</v>
      </c>
      <c r="T403" s="252">
        <f>C403*'1. Share_Price_Analysis'!$E$11+T402*(1-'1. Share_Price_Analysis'!$E$11)</f>
        <v>241.06934779726944</v>
      </c>
      <c r="U403" s="253">
        <f t="shared" si="89"/>
        <v>252.03094692659442</v>
      </c>
    </row>
    <row r="404" spans="2:21" x14ac:dyDescent="0.2">
      <c r="B404" s="245">
        <v>45485</v>
      </c>
      <c r="C404" s="246">
        <v>252.51</v>
      </c>
      <c r="D404" s="246">
        <v>559.99</v>
      </c>
      <c r="E404" s="246">
        <v>45.25</v>
      </c>
      <c r="F404" s="248">
        <f t="shared" si="80"/>
        <v>-8.5594251835564572E-3</v>
      </c>
      <c r="G404" s="248">
        <f t="shared" si="81"/>
        <v>6.3075043128233421E-3</v>
      </c>
      <c r="H404" s="248">
        <f t="shared" si="82"/>
        <v>9.5939312806783139E-3</v>
      </c>
      <c r="I404" s="249">
        <f t="shared" si="83"/>
        <v>0.40447188386450628</v>
      </c>
      <c r="J404" s="249">
        <f t="shared" si="84"/>
        <v>0.38450317699705661</v>
      </c>
      <c r="K404" s="249">
        <f t="shared" si="85"/>
        <v>8.7348311906764398E-2</v>
      </c>
      <c r="L404" s="250">
        <f t="shared" si="75"/>
        <v>140.44718838645085</v>
      </c>
      <c r="M404" s="250">
        <f t="shared" si="76"/>
        <v>138.45031769970578</v>
      </c>
      <c r="N404" s="250">
        <f t="shared" si="77"/>
        <v>108.73483119067645</v>
      </c>
      <c r="O404" s="248">
        <f t="shared" si="78"/>
        <v>1.4423012672864388E-2</v>
      </c>
      <c r="P404" s="247">
        <f t="shared" si="79"/>
        <v>0.29164856236511438</v>
      </c>
      <c r="Q404" s="251">
        <f t="shared" si="86"/>
        <v>1.4044718838645063</v>
      </c>
      <c r="R404" s="251">
        <f t="shared" si="87"/>
        <v>1.532843873407862</v>
      </c>
      <c r="S404" s="251">
        <f t="shared" si="88"/>
        <v>-8.3747596066620522E-2</v>
      </c>
      <c r="T404" s="252">
        <f>C404*'1. Share_Price_Analysis'!$E$11+T403*(1-'1. Share_Price_Analysis'!$E$11)</f>
        <v>241.18318513262</v>
      </c>
      <c r="U404" s="253">
        <f t="shared" si="89"/>
        <v>252.04973332162996</v>
      </c>
    </row>
    <row r="405" spans="2:21" x14ac:dyDescent="0.2">
      <c r="B405" s="245">
        <v>45488</v>
      </c>
      <c r="C405" s="246">
        <v>253.9</v>
      </c>
      <c r="D405" s="246">
        <v>561.53</v>
      </c>
      <c r="E405" s="246">
        <v>45.134999999999998</v>
      </c>
      <c r="F405" s="248">
        <f t="shared" si="80"/>
        <v>5.5047324858421565E-3</v>
      </c>
      <c r="G405" s="248">
        <f t="shared" si="81"/>
        <v>2.7500491080196809E-3</v>
      </c>
      <c r="H405" s="248">
        <f t="shared" si="82"/>
        <v>-2.5414364640884424E-3</v>
      </c>
      <c r="I405" s="249">
        <f t="shared" si="83"/>
        <v>0.41220312586906727</v>
      </c>
      <c r="J405" s="249">
        <f t="shared" si="84"/>
        <v>0.38831062872400768</v>
      </c>
      <c r="K405" s="249">
        <f t="shared" si="85"/>
        <v>8.4584885257719566E-2</v>
      </c>
      <c r="L405" s="250">
        <f t="shared" si="75"/>
        <v>141.22031258690694</v>
      </c>
      <c r="M405" s="250">
        <f t="shared" si="76"/>
        <v>138.83106287240091</v>
      </c>
      <c r="N405" s="250">
        <f t="shared" si="77"/>
        <v>108.45848852577195</v>
      </c>
      <c r="O405" s="248">
        <f t="shared" si="78"/>
        <v>1.72097631832E-2</v>
      </c>
      <c r="P405" s="247">
        <f t="shared" si="79"/>
        <v>0.30206786491727566</v>
      </c>
      <c r="Q405" s="251">
        <f t="shared" si="86"/>
        <v>1.4122031258690673</v>
      </c>
      <c r="R405" s="251">
        <f t="shared" si="87"/>
        <v>1.532843873407862</v>
      </c>
      <c r="S405" s="251">
        <f t="shared" si="88"/>
        <v>-7.8703871693457494E-2</v>
      </c>
      <c r="T405" s="252">
        <f>C405*'1. Share_Price_Analysis'!$E$11+T404*(1-'1. Share_Price_Analysis'!$E$11)</f>
        <v>241.30972060393722</v>
      </c>
      <c r="U405" s="253">
        <f t="shared" si="89"/>
        <v>252.12229279921311</v>
      </c>
    </row>
    <row r="406" spans="2:21" x14ac:dyDescent="0.2">
      <c r="B406" s="245">
        <v>45489</v>
      </c>
      <c r="C406" s="246">
        <v>262.81</v>
      </c>
      <c r="D406" s="246">
        <v>564.86</v>
      </c>
      <c r="E406" s="246">
        <v>46.01</v>
      </c>
      <c r="F406" s="248">
        <f t="shared" si="80"/>
        <v>3.5092556124458385E-2</v>
      </c>
      <c r="G406" s="248">
        <f t="shared" si="81"/>
        <v>5.930226345876477E-3</v>
      </c>
      <c r="H406" s="248">
        <f t="shared" si="82"/>
        <v>1.9386285587681407E-2</v>
      </c>
      <c r="I406" s="249">
        <f t="shared" si="83"/>
        <v>0.46176094332276318</v>
      </c>
      <c r="J406" s="249">
        <f t="shared" si="84"/>
        <v>0.39654362499072704</v>
      </c>
      <c r="K406" s="249">
        <f t="shared" si="85"/>
        <v>0.10561095758740846</v>
      </c>
      <c r="L406" s="250">
        <f t="shared" si="75"/>
        <v>146.17609433227656</v>
      </c>
      <c r="M406" s="250">
        <f t="shared" si="76"/>
        <v>139.65436249907285</v>
      </c>
      <c r="N406" s="250">
        <f t="shared" si="77"/>
        <v>110.56109575874082</v>
      </c>
      <c r="O406" s="248">
        <f t="shared" si="78"/>
        <v>4.6699091360263845E-2</v>
      </c>
      <c r="P406" s="247">
        <f t="shared" si="79"/>
        <v>0.32212957305752621</v>
      </c>
      <c r="Q406" s="251">
        <f t="shared" si="86"/>
        <v>1.4617609433227632</v>
      </c>
      <c r="R406" s="251">
        <f t="shared" si="87"/>
        <v>1.532843873407862</v>
      </c>
      <c r="S406" s="251">
        <f t="shared" si="88"/>
        <v>-4.6373235603613838E-2</v>
      </c>
      <c r="T406" s="252">
        <f>C406*'1. Share_Price_Analysis'!$E$11+T405*(1-'1. Share_Price_Analysis'!$E$11)</f>
        <v>241.52365373225626</v>
      </c>
      <c r="U406" s="253">
        <f t="shared" si="89"/>
        <v>252.541418571793</v>
      </c>
    </row>
    <row r="407" spans="2:21" x14ac:dyDescent="0.2">
      <c r="B407" s="245">
        <v>45490</v>
      </c>
      <c r="C407" s="246">
        <v>255.8</v>
      </c>
      <c r="D407" s="246">
        <v>556.94000000000005</v>
      </c>
      <c r="E407" s="246">
        <v>45.914999999999999</v>
      </c>
      <c r="F407" s="248">
        <f t="shared" si="80"/>
        <v>-2.6673262052433255E-2</v>
      </c>
      <c r="G407" s="248">
        <f t="shared" si="81"/>
        <v>-1.4021173388096053E-2</v>
      </c>
      <c r="H407" s="248">
        <f t="shared" si="82"/>
        <v>-2.0647685285807293E-3</v>
      </c>
      <c r="I407" s="249">
        <f t="shared" si="83"/>
        <v>0.4227710106235032</v>
      </c>
      <c r="J407" s="249">
        <f t="shared" si="84"/>
        <v>0.37696244468069184</v>
      </c>
      <c r="K407" s="249">
        <f t="shared" si="85"/>
        <v>0.10332812687732806</v>
      </c>
      <c r="L407" s="250">
        <f t="shared" si="75"/>
        <v>142.27710106235054</v>
      </c>
      <c r="M407" s="250">
        <f t="shared" si="76"/>
        <v>137.69624446806935</v>
      </c>
      <c r="N407" s="250">
        <f t="shared" si="77"/>
        <v>110.33281268773278</v>
      </c>
      <c r="O407" s="248">
        <f t="shared" si="78"/>
        <v>3.3267839743758687E-2</v>
      </c>
      <c r="P407" s="247">
        <f t="shared" si="79"/>
        <v>0.28952663850804905</v>
      </c>
      <c r="Q407" s="251">
        <f t="shared" si="86"/>
        <v>1.4227710106235032</v>
      </c>
      <c r="R407" s="251">
        <f t="shared" si="87"/>
        <v>1.532843873407862</v>
      </c>
      <c r="S407" s="251">
        <f t="shared" si="88"/>
        <v>-7.1809572190572601E-2</v>
      </c>
      <c r="T407" s="252">
        <f>C407*'1. Share_Price_Analysis'!$E$11+T406*(1-'1. Share_Price_Analysis'!$E$11)</f>
        <v>241.66570692895024</v>
      </c>
      <c r="U407" s="253">
        <f t="shared" si="89"/>
        <v>252.66920607878151</v>
      </c>
    </row>
    <row r="408" spans="2:21" x14ac:dyDescent="0.2">
      <c r="B408" s="245">
        <v>45491</v>
      </c>
      <c r="C408" s="246">
        <v>256.08999999999997</v>
      </c>
      <c r="D408" s="246">
        <v>552.66</v>
      </c>
      <c r="E408" s="246">
        <v>45.46</v>
      </c>
      <c r="F408" s="248">
        <f t="shared" si="80"/>
        <v>1.1336982017200459E-3</v>
      </c>
      <c r="G408" s="248">
        <f t="shared" si="81"/>
        <v>-7.6848493554064756E-3</v>
      </c>
      <c r="H408" s="248">
        <f t="shared" si="82"/>
        <v>-9.9096155940323616E-3</v>
      </c>
      <c r="I408" s="249">
        <f t="shared" si="83"/>
        <v>0.4243840035597064</v>
      </c>
      <c r="J408" s="249">
        <f t="shared" si="84"/>
        <v>0.36638069572526843</v>
      </c>
      <c r="K408" s="249">
        <f t="shared" si="85"/>
        <v>9.239456926589007E-2</v>
      </c>
      <c r="L408" s="250">
        <f t="shared" si="75"/>
        <v>142.43840035597083</v>
      </c>
      <c r="M408" s="250">
        <f t="shared" si="76"/>
        <v>136.638069572527</v>
      </c>
      <c r="N408" s="250">
        <f t="shared" si="77"/>
        <v>109.23945692658896</v>
      </c>
      <c r="O408" s="248">
        <f t="shared" si="78"/>
        <v>4.2450327361841289E-2</v>
      </c>
      <c r="P408" s="247">
        <f t="shared" si="79"/>
        <v>0.30390981760090541</v>
      </c>
      <c r="Q408" s="251">
        <f t="shared" si="86"/>
        <v>1.4243840035597064</v>
      </c>
      <c r="R408" s="251">
        <f t="shared" si="87"/>
        <v>1.532843873407862</v>
      </c>
      <c r="S408" s="251">
        <f t="shared" si="88"/>
        <v>-7.075728437171136E-2</v>
      </c>
      <c r="T408" s="252">
        <f>C408*'1. Share_Price_Analysis'!$E$11+T407*(1-'1. Share_Price_Analysis'!$E$11)</f>
        <v>241.80923223313982</v>
      </c>
      <c r="U408" s="253">
        <f t="shared" si="89"/>
        <v>252.80335486000575</v>
      </c>
    </row>
    <row r="409" spans="2:21" x14ac:dyDescent="0.2">
      <c r="B409" s="245">
        <v>45492</v>
      </c>
      <c r="C409" s="246">
        <v>256.14</v>
      </c>
      <c r="D409" s="246">
        <v>548.99</v>
      </c>
      <c r="E409" s="246">
        <v>45.055</v>
      </c>
      <c r="F409" s="248">
        <f t="shared" si="80"/>
        <v>1.9524385958069601E-4</v>
      </c>
      <c r="G409" s="248">
        <f t="shared" si="81"/>
        <v>-6.6406108638221717E-3</v>
      </c>
      <c r="H409" s="248">
        <f t="shared" si="82"/>
        <v>-8.9089309282885942E-3</v>
      </c>
      <c r="I409" s="249">
        <f t="shared" si="83"/>
        <v>0.42466210579008634</v>
      </c>
      <c r="J409" s="249">
        <f t="shared" si="84"/>
        <v>0.35730709323311838</v>
      </c>
      <c r="K409" s="249">
        <f t="shared" si="85"/>
        <v>8.2662501501862717E-2</v>
      </c>
      <c r="L409" s="250">
        <f t="shared" si="75"/>
        <v>142.46621057900884</v>
      </c>
      <c r="M409" s="250">
        <f t="shared" si="76"/>
        <v>135.73070932331197</v>
      </c>
      <c r="N409" s="250">
        <f t="shared" si="77"/>
        <v>108.26625015018622</v>
      </c>
      <c r="O409" s="248">
        <f t="shared" si="78"/>
        <v>4.9624003950740292E-2</v>
      </c>
      <c r="P409" s="247">
        <f t="shared" si="79"/>
        <v>0.31588754927209894</v>
      </c>
      <c r="Q409" s="251">
        <f t="shared" si="86"/>
        <v>1.4246621057900863</v>
      </c>
      <c r="R409" s="251">
        <f t="shared" si="87"/>
        <v>1.532843873407862</v>
      </c>
      <c r="S409" s="251">
        <f t="shared" si="88"/>
        <v>-7.0575855437424839E-2</v>
      </c>
      <c r="T409" s="252">
        <f>C409*'1. Share_Price_Analysis'!$E$11+T408*(1-'1. Share_Price_Analysis'!$E$11)</f>
        <v>241.95182693728771</v>
      </c>
      <c r="U409" s="253">
        <f t="shared" si="89"/>
        <v>252.93420368902514</v>
      </c>
    </row>
    <row r="410" spans="2:21" x14ac:dyDescent="0.2">
      <c r="B410" s="245">
        <v>45495</v>
      </c>
      <c r="C410" s="246">
        <v>260.61</v>
      </c>
      <c r="D410" s="246">
        <v>554.65</v>
      </c>
      <c r="E410" s="246">
        <v>45.204999999999998</v>
      </c>
      <c r="F410" s="248">
        <f t="shared" si="80"/>
        <v>1.7451393769032597E-2</v>
      </c>
      <c r="G410" s="248">
        <f t="shared" si="81"/>
        <v>1.0309841709320589E-2</v>
      </c>
      <c r="H410" s="248">
        <f t="shared" si="82"/>
        <v>3.3292642326046007E-3</v>
      </c>
      <c r="I410" s="249">
        <f t="shared" si="83"/>
        <v>0.44952444518604828</v>
      </c>
      <c r="J410" s="249">
        <f t="shared" si="84"/>
        <v>0.37130071451528979</v>
      </c>
      <c r="K410" s="249">
        <f t="shared" si="85"/>
        <v>8.6266971044095087E-2</v>
      </c>
      <c r="L410" s="250">
        <f t="shared" si="75"/>
        <v>144.95244451860506</v>
      </c>
      <c r="M410" s="250">
        <f t="shared" si="76"/>
        <v>137.13007145152915</v>
      </c>
      <c r="N410" s="250">
        <f t="shared" si="77"/>
        <v>108.62669710440946</v>
      </c>
      <c r="O410" s="248">
        <f t="shared" si="78"/>
        <v>5.7043455051657421E-2</v>
      </c>
      <c r="P410" s="247">
        <f t="shared" si="79"/>
        <v>0.33440902082551438</v>
      </c>
      <c r="Q410" s="251">
        <f t="shared" si="86"/>
        <v>1.4495244451860483</v>
      </c>
      <c r="R410" s="251">
        <f t="shared" si="87"/>
        <v>1.532843873407862</v>
      </c>
      <c r="S410" s="251">
        <f t="shared" si="88"/>
        <v>-5.4356108712217077E-2</v>
      </c>
      <c r="T410" s="252">
        <f>C410*'1. Share_Price_Analysis'!$E$11+T409*(1-'1. Share_Price_Analysis'!$E$11)</f>
        <v>242.13748040059829</v>
      </c>
      <c r="U410" s="253">
        <f t="shared" si="89"/>
        <v>253.23521530906336</v>
      </c>
    </row>
    <row r="411" spans="2:21" x14ac:dyDescent="0.2">
      <c r="B411" s="245">
        <v>45496</v>
      </c>
      <c r="C411" s="246">
        <v>260.14999999999998</v>
      </c>
      <c r="D411" s="246">
        <v>553.78</v>
      </c>
      <c r="E411" s="246">
        <v>45.384999999999998</v>
      </c>
      <c r="F411" s="248">
        <f t="shared" si="80"/>
        <v>-1.765089597483005E-3</v>
      </c>
      <c r="G411" s="248">
        <f t="shared" si="81"/>
        <v>-1.5685567474984508E-3</v>
      </c>
      <c r="H411" s="248">
        <f t="shared" si="82"/>
        <v>3.9818604136709901E-3</v>
      </c>
      <c r="I411" s="249">
        <f t="shared" si="83"/>
        <v>0.44696590466655306</v>
      </c>
      <c r="J411" s="249">
        <f t="shared" si="84"/>
        <v>0.36914975152668728</v>
      </c>
      <c r="K411" s="249">
        <f t="shared" si="85"/>
        <v>9.0592334494773885E-2</v>
      </c>
      <c r="L411" s="250">
        <f t="shared" si="75"/>
        <v>144.69659046665552</v>
      </c>
      <c r="M411" s="250">
        <f t="shared" si="76"/>
        <v>136.91497515266892</v>
      </c>
      <c r="N411" s="250">
        <f t="shared" si="77"/>
        <v>109.05923344947735</v>
      </c>
      <c r="O411" s="248">
        <f t="shared" si="78"/>
        <v>5.6835384919068144E-2</v>
      </c>
      <c r="P411" s="247">
        <f t="shared" si="79"/>
        <v>0.3267706537996824</v>
      </c>
      <c r="Q411" s="251">
        <f t="shared" si="86"/>
        <v>1.4469659046665531</v>
      </c>
      <c r="R411" s="251">
        <f t="shared" si="87"/>
        <v>1.532843873407862</v>
      </c>
      <c r="S411" s="251">
        <f t="shared" si="88"/>
        <v>-5.6025254907652533E-2</v>
      </c>
      <c r="T411" s="252">
        <f>C411*'1. Share_Price_Analysis'!$E$11+T410*(1-'1. Share_Price_Analysis'!$E$11)</f>
        <v>242.31670945133862</v>
      </c>
      <c r="U411" s="253">
        <f t="shared" si="89"/>
        <v>253.5063833361589</v>
      </c>
    </row>
    <row r="412" spans="2:21" x14ac:dyDescent="0.2">
      <c r="B412" s="245">
        <v>45497</v>
      </c>
      <c r="C412" s="246">
        <v>250.51</v>
      </c>
      <c r="D412" s="246">
        <v>541.23</v>
      </c>
      <c r="E412" s="246">
        <v>44.805</v>
      </c>
      <c r="F412" s="248">
        <f t="shared" si="80"/>
        <v>-3.7055544877954927E-2</v>
      </c>
      <c r="G412" s="248">
        <f t="shared" si="81"/>
        <v>-2.26624291234786E-2</v>
      </c>
      <c r="H412" s="248">
        <f t="shared" si="82"/>
        <v>-1.2779552715654896E-2</v>
      </c>
      <c r="I412" s="249">
        <f t="shared" si="83"/>
        <v>0.39334779464931091</v>
      </c>
      <c r="J412" s="249">
        <f t="shared" si="84"/>
        <v>0.33812149232328537</v>
      </c>
      <c r="K412" s="249">
        <f t="shared" si="85"/>
        <v>7.6655052264808843E-2</v>
      </c>
      <c r="L412" s="250">
        <f t="shared" si="75"/>
        <v>139.3347794649313</v>
      </c>
      <c r="M412" s="250">
        <f t="shared" si="76"/>
        <v>133.81214923232872</v>
      </c>
      <c r="N412" s="250">
        <f t="shared" si="77"/>
        <v>107.66550522648085</v>
      </c>
      <c r="O412" s="248">
        <f t="shared" si="78"/>
        <v>4.1271515809928383E-2</v>
      </c>
      <c r="P412" s="247">
        <f t="shared" si="79"/>
        <v>0.29414503904321054</v>
      </c>
      <c r="Q412" s="251">
        <f t="shared" si="86"/>
        <v>1.3933477946493109</v>
      </c>
      <c r="R412" s="251">
        <f t="shared" si="87"/>
        <v>1.532843873407862</v>
      </c>
      <c r="S412" s="251">
        <f t="shared" si="88"/>
        <v>-9.1004753438078123E-2</v>
      </c>
      <c r="T412" s="252">
        <f>C412*'1. Share_Price_Analysis'!$E$11+T411*(1-'1. Share_Price_Analysis'!$E$11)</f>
        <v>242.39823473042981</v>
      </c>
      <c r="U412" s="253">
        <f t="shared" si="89"/>
        <v>253.38887810728991</v>
      </c>
    </row>
    <row r="413" spans="2:21" x14ac:dyDescent="0.2">
      <c r="B413" s="245">
        <v>45498</v>
      </c>
      <c r="C413" s="246">
        <v>253.77</v>
      </c>
      <c r="D413" s="246">
        <v>538.41</v>
      </c>
      <c r="E413" s="246">
        <v>44.93</v>
      </c>
      <c r="F413" s="248">
        <f t="shared" si="80"/>
        <v>1.3013452556784211E-2</v>
      </c>
      <c r="G413" s="248">
        <f t="shared" si="81"/>
        <v>-5.210354193226685E-3</v>
      </c>
      <c r="H413" s="248">
        <f t="shared" si="82"/>
        <v>2.7898672023212168E-3</v>
      </c>
      <c r="I413" s="249">
        <f t="shared" si="83"/>
        <v>0.41148006007007965</v>
      </c>
      <c r="J413" s="249">
        <f t="shared" si="84"/>
        <v>0.33114940539471194</v>
      </c>
      <c r="K413" s="249">
        <f t="shared" si="85"/>
        <v>7.9658776883335891E-2</v>
      </c>
      <c r="L413" s="250">
        <f t="shared" si="75"/>
        <v>141.14800600700818</v>
      </c>
      <c r="M413" s="250">
        <f t="shared" si="76"/>
        <v>133.11494053947141</v>
      </c>
      <c r="N413" s="250">
        <f t="shared" si="77"/>
        <v>107.96587768833352</v>
      </c>
      <c r="O413" s="248">
        <f t="shared" si="78"/>
        <v>6.034683586216083E-2</v>
      </c>
      <c r="P413" s="247">
        <f t="shared" si="79"/>
        <v>0.30733903182319899</v>
      </c>
      <c r="Q413" s="251">
        <f t="shared" si="86"/>
        <v>1.4114800600700796</v>
      </c>
      <c r="R413" s="251">
        <f t="shared" si="87"/>
        <v>1.532843873407862</v>
      </c>
      <c r="S413" s="251">
        <f t="shared" si="88"/>
        <v>-7.9175586922602181E-2</v>
      </c>
      <c r="T413" s="252">
        <f>C413*'1. Share_Price_Analysis'!$E$11+T412*(1-'1. Share_Price_Analysis'!$E$11)</f>
        <v>242.51138662365935</v>
      </c>
      <c r="U413" s="253">
        <f t="shared" si="89"/>
        <v>253.40382406386678</v>
      </c>
    </row>
    <row r="414" spans="2:21" x14ac:dyDescent="0.2">
      <c r="B414" s="245">
        <v>45499</v>
      </c>
      <c r="C414" s="246">
        <v>261.70999999999998</v>
      </c>
      <c r="D414" s="246">
        <v>544.44000000000005</v>
      </c>
      <c r="E414" s="246">
        <v>45.664999999999999</v>
      </c>
      <c r="F414" s="248">
        <f t="shared" si="80"/>
        <v>3.1288174331087104E-2</v>
      </c>
      <c r="G414" s="248">
        <f t="shared" si="81"/>
        <v>1.119964339443924E-2</v>
      </c>
      <c r="H414" s="248">
        <f t="shared" si="82"/>
        <v>1.6358780324949862E-2</v>
      </c>
      <c r="I414" s="249">
        <f t="shared" si="83"/>
        <v>0.45564269425440562</v>
      </c>
      <c r="J414" s="249">
        <f t="shared" si="84"/>
        <v>0.34605780403985253</v>
      </c>
      <c r="K414" s="249">
        <f t="shared" si="85"/>
        <v>9.7320677640274411E-2</v>
      </c>
      <c r="L414" s="250">
        <f t="shared" si="75"/>
        <v>145.56426942544078</v>
      </c>
      <c r="M414" s="250">
        <f t="shared" si="76"/>
        <v>134.60578040398548</v>
      </c>
      <c r="N414" s="250">
        <f t="shared" si="77"/>
        <v>109.73206776402739</v>
      </c>
      <c r="O414" s="248">
        <f t="shared" si="78"/>
        <v>8.1411726811182694E-2</v>
      </c>
      <c r="P414" s="247">
        <f t="shared" si="79"/>
        <v>0.32654266333947368</v>
      </c>
      <c r="Q414" s="251">
        <f t="shared" si="86"/>
        <v>1.4556426942544056</v>
      </c>
      <c r="R414" s="251">
        <f t="shared" si="87"/>
        <v>1.532843873407862</v>
      </c>
      <c r="S414" s="251">
        <f t="shared" si="88"/>
        <v>-5.0364672157915513E-2</v>
      </c>
      <c r="T414" s="252">
        <f>C414*'1. Share_Price_Analysis'!$E$11+T413*(1-'1. Share_Price_Analysis'!$E$11)</f>
        <v>242.70241760252841</v>
      </c>
      <c r="U414" s="253">
        <f t="shared" si="89"/>
        <v>253.72955645351905</v>
      </c>
    </row>
    <row r="415" spans="2:21" x14ac:dyDescent="0.2">
      <c r="B415" s="245">
        <v>45502</v>
      </c>
      <c r="C415" s="246">
        <v>264.52999999999997</v>
      </c>
      <c r="D415" s="246">
        <v>544.76</v>
      </c>
      <c r="E415" s="246">
        <v>45.744999999999997</v>
      </c>
      <c r="F415" s="248">
        <f t="shared" si="80"/>
        <v>1.0775285621489328E-2</v>
      </c>
      <c r="G415" s="248">
        <f t="shared" si="81"/>
        <v>5.8775990008075318E-4</v>
      </c>
      <c r="H415" s="248">
        <f t="shared" si="82"/>
        <v>1.7518887550640461E-3</v>
      </c>
      <c r="I415" s="249">
        <f t="shared" si="83"/>
        <v>0.47132766004783111</v>
      </c>
      <c r="J415" s="249">
        <f t="shared" si="84"/>
        <v>0.34684896284025801</v>
      </c>
      <c r="K415" s="249">
        <f t="shared" si="85"/>
        <v>9.9243061396131704E-2</v>
      </c>
      <c r="L415" s="250">
        <f t="shared" si="75"/>
        <v>147.13276600478335</v>
      </c>
      <c r="M415" s="250">
        <f t="shared" si="76"/>
        <v>134.684896284026</v>
      </c>
      <c r="N415" s="250">
        <f t="shared" si="77"/>
        <v>109.92430613961311</v>
      </c>
      <c r="O415" s="248">
        <f t="shared" si="78"/>
        <v>9.2422165099396381E-2</v>
      </c>
      <c r="P415" s="247">
        <f t="shared" si="79"/>
        <v>0.33849165095399414</v>
      </c>
      <c r="Q415" s="251">
        <f t="shared" si="86"/>
        <v>1.4713276600478311</v>
      </c>
      <c r="R415" s="251">
        <f t="shared" si="87"/>
        <v>1.532843873407862</v>
      </c>
      <c r="S415" s="251">
        <f t="shared" si="88"/>
        <v>-4.0132080264160375E-2</v>
      </c>
      <c r="T415" s="252">
        <f>C415*'1. Share_Price_Analysis'!$E$11+T414*(1-'1. Share_Price_Analysis'!$E$11)</f>
        <v>242.91960747713011</v>
      </c>
      <c r="U415" s="253">
        <f t="shared" si="89"/>
        <v>254.15310325926342</v>
      </c>
    </row>
    <row r="416" spans="2:21" x14ac:dyDescent="0.2">
      <c r="B416" s="245">
        <v>45503</v>
      </c>
      <c r="C416" s="246">
        <v>270</v>
      </c>
      <c r="D416" s="246">
        <v>542</v>
      </c>
      <c r="E416" s="246">
        <v>45.594999999999999</v>
      </c>
      <c r="F416" s="248">
        <f t="shared" si="80"/>
        <v>2.0678183948890538E-2</v>
      </c>
      <c r="G416" s="248">
        <f t="shared" si="81"/>
        <v>-5.0664512812981233E-3</v>
      </c>
      <c r="H416" s="248">
        <f t="shared" si="82"/>
        <v>-3.2790468903705072E-3</v>
      </c>
      <c r="I416" s="249">
        <f t="shared" si="83"/>
        <v>0.50175204405139096</v>
      </c>
      <c r="J416" s="249">
        <f t="shared" si="84"/>
        <v>0.3400252181867609</v>
      </c>
      <c r="K416" s="249">
        <f t="shared" si="85"/>
        <v>9.5638591853899335E-2</v>
      </c>
      <c r="L416" s="250">
        <f t="shared" si="75"/>
        <v>150.17520440513934</v>
      </c>
      <c r="M416" s="250">
        <f t="shared" si="76"/>
        <v>134.00252181867629</v>
      </c>
      <c r="N416" s="250">
        <f t="shared" si="77"/>
        <v>109.56385918538987</v>
      </c>
      <c r="O416" s="248">
        <f t="shared" si="78"/>
        <v>0.12068938977392429</v>
      </c>
      <c r="P416" s="247">
        <f t="shared" si="79"/>
        <v>0.37066369806335353</v>
      </c>
      <c r="Q416" s="251">
        <f t="shared" si="86"/>
        <v>1.501752044051391</v>
      </c>
      <c r="R416" s="251">
        <f t="shared" si="87"/>
        <v>1.532843873407862</v>
      </c>
      <c r="S416" s="251">
        <f t="shared" si="88"/>
        <v>-2.0283754853223757E-2</v>
      </c>
      <c r="T416" s="252">
        <f>C416*'1. Share_Price_Analysis'!$E$11+T415*(1-'1. Share_Price_Analysis'!$E$11)</f>
        <v>243.18906411914872</v>
      </c>
      <c r="U416" s="253">
        <f t="shared" si="89"/>
        <v>254.77455019027272</v>
      </c>
    </row>
    <row r="417" spans="2:21" x14ac:dyDescent="0.2">
      <c r="B417" s="245">
        <v>45504</v>
      </c>
      <c r="C417" s="246">
        <v>274.51</v>
      </c>
      <c r="D417" s="246">
        <v>550.80999999999995</v>
      </c>
      <c r="E417" s="246">
        <v>46.07</v>
      </c>
      <c r="F417" s="248">
        <f t="shared" si="80"/>
        <v>1.6703703703703665E-2</v>
      </c>
      <c r="G417" s="248">
        <f t="shared" si="81"/>
        <v>1.6254612546125369E-2</v>
      </c>
      <c r="H417" s="248">
        <f t="shared" si="82"/>
        <v>1.0417808970281772E-2</v>
      </c>
      <c r="I417" s="249">
        <f t="shared" si="83"/>
        <v>0.52683686523165663</v>
      </c>
      <c r="J417" s="249">
        <f t="shared" si="84"/>
        <v>0.36180680891042383</v>
      </c>
      <c r="K417" s="249">
        <f t="shared" si="85"/>
        <v>0.10705274540430176</v>
      </c>
      <c r="L417" s="250">
        <f t="shared" si="75"/>
        <v>152.6836865231659</v>
      </c>
      <c r="M417" s="250">
        <f t="shared" si="76"/>
        <v>136.18068089104258</v>
      </c>
      <c r="N417" s="250">
        <f t="shared" si="77"/>
        <v>110.70527454043014</v>
      </c>
      <c r="O417" s="248">
        <f t="shared" si="78"/>
        <v>0.12118463150677927</v>
      </c>
      <c r="P417" s="247">
        <f t="shared" si="79"/>
        <v>0.37919071297189855</v>
      </c>
      <c r="Q417" s="251">
        <f t="shared" si="86"/>
        <v>1.5268368652316566</v>
      </c>
      <c r="R417" s="251">
        <f t="shared" si="87"/>
        <v>1.532843873407862</v>
      </c>
      <c r="S417" s="251">
        <f t="shared" si="88"/>
        <v>-3.9188649805870224E-3</v>
      </c>
      <c r="T417" s="252">
        <f>C417*'1. Share_Price_Analysis'!$E$11+T416*(1-'1. Share_Price_Analysis'!$E$11)</f>
        <v>243.50071522244079</v>
      </c>
      <c r="U417" s="253">
        <f t="shared" si="89"/>
        <v>255.54848939849731</v>
      </c>
    </row>
    <row r="418" spans="2:21" x14ac:dyDescent="0.2">
      <c r="B418" s="245">
        <v>45505</v>
      </c>
      <c r="C418" s="246">
        <v>271.13</v>
      </c>
      <c r="D418" s="246">
        <v>543.01</v>
      </c>
      <c r="E418" s="246">
        <v>45.884999999999998</v>
      </c>
      <c r="F418" s="248">
        <f t="shared" si="80"/>
        <v>-1.2312848347965422E-2</v>
      </c>
      <c r="G418" s="248">
        <f t="shared" si="81"/>
        <v>-1.4160962945480193E-2</v>
      </c>
      <c r="H418" s="248">
        <f t="shared" si="82"/>
        <v>-4.0156283915780966E-3</v>
      </c>
      <c r="I418" s="249">
        <f t="shared" si="83"/>
        <v>0.50803715445797626</v>
      </c>
      <c r="J418" s="249">
        <f t="shared" si="84"/>
        <v>0.3425223131505406</v>
      </c>
      <c r="K418" s="249">
        <f t="shared" si="85"/>
        <v>0.10260723296888186</v>
      </c>
      <c r="L418" s="250">
        <f t="shared" si="75"/>
        <v>150.80371544579788</v>
      </c>
      <c r="M418" s="250">
        <f t="shared" si="76"/>
        <v>134.25223131505425</v>
      </c>
      <c r="N418" s="250">
        <f t="shared" si="77"/>
        <v>110.26072329688814</v>
      </c>
      <c r="O418" s="248">
        <f t="shared" si="78"/>
        <v>0.12328647329444875</v>
      </c>
      <c r="P418" s="247">
        <f t="shared" si="79"/>
        <v>0.36770112635433483</v>
      </c>
      <c r="Q418" s="251">
        <f t="shared" si="86"/>
        <v>1.5080371544579763</v>
      </c>
      <c r="R418" s="251">
        <f t="shared" si="87"/>
        <v>1.532843873407862</v>
      </c>
      <c r="S418" s="251">
        <f t="shared" si="88"/>
        <v>-1.6183460938350325E-2</v>
      </c>
      <c r="T418" s="252">
        <f>C418*'1. Share_Price_Analysis'!$E$11+T417*(1-'1. Share_Price_Analysis'!$E$11)</f>
        <v>243.77563347893391</v>
      </c>
      <c r="U418" s="253">
        <f t="shared" si="89"/>
        <v>256.15952902992882</v>
      </c>
    </row>
    <row r="419" spans="2:21" x14ac:dyDescent="0.2">
      <c r="B419" s="245">
        <v>45506</v>
      </c>
      <c r="C419" s="246">
        <v>266.33999999999997</v>
      </c>
      <c r="D419" s="246">
        <v>532.9</v>
      </c>
      <c r="E419" s="246">
        <v>45.02</v>
      </c>
      <c r="F419" s="248">
        <f t="shared" si="80"/>
        <v>-1.7666801903146179E-2</v>
      </c>
      <c r="G419" s="248">
        <f t="shared" si="81"/>
        <v>-1.8618441649325135E-2</v>
      </c>
      <c r="H419" s="248">
        <f t="shared" si="82"/>
        <v>-1.8851476517380283E-2</v>
      </c>
      <c r="I419" s="249">
        <f t="shared" si="83"/>
        <v>0.48139496078758293</v>
      </c>
      <c r="J419" s="249">
        <f t="shared" si="84"/>
        <v>0.31752663980023033</v>
      </c>
      <c r="K419" s="249">
        <f t="shared" si="85"/>
        <v>8.1821458608675401E-2</v>
      </c>
      <c r="L419" s="250">
        <f t="shared" si="75"/>
        <v>148.13949607875853</v>
      </c>
      <c r="M419" s="250">
        <f t="shared" si="76"/>
        <v>131.75266398002324</v>
      </c>
      <c r="N419" s="250">
        <f t="shared" si="77"/>
        <v>108.18214586086748</v>
      </c>
      <c r="O419" s="248">
        <f t="shared" si="78"/>
        <v>0.12437571737615793</v>
      </c>
      <c r="P419" s="247">
        <f t="shared" si="79"/>
        <v>0.36935253872001828</v>
      </c>
      <c r="Q419" s="251">
        <f t="shared" si="86"/>
        <v>1.4813949607875829</v>
      </c>
      <c r="R419" s="251">
        <f t="shared" si="87"/>
        <v>1.532843873407862</v>
      </c>
      <c r="S419" s="251">
        <f t="shared" si="88"/>
        <v>-3.3564352842991307E-2</v>
      </c>
      <c r="T419" s="252">
        <f>C419*'1. Share_Price_Analysis'!$E$11+T418*(1-'1. Share_Price_Analysis'!$E$11)</f>
        <v>244.00015453884504</v>
      </c>
      <c r="U419" s="253">
        <f t="shared" si="89"/>
        <v>256.55876318561792</v>
      </c>
    </row>
    <row r="420" spans="2:21" x14ac:dyDescent="0.2">
      <c r="B420" s="245">
        <v>45509</v>
      </c>
      <c r="C420" s="246">
        <v>257.43</v>
      </c>
      <c r="D420" s="246">
        <v>517.38</v>
      </c>
      <c r="E420" s="246">
        <v>44.015000000000001</v>
      </c>
      <c r="F420" s="248">
        <f t="shared" si="80"/>
        <v>-3.3453480513629064E-2</v>
      </c>
      <c r="G420" s="248">
        <f t="shared" si="81"/>
        <v>-2.9123662976168085E-2</v>
      </c>
      <c r="H420" s="248">
        <f t="shared" si="82"/>
        <v>-2.2323411816970284E-2</v>
      </c>
      <c r="I420" s="249">
        <f t="shared" si="83"/>
        <v>0.43183714333388723</v>
      </c>
      <c r="J420" s="249">
        <f t="shared" si="84"/>
        <v>0.27915543798056519</v>
      </c>
      <c r="K420" s="249">
        <f t="shared" si="85"/>
        <v>5.7671512675718573E-2</v>
      </c>
      <c r="L420" s="250">
        <f t="shared" si="75"/>
        <v>143.18371433338896</v>
      </c>
      <c r="M420" s="250">
        <f t="shared" si="76"/>
        <v>127.9155437980567</v>
      </c>
      <c r="N420" s="250">
        <f t="shared" si="77"/>
        <v>105.76715126757179</v>
      </c>
      <c r="O420" s="248">
        <f t="shared" si="78"/>
        <v>0.11936133859882148</v>
      </c>
      <c r="P420" s="247">
        <f t="shared" si="79"/>
        <v>0.35376355151288608</v>
      </c>
      <c r="Q420" s="251">
        <f t="shared" si="86"/>
        <v>1.4318371433338872</v>
      </c>
      <c r="R420" s="251">
        <f t="shared" si="87"/>
        <v>1.532843873407862</v>
      </c>
      <c r="S420" s="251">
        <f t="shared" si="88"/>
        <v>-6.5894988932834853E-2</v>
      </c>
      <c r="T420" s="252">
        <f>C420*'1. Share_Price_Analysis'!$E$11+T419*(1-'1. Share_Price_Analysis'!$E$11)</f>
        <v>244.13378484194112</v>
      </c>
      <c r="U420" s="253">
        <f t="shared" si="89"/>
        <v>256.59292933520157</v>
      </c>
    </row>
    <row r="421" spans="2:21" x14ac:dyDescent="0.2">
      <c r="B421" s="245">
        <v>45510</v>
      </c>
      <c r="C421" s="246">
        <v>246.14</v>
      </c>
      <c r="D421" s="246">
        <v>522.15</v>
      </c>
      <c r="E421" s="246">
        <v>44.24</v>
      </c>
      <c r="F421" s="248">
        <f t="shared" si="80"/>
        <v>-4.3856582371907038E-2</v>
      </c>
      <c r="G421" s="248">
        <f t="shared" si="81"/>
        <v>9.2195291661834045E-3</v>
      </c>
      <c r="H421" s="248">
        <f t="shared" si="82"/>
        <v>5.111893672611556E-3</v>
      </c>
      <c r="I421" s="249">
        <f t="shared" si="83"/>
        <v>0.36904165971410863</v>
      </c>
      <c r="J421" s="249">
        <f t="shared" si="84"/>
        <v>0.29094864884910909</v>
      </c>
      <c r="K421" s="249">
        <f t="shared" si="85"/>
        <v>6.3078216989067126E-2</v>
      </c>
      <c r="L421" s="250">
        <f t="shared" si="75"/>
        <v>136.90416597141109</v>
      </c>
      <c r="M421" s="250">
        <f t="shared" si="76"/>
        <v>129.09486488491112</v>
      </c>
      <c r="N421" s="250">
        <f t="shared" si="77"/>
        <v>106.30782169890665</v>
      </c>
      <c r="O421" s="248">
        <f t="shared" si="78"/>
        <v>6.0492732173831998E-2</v>
      </c>
      <c r="P421" s="247">
        <f t="shared" si="79"/>
        <v>0.28780896629752695</v>
      </c>
      <c r="Q421" s="251">
        <f t="shared" si="86"/>
        <v>1.3690416597141086</v>
      </c>
      <c r="R421" s="251">
        <f t="shared" si="87"/>
        <v>1.532843873407862</v>
      </c>
      <c r="S421" s="251">
        <f t="shared" si="88"/>
        <v>-0.10686164229471307</v>
      </c>
      <c r="T421" s="252">
        <f>C421*'1. Share_Price_Analysis'!$E$11+T420*(1-'1. Share_Price_Analysis'!$E$11)</f>
        <v>244.15374718182233</v>
      </c>
      <c r="U421" s="253">
        <f t="shared" si="89"/>
        <v>256.18301053774269</v>
      </c>
    </row>
    <row r="422" spans="2:21" x14ac:dyDescent="0.2">
      <c r="B422" s="245">
        <v>45511</v>
      </c>
      <c r="C422" s="246">
        <v>241.22</v>
      </c>
      <c r="D422" s="246">
        <v>518.66</v>
      </c>
      <c r="E422" s="246">
        <v>43.64</v>
      </c>
      <c r="F422" s="248">
        <f t="shared" si="80"/>
        <v>-1.9988624360120166E-2</v>
      </c>
      <c r="G422" s="248">
        <f t="shared" si="81"/>
        <v>-6.6839030929809473E-3</v>
      </c>
      <c r="H422" s="248">
        <f t="shared" si="82"/>
        <v>-1.3562386980108476E-2</v>
      </c>
      <c r="I422" s="249">
        <f t="shared" si="83"/>
        <v>0.3416764002447279</v>
      </c>
      <c r="J422" s="249">
        <f t="shared" si="84"/>
        <v>0.28232007318218688</v>
      </c>
      <c r="K422" s="249">
        <f t="shared" si="85"/>
        <v>4.866033882013765E-2</v>
      </c>
      <c r="L422" s="250">
        <f t="shared" si="75"/>
        <v>134.167640024473</v>
      </c>
      <c r="M422" s="250">
        <f t="shared" si="76"/>
        <v>128.23200731821888</v>
      </c>
      <c r="N422" s="250">
        <f t="shared" si="77"/>
        <v>104.8660338820137</v>
      </c>
      <c r="O422" s="248">
        <f t="shared" si="78"/>
        <v>4.6288230453449319E-2</v>
      </c>
      <c r="P422" s="247">
        <f t="shared" si="79"/>
        <v>0.27941941787773406</v>
      </c>
      <c r="Q422" s="251">
        <f t="shared" si="86"/>
        <v>1.3416764002447279</v>
      </c>
      <c r="R422" s="251">
        <f t="shared" si="87"/>
        <v>1.532843873407862</v>
      </c>
      <c r="S422" s="251">
        <f t="shared" si="88"/>
        <v>-0.12471424942849862</v>
      </c>
      <c r="T422" s="252">
        <f>C422*'1. Share_Price_Analysis'!$E$11+T421*(1-'1. Share_Price_Analysis'!$E$11)</f>
        <v>244.12455566757535</v>
      </c>
      <c r="U422" s="253">
        <f t="shared" si="89"/>
        <v>255.59622581077241</v>
      </c>
    </row>
    <row r="423" spans="2:21" x14ac:dyDescent="0.2">
      <c r="B423" s="245">
        <v>45512</v>
      </c>
      <c r="C423" s="246">
        <v>246.33</v>
      </c>
      <c r="D423" s="246">
        <v>530.65</v>
      </c>
      <c r="E423" s="246">
        <v>44.314999999999998</v>
      </c>
      <c r="F423" s="248">
        <f t="shared" si="80"/>
        <v>2.118398142774236E-2</v>
      </c>
      <c r="G423" s="248">
        <f t="shared" si="81"/>
        <v>2.3117263718042569E-2</v>
      </c>
      <c r="H423" s="248">
        <f t="shared" si="82"/>
        <v>1.5467461044912811E-2</v>
      </c>
      <c r="I423" s="249">
        <f t="shared" si="83"/>
        <v>0.3700984481895524</v>
      </c>
      <c r="J423" s="249">
        <f t="shared" si="84"/>
        <v>0.31196380448487915</v>
      </c>
      <c r="K423" s="249">
        <f t="shared" si="85"/>
        <v>6.4880451760183089E-2</v>
      </c>
      <c r="L423" s="250">
        <f t="shared" si="75"/>
        <v>137.00984481895546</v>
      </c>
      <c r="M423" s="250">
        <f t="shared" si="76"/>
        <v>131.19638044848813</v>
      </c>
      <c r="N423" s="250">
        <f t="shared" si="77"/>
        <v>106.48804517601825</v>
      </c>
      <c r="O423" s="248">
        <f t="shared" si="78"/>
        <v>4.4311164306471751E-2</v>
      </c>
      <c r="P423" s="247">
        <f t="shared" si="79"/>
        <v>0.2866218418460611</v>
      </c>
      <c r="Q423" s="251">
        <f t="shared" si="86"/>
        <v>1.3700984481895524</v>
      </c>
      <c r="R423" s="251">
        <f t="shared" si="87"/>
        <v>1.532843873407862</v>
      </c>
      <c r="S423" s="251">
        <f t="shared" si="88"/>
        <v>-0.10617221234442442</v>
      </c>
      <c r="T423" s="252">
        <f>C423*'1. Share_Price_Analysis'!$E$11+T422*(1-'1. Share_Price_Analysis'!$E$11)</f>
        <v>244.14650038730099</v>
      </c>
      <c r="U423" s="253">
        <f t="shared" si="89"/>
        <v>255.2328444064284</v>
      </c>
    </row>
    <row r="424" spans="2:21" x14ac:dyDescent="0.2">
      <c r="B424" s="245">
        <v>45513</v>
      </c>
      <c r="C424" s="246">
        <v>244.34</v>
      </c>
      <c r="D424" s="246">
        <v>532.99</v>
      </c>
      <c r="E424" s="246">
        <v>44.28</v>
      </c>
      <c r="F424" s="248">
        <f t="shared" si="80"/>
        <v>-8.078593756343122E-3</v>
      </c>
      <c r="G424" s="248">
        <f t="shared" si="81"/>
        <v>4.409686233864285E-3</v>
      </c>
      <c r="H424" s="248">
        <f t="shared" si="82"/>
        <v>-7.8980029335429247E-4</v>
      </c>
      <c r="I424" s="249">
        <f t="shared" si="83"/>
        <v>0.3590299794204328</v>
      </c>
      <c r="J424" s="249">
        <f t="shared" si="84"/>
        <v>0.31774915321284425</v>
      </c>
      <c r="K424" s="249">
        <f t="shared" si="85"/>
        <v>6.4039408866995551E-2</v>
      </c>
      <c r="L424" s="250">
        <f t="shared" si="75"/>
        <v>135.9029979420435</v>
      </c>
      <c r="M424" s="250">
        <f t="shared" si="76"/>
        <v>131.77491532128465</v>
      </c>
      <c r="N424" s="250">
        <f t="shared" si="77"/>
        <v>106.40394088669952</v>
      </c>
      <c r="O424" s="248">
        <f t="shared" si="78"/>
        <v>3.1326771189296831E-2</v>
      </c>
      <c r="P424" s="247">
        <f t="shared" si="79"/>
        <v>0.27723650843679515</v>
      </c>
      <c r="Q424" s="251">
        <f t="shared" si="86"/>
        <v>1.3590299794204328</v>
      </c>
      <c r="R424" s="251">
        <f t="shared" si="87"/>
        <v>1.532843873407862</v>
      </c>
      <c r="S424" s="251">
        <f t="shared" si="88"/>
        <v>-0.11339308392902481</v>
      </c>
      <c r="T424" s="252">
        <f>C424*'1. Share_Price_Analysis'!$E$11+T423*(1-'1. Share_Price_Analysis'!$E$11)</f>
        <v>244.14842575658159</v>
      </c>
      <c r="U424" s="253">
        <f t="shared" si="89"/>
        <v>254.80567403754887</v>
      </c>
    </row>
    <row r="425" spans="2:21" x14ac:dyDescent="0.2">
      <c r="B425" s="245">
        <v>45516</v>
      </c>
      <c r="C425" s="246">
        <v>241.9</v>
      </c>
      <c r="D425" s="246">
        <v>533.27</v>
      </c>
      <c r="E425" s="246">
        <v>44.085000000000001</v>
      </c>
      <c r="F425" s="248">
        <f t="shared" si="80"/>
        <v>-9.9860849635753368E-3</v>
      </c>
      <c r="G425" s="248">
        <f t="shared" si="81"/>
        <v>5.2533818645739139E-4</v>
      </c>
      <c r="H425" s="248">
        <f t="shared" si="82"/>
        <v>-4.403794037940334E-3</v>
      </c>
      <c r="I425" s="249">
        <f t="shared" si="83"/>
        <v>0.34545859057789441</v>
      </c>
      <c r="J425" s="249">
        <f t="shared" si="84"/>
        <v>0.31844141716319885</v>
      </c>
      <c r="K425" s="249">
        <f t="shared" si="85"/>
        <v>5.9353598462093426E-2</v>
      </c>
      <c r="L425" s="250">
        <f t="shared" si="75"/>
        <v>134.54585905778967</v>
      </c>
      <c r="M425" s="250">
        <f t="shared" si="76"/>
        <v>131.84414171632011</v>
      </c>
      <c r="N425" s="250">
        <f t="shared" si="77"/>
        <v>105.93535984620929</v>
      </c>
      <c r="O425" s="248">
        <f t="shared" si="78"/>
        <v>2.0491751141151537E-2</v>
      </c>
      <c r="P425" s="247">
        <f t="shared" si="79"/>
        <v>0.27007506514458557</v>
      </c>
      <c r="Q425" s="251">
        <f t="shared" si="86"/>
        <v>1.3454585905778944</v>
      </c>
      <c r="R425" s="251">
        <f t="shared" si="87"/>
        <v>1.532843873407862</v>
      </c>
      <c r="S425" s="251">
        <f t="shared" si="88"/>
        <v>-0.12224681592220299</v>
      </c>
      <c r="T425" s="252">
        <f>C425*'1. Share_Price_Analysis'!$E$11+T424*(1-'1. Share_Price_Analysis'!$E$11)</f>
        <v>244.12605336099372</v>
      </c>
      <c r="U425" s="253">
        <f t="shared" si="89"/>
        <v>254.29956917333129</v>
      </c>
    </row>
    <row r="426" spans="2:21" x14ac:dyDescent="0.2">
      <c r="B426" s="245">
        <v>45517</v>
      </c>
      <c r="C426" s="246">
        <v>243.84</v>
      </c>
      <c r="D426" s="246">
        <v>542.04</v>
      </c>
      <c r="E426" s="246">
        <v>44.524999999999999</v>
      </c>
      <c r="F426" s="248">
        <f t="shared" si="80"/>
        <v>8.019842910293562E-3</v>
      </c>
      <c r="G426" s="248">
        <f t="shared" si="81"/>
        <v>1.6445702927222472E-2</v>
      </c>
      <c r="H426" s="248">
        <f t="shared" si="82"/>
        <v>9.9807190654417344E-3</v>
      </c>
      <c r="I426" s="249">
        <f t="shared" si="83"/>
        <v>0.35624895711663407</v>
      </c>
      <c r="J426" s="249">
        <f t="shared" si="84"/>
        <v>0.34012411303681112</v>
      </c>
      <c r="K426" s="249">
        <f t="shared" si="85"/>
        <v>6.9926709119308317E-2</v>
      </c>
      <c r="L426" s="250">
        <f t="shared" si="75"/>
        <v>135.62489571166361</v>
      </c>
      <c r="M426" s="250">
        <f t="shared" si="76"/>
        <v>134.01241130368135</v>
      </c>
      <c r="N426" s="250">
        <f t="shared" si="77"/>
        <v>106.99267091193079</v>
      </c>
      <c r="O426" s="248">
        <f t="shared" si="78"/>
        <v>1.2032351274750885E-2</v>
      </c>
      <c r="P426" s="247">
        <f t="shared" si="79"/>
        <v>0.26760921617986999</v>
      </c>
      <c r="Q426" s="251">
        <f t="shared" si="86"/>
        <v>1.3562489571166341</v>
      </c>
      <c r="R426" s="251">
        <f t="shared" si="87"/>
        <v>1.532843873407862</v>
      </c>
      <c r="S426" s="251">
        <f t="shared" si="88"/>
        <v>-0.11520737327188912</v>
      </c>
      <c r="T426" s="252">
        <f>C426*'1. Share_Price_Analysis'!$E$11+T425*(1-'1. Share_Price_Analysis'!$E$11)</f>
        <v>244.12320705889428</v>
      </c>
      <c r="U426" s="253">
        <f t="shared" si="89"/>
        <v>253.88938999006339</v>
      </c>
    </row>
    <row r="427" spans="2:21" x14ac:dyDescent="0.2">
      <c r="B427" s="245">
        <v>45518</v>
      </c>
      <c r="C427" s="246">
        <v>242.5</v>
      </c>
      <c r="D427" s="246">
        <v>543.75</v>
      </c>
      <c r="E427" s="246">
        <v>44.524999999999999</v>
      </c>
      <c r="F427" s="248">
        <f t="shared" si="80"/>
        <v>-5.4954068241469534E-3</v>
      </c>
      <c r="G427" s="248">
        <f t="shared" si="81"/>
        <v>3.1547487270313646E-3</v>
      </c>
      <c r="H427" s="248">
        <f t="shared" si="82"/>
        <v>0</v>
      </c>
      <c r="I427" s="249">
        <f t="shared" si="83"/>
        <v>0.34879581734245302</v>
      </c>
      <c r="J427" s="249">
        <f t="shared" si="84"/>
        <v>0.34435186787647809</v>
      </c>
      <c r="K427" s="249">
        <f t="shared" si="85"/>
        <v>6.9926709119308317E-2</v>
      </c>
      <c r="L427" s="250">
        <f t="shared" si="75"/>
        <v>134.87958173424553</v>
      </c>
      <c r="M427" s="250">
        <f t="shared" si="76"/>
        <v>134.43518678764804</v>
      </c>
      <c r="N427" s="250">
        <f t="shared" si="77"/>
        <v>106.99267091193079</v>
      </c>
      <c r="O427" s="248">
        <f t="shared" si="78"/>
        <v>3.3056445802350787E-3</v>
      </c>
      <c r="P427" s="247">
        <f t="shared" si="79"/>
        <v>0.2606431878429234</v>
      </c>
      <c r="Q427" s="251">
        <f t="shared" si="86"/>
        <v>1.348795817342453</v>
      </c>
      <c r="R427" s="251">
        <f t="shared" si="87"/>
        <v>1.532843873407862</v>
      </c>
      <c r="S427" s="251">
        <f t="shared" si="88"/>
        <v>-0.12006966871076574</v>
      </c>
      <c r="T427" s="252">
        <f>C427*'1. Share_Price_Analysis'!$E$11+T426*(1-'1. Share_Price_Analysis'!$E$11)</f>
        <v>244.10705574487545</v>
      </c>
      <c r="U427" s="253">
        <f t="shared" si="89"/>
        <v>253.44274724535504</v>
      </c>
    </row>
    <row r="428" spans="2:21" x14ac:dyDescent="0.2">
      <c r="B428" s="245">
        <v>45519</v>
      </c>
      <c r="C428" s="246">
        <v>246.57</v>
      </c>
      <c r="D428" s="246">
        <v>553.07000000000005</v>
      </c>
      <c r="E428" s="246">
        <v>45.23</v>
      </c>
      <c r="F428" s="248">
        <f t="shared" si="80"/>
        <v>1.6783505154639222E-2</v>
      </c>
      <c r="G428" s="248">
        <f t="shared" si="81"/>
        <v>1.714022988505759E-2</v>
      </c>
      <c r="H428" s="248">
        <f t="shared" si="82"/>
        <v>1.5833801235261014E-2</v>
      </c>
      <c r="I428" s="249">
        <f t="shared" si="83"/>
        <v>0.37143333889537589</v>
      </c>
      <c r="J428" s="249">
        <f t="shared" si="84"/>
        <v>0.36739436793828739</v>
      </c>
      <c r="K428" s="249">
        <f t="shared" si="85"/>
        <v>8.6867715967800407E-2</v>
      </c>
      <c r="L428" s="250">
        <f t="shared" si="75"/>
        <v>137.14333388953779</v>
      </c>
      <c r="M428" s="250">
        <f t="shared" si="76"/>
        <v>136.73943679382896</v>
      </c>
      <c r="N428" s="250">
        <f t="shared" si="77"/>
        <v>108.68677159677999</v>
      </c>
      <c r="O428" s="248">
        <f t="shared" si="78"/>
        <v>2.9537718245675748E-3</v>
      </c>
      <c r="P428" s="247">
        <f t="shared" si="79"/>
        <v>0.26182176427439852</v>
      </c>
      <c r="Q428" s="251">
        <f t="shared" si="86"/>
        <v>1.3714333388953759</v>
      </c>
      <c r="R428" s="251">
        <f t="shared" si="87"/>
        <v>1.532843873407862</v>
      </c>
      <c r="S428" s="251">
        <f t="shared" si="88"/>
        <v>-0.10530135345984948</v>
      </c>
      <c r="T428" s="252">
        <f>C428*'1. Share_Price_Analysis'!$E$11+T427*(1-'1. Share_Price_Analysis'!$E$11)</f>
        <v>244.13156265288666</v>
      </c>
      <c r="U428" s="253">
        <f t="shared" si="89"/>
        <v>253.17322774553719</v>
      </c>
    </row>
    <row r="429" spans="2:21" x14ac:dyDescent="0.2">
      <c r="B429" s="245">
        <v>45520</v>
      </c>
      <c r="C429" s="246">
        <v>244.43</v>
      </c>
      <c r="D429" s="246">
        <v>554.30999999999995</v>
      </c>
      <c r="E429" s="246">
        <v>45.284999999999997</v>
      </c>
      <c r="F429" s="248">
        <f t="shared" si="80"/>
        <v>-8.6790769355558073E-3</v>
      </c>
      <c r="G429" s="248">
        <f t="shared" si="81"/>
        <v>2.2420308460049387E-3</v>
      </c>
      <c r="H429" s="248">
        <f t="shared" si="82"/>
        <v>1.2160070749502871E-3</v>
      </c>
      <c r="I429" s="249">
        <f t="shared" si="83"/>
        <v>0.35953056343511669</v>
      </c>
      <c r="J429" s="249">
        <f t="shared" si="84"/>
        <v>0.37046010828985843</v>
      </c>
      <c r="K429" s="249">
        <f t="shared" si="85"/>
        <v>8.818935479995238E-2</v>
      </c>
      <c r="L429" s="250">
        <f t="shared" si="75"/>
        <v>135.95305634351189</v>
      </c>
      <c r="M429" s="250">
        <f t="shared" si="76"/>
        <v>137.04601082898606</v>
      </c>
      <c r="N429" s="250">
        <f t="shared" si="77"/>
        <v>108.81893547999518</v>
      </c>
      <c r="O429" s="248">
        <f t="shared" si="78"/>
        <v>-7.9750915686120916E-3</v>
      </c>
      <c r="P429" s="247">
        <f t="shared" si="79"/>
        <v>0.24935109633106678</v>
      </c>
      <c r="Q429" s="251">
        <f t="shared" si="86"/>
        <v>1.3595305634351167</v>
      </c>
      <c r="R429" s="251">
        <f t="shared" si="87"/>
        <v>1.532843873407862</v>
      </c>
      <c r="S429" s="251">
        <f t="shared" si="88"/>
        <v>-0.1130665118473092</v>
      </c>
      <c r="T429" s="252">
        <f>C429*'1. Share_Price_Analysis'!$E$11+T428*(1-'1. Share_Price_Analysis'!$E$11)</f>
        <v>244.13453217872859</v>
      </c>
      <c r="U429" s="253">
        <f t="shared" si="89"/>
        <v>252.83035606924162</v>
      </c>
    </row>
    <row r="430" spans="2:21" x14ac:dyDescent="0.2">
      <c r="B430" s="245">
        <v>45523</v>
      </c>
      <c r="C430" s="246">
        <v>244.29</v>
      </c>
      <c r="D430" s="246">
        <v>559.61</v>
      </c>
      <c r="E430" s="246">
        <v>45.5</v>
      </c>
      <c r="F430" s="248">
        <f t="shared" si="80"/>
        <v>-5.727611177024361E-4</v>
      </c>
      <c r="G430" s="248">
        <f t="shared" si="81"/>
        <v>9.5614367411738233E-3</v>
      </c>
      <c r="H430" s="248">
        <f t="shared" si="82"/>
        <v>4.7477089543999096E-3</v>
      </c>
      <c r="I430" s="249">
        <f t="shared" si="83"/>
        <v>0.35875187719005286</v>
      </c>
      <c r="J430" s="249">
        <f t="shared" si="84"/>
        <v>0.38356367592157414</v>
      </c>
      <c r="K430" s="249">
        <f t="shared" si="85"/>
        <v>9.3355761143818716E-2</v>
      </c>
      <c r="L430" s="250">
        <f t="shared" si="75"/>
        <v>135.87518771900551</v>
      </c>
      <c r="M430" s="250">
        <f t="shared" si="76"/>
        <v>138.35636759215762</v>
      </c>
      <c r="N430" s="250">
        <f t="shared" si="77"/>
        <v>109.33557611438182</v>
      </c>
      <c r="O430" s="248">
        <f t="shared" si="78"/>
        <v>-1.7933253932092774E-2</v>
      </c>
      <c r="P430" s="247">
        <f t="shared" si="79"/>
        <v>0.24273537075305551</v>
      </c>
      <c r="Q430" s="251">
        <f t="shared" si="86"/>
        <v>1.3587518771900529</v>
      </c>
      <c r="R430" s="251">
        <f t="shared" si="87"/>
        <v>1.532843873407862</v>
      </c>
      <c r="S430" s="251">
        <f t="shared" si="88"/>
        <v>-0.11357451286331133</v>
      </c>
      <c r="T430" s="252">
        <f>C430*'1. Share_Price_Analysis'!$E$11+T429*(1-'1. Share_Price_Analysis'!$E$11)</f>
        <v>244.13607912222383</v>
      </c>
      <c r="U430" s="253">
        <f t="shared" si="89"/>
        <v>252.49544014495766</v>
      </c>
    </row>
    <row r="431" spans="2:21" x14ac:dyDescent="0.2">
      <c r="B431" s="245">
        <v>45524</v>
      </c>
      <c r="C431" s="246">
        <v>245.6</v>
      </c>
      <c r="D431" s="246">
        <v>558.70000000000005</v>
      </c>
      <c r="E431" s="246">
        <v>45.335000000000001</v>
      </c>
      <c r="F431" s="248">
        <f t="shared" si="80"/>
        <v>5.3624790208359752E-3</v>
      </c>
      <c r="G431" s="248">
        <f t="shared" si="81"/>
        <v>-1.6261324851235548E-3</v>
      </c>
      <c r="H431" s="248">
        <f t="shared" si="82"/>
        <v>-3.6263736263736357E-3</v>
      </c>
      <c r="I431" s="249">
        <f t="shared" si="83"/>
        <v>0.36603815562600595</v>
      </c>
      <c r="J431" s="249">
        <f t="shared" si="84"/>
        <v>0.3813138180829212</v>
      </c>
      <c r="K431" s="249">
        <f t="shared" si="85"/>
        <v>8.9390844647363021E-2</v>
      </c>
      <c r="L431" s="250">
        <f t="shared" si="75"/>
        <v>136.60381556260083</v>
      </c>
      <c r="M431" s="250">
        <f t="shared" si="76"/>
        <v>138.13138180829233</v>
      </c>
      <c r="N431" s="250">
        <f t="shared" si="77"/>
        <v>108.93908446473628</v>
      </c>
      <c r="O431" s="248">
        <f t="shared" si="78"/>
        <v>-1.105879218533834E-2</v>
      </c>
      <c r="P431" s="247">
        <f t="shared" si="79"/>
        <v>0.2539467926850385</v>
      </c>
      <c r="Q431" s="251">
        <f t="shared" si="86"/>
        <v>1.3660381556260059</v>
      </c>
      <c r="R431" s="251">
        <f t="shared" si="87"/>
        <v>1.532843873407862</v>
      </c>
      <c r="S431" s="251">
        <f t="shared" si="88"/>
        <v>-0.10882107478500658</v>
      </c>
      <c r="T431" s="252">
        <f>C431*'1. Share_Price_Analysis'!$E$11+T430*(1-'1. Share_Price_Analysis'!$E$11)</f>
        <v>244.15064549911713</v>
      </c>
      <c r="U431" s="253">
        <f t="shared" si="89"/>
        <v>252.22503072750834</v>
      </c>
    </row>
    <row r="432" spans="2:21" x14ac:dyDescent="0.2">
      <c r="B432" s="245">
        <v>45525</v>
      </c>
      <c r="C432" s="246">
        <v>247.84</v>
      </c>
      <c r="D432" s="246">
        <v>560.62</v>
      </c>
      <c r="E432" s="246">
        <v>45.854999999999997</v>
      </c>
      <c r="F432" s="248">
        <f t="shared" si="80"/>
        <v>9.1205211726383961E-3</v>
      </c>
      <c r="G432" s="248">
        <f t="shared" si="81"/>
        <v>3.4365491319132691E-3</v>
      </c>
      <c r="H432" s="248">
        <f t="shared" si="82"/>
        <v>1.1470166537994819E-2</v>
      </c>
      <c r="I432" s="249">
        <f t="shared" si="83"/>
        <v>0.3784971355470248</v>
      </c>
      <c r="J432" s="249">
        <f t="shared" si="84"/>
        <v>0.38606077088535384</v>
      </c>
      <c r="K432" s="249">
        <f t="shared" si="85"/>
        <v>0.1018863390604352</v>
      </c>
      <c r="L432" s="250">
        <f t="shared" si="75"/>
        <v>137.84971355470273</v>
      </c>
      <c r="M432" s="250">
        <f t="shared" si="76"/>
        <v>138.60607708853561</v>
      </c>
      <c r="N432" s="250">
        <f t="shared" si="77"/>
        <v>110.18863390604348</v>
      </c>
      <c r="O432" s="248">
        <f t="shared" si="78"/>
        <v>-5.456929087963247E-3</v>
      </c>
      <c r="P432" s="247">
        <f t="shared" si="79"/>
        <v>0.25103387407675104</v>
      </c>
      <c r="Q432" s="251">
        <f t="shared" si="86"/>
        <v>1.3784971355470248</v>
      </c>
      <c r="R432" s="251">
        <f t="shared" si="87"/>
        <v>1.532843873407862</v>
      </c>
      <c r="S432" s="251">
        <f t="shared" si="88"/>
        <v>-0.10069305852897403</v>
      </c>
      <c r="T432" s="252">
        <f>C432*'1. Share_Price_Analysis'!$E$11+T431*(1-'1. Share_Price_Analysis'!$E$11)</f>
        <v>244.18735549415081</v>
      </c>
      <c r="U432" s="253">
        <f t="shared" si="89"/>
        <v>252.0530687381943</v>
      </c>
    </row>
    <row r="433" spans="2:21" x14ac:dyDescent="0.2">
      <c r="B433" s="245">
        <v>45526</v>
      </c>
      <c r="C433" s="246">
        <v>247.98</v>
      </c>
      <c r="D433" s="246">
        <v>556.22</v>
      </c>
      <c r="E433" s="246">
        <v>45.76</v>
      </c>
      <c r="F433" s="248">
        <f t="shared" si="80"/>
        <v>5.6488056810843901E-4</v>
      </c>
      <c r="G433" s="248">
        <f t="shared" si="81"/>
        <v>-7.8484534979129661E-3</v>
      </c>
      <c r="H433" s="248">
        <f t="shared" si="82"/>
        <v>-2.0717479009921824E-3</v>
      </c>
      <c r="I433" s="249">
        <f t="shared" si="83"/>
        <v>0.37927582179208841</v>
      </c>
      <c r="J433" s="249">
        <f t="shared" si="84"/>
        <v>0.37518233737977869</v>
      </c>
      <c r="K433" s="249">
        <f t="shared" si="85"/>
        <v>9.9603508350354808E-2</v>
      </c>
      <c r="L433" s="250">
        <f t="shared" si="75"/>
        <v>137.92758217920908</v>
      </c>
      <c r="M433" s="250">
        <f t="shared" si="76"/>
        <v>137.51823373797808</v>
      </c>
      <c r="N433" s="250">
        <f t="shared" si="77"/>
        <v>109.96035083503544</v>
      </c>
      <c r="O433" s="248">
        <f t="shared" si="78"/>
        <v>2.9766848373788957E-3</v>
      </c>
      <c r="P433" s="247">
        <f t="shared" si="79"/>
        <v>0.25433923347634924</v>
      </c>
      <c r="Q433" s="251">
        <f t="shared" si="86"/>
        <v>1.3792758217920884</v>
      </c>
      <c r="R433" s="251">
        <f t="shared" si="87"/>
        <v>1.532843873407862</v>
      </c>
      <c r="S433" s="251">
        <f t="shared" si="88"/>
        <v>-0.10018505751297213</v>
      </c>
      <c r="T433" s="252">
        <f>C433*'1. Share_Price_Analysis'!$E$11+T432*(1-'1. Share_Price_Analysis'!$E$11)</f>
        <v>244.22509325042793</v>
      </c>
      <c r="U433" s="253">
        <f t="shared" si="89"/>
        <v>251.89334055238277</v>
      </c>
    </row>
    <row r="434" spans="2:21" x14ac:dyDescent="0.2">
      <c r="B434" s="245">
        <v>45527</v>
      </c>
      <c r="C434" s="246">
        <v>254.89</v>
      </c>
      <c r="D434" s="246">
        <v>562.13</v>
      </c>
      <c r="E434" s="246">
        <v>46.365000000000002</v>
      </c>
      <c r="F434" s="248">
        <f t="shared" si="80"/>
        <v>2.7865150415355977E-2</v>
      </c>
      <c r="G434" s="248">
        <f t="shared" si="81"/>
        <v>1.0625292150587828E-2</v>
      </c>
      <c r="H434" s="248">
        <f t="shared" si="82"/>
        <v>1.3221153846153966E-2</v>
      </c>
      <c r="I434" s="249">
        <f t="shared" si="83"/>
        <v>0.41770955003058874</v>
      </c>
      <c r="J434" s="249">
        <f t="shared" si="84"/>
        <v>0.38979405147476709</v>
      </c>
      <c r="K434" s="249">
        <f t="shared" si="85"/>
        <v>0.11414153550402539</v>
      </c>
      <c r="L434" s="250">
        <f t="shared" si="75"/>
        <v>141.77095500305913</v>
      </c>
      <c r="M434" s="250">
        <f t="shared" si="76"/>
        <v>138.97940514747694</v>
      </c>
      <c r="N434" s="250">
        <f t="shared" si="77"/>
        <v>111.41415355040249</v>
      </c>
      <c r="O434" s="248">
        <f t="shared" si="78"/>
        <v>2.0086068526627754E-2</v>
      </c>
      <c r="P434" s="247">
        <f t="shared" si="79"/>
        <v>0.27246808852632221</v>
      </c>
      <c r="Q434" s="251">
        <f t="shared" si="86"/>
        <v>1.4177095500305887</v>
      </c>
      <c r="R434" s="251">
        <f t="shared" si="87"/>
        <v>1.532843873407862</v>
      </c>
      <c r="S434" s="251">
        <f t="shared" si="88"/>
        <v>-7.5111578794586187E-2</v>
      </c>
      <c r="T434" s="252">
        <f>C434*'1. Share_Price_Analysis'!$E$11+T433*(1-'1. Share_Price_Analysis'!$E$11)</f>
        <v>244.33121172554806</v>
      </c>
      <c r="U434" s="253">
        <f t="shared" si="89"/>
        <v>252.01085660915209</v>
      </c>
    </row>
    <row r="435" spans="2:21" x14ac:dyDescent="0.2">
      <c r="B435" s="245">
        <v>45530</v>
      </c>
      <c r="C435" s="246">
        <v>250.68</v>
      </c>
      <c r="D435" s="246">
        <v>560.79</v>
      </c>
      <c r="E435" s="246">
        <v>46.57</v>
      </c>
      <c r="F435" s="248">
        <f t="shared" si="80"/>
        <v>-1.6516928871277758E-2</v>
      </c>
      <c r="G435" s="248">
        <f t="shared" si="81"/>
        <v>-2.3837902264601807E-3</v>
      </c>
      <c r="H435" s="248">
        <f t="shared" si="82"/>
        <v>4.4214385851395477E-3</v>
      </c>
      <c r="I435" s="249">
        <f t="shared" si="83"/>
        <v>0.39429334223260226</v>
      </c>
      <c r="J435" s="249">
        <f t="shared" si="84"/>
        <v>0.38648107399806908</v>
      </c>
      <c r="K435" s="249">
        <f t="shared" si="85"/>
        <v>0.11906764387840951</v>
      </c>
      <c r="L435" s="250">
        <f t="shared" si="75"/>
        <v>139.42933422326047</v>
      </c>
      <c r="M435" s="250">
        <f t="shared" si="76"/>
        <v>138.64810739980712</v>
      </c>
      <c r="N435" s="250">
        <f t="shared" si="77"/>
        <v>111.90676438784092</v>
      </c>
      <c r="O435" s="248">
        <f t="shared" si="78"/>
        <v>5.6346014244577081E-3</v>
      </c>
      <c r="P435" s="247">
        <f t="shared" si="79"/>
        <v>0.24594196772621268</v>
      </c>
      <c r="Q435" s="251">
        <f t="shared" si="86"/>
        <v>1.3942933422326023</v>
      </c>
      <c r="R435" s="251">
        <f t="shared" si="87"/>
        <v>1.532843873407862</v>
      </c>
      <c r="S435" s="251">
        <f t="shared" si="88"/>
        <v>-9.0387895061504353E-2</v>
      </c>
      <c r="T435" s="252">
        <f>C435*'1. Share_Price_Analysis'!$E$11+T434*(1-'1. Share_Price_Analysis'!$E$11)</f>
        <v>244.39438374817942</v>
      </c>
      <c r="U435" s="253">
        <f t="shared" si="89"/>
        <v>251.95866615389124</v>
      </c>
    </row>
    <row r="436" spans="2:21" x14ac:dyDescent="0.2">
      <c r="B436" s="245">
        <v>45531</v>
      </c>
      <c r="C436" s="246">
        <v>240.41</v>
      </c>
      <c r="D436" s="246">
        <v>561.55999999999995</v>
      </c>
      <c r="E436" s="246">
        <v>46.575000000000003</v>
      </c>
      <c r="F436" s="248">
        <f t="shared" si="80"/>
        <v>-4.096856550183503E-2</v>
      </c>
      <c r="G436" s="248">
        <f t="shared" si="81"/>
        <v>1.3730630004100686E-3</v>
      </c>
      <c r="H436" s="248">
        <f t="shared" si="82"/>
        <v>1.0736525660304252E-4</v>
      </c>
      <c r="I436" s="249">
        <f t="shared" si="83"/>
        <v>0.33717114411257332</v>
      </c>
      <c r="J436" s="249">
        <f t="shared" si="84"/>
        <v>0.38838479986154462</v>
      </c>
      <c r="K436" s="249">
        <f t="shared" si="85"/>
        <v>0.11918779286315062</v>
      </c>
      <c r="L436" s="250">
        <f t="shared" si="75"/>
        <v>133.71711441125757</v>
      </c>
      <c r="M436" s="250">
        <f t="shared" si="76"/>
        <v>138.83847998615471</v>
      </c>
      <c r="N436" s="250">
        <f t="shared" si="77"/>
        <v>111.91877928631504</v>
      </c>
      <c r="O436" s="248">
        <f t="shared" si="78"/>
        <v>-3.6887220138162369E-2</v>
      </c>
      <c r="P436" s="247">
        <f t="shared" si="79"/>
        <v>0.19476923590434181</v>
      </c>
      <c r="Q436" s="251">
        <f t="shared" si="86"/>
        <v>1.3371711441125733</v>
      </c>
      <c r="R436" s="251">
        <f t="shared" si="87"/>
        <v>1.532843873407862</v>
      </c>
      <c r="S436" s="251">
        <f t="shared" si="88"/>
        <v>-0.12765339816393928</v>
      </c>
      <c r="T436" s="252">
        <f>C436*'1. Share_Price_Analysis'!$E$11+T435*(1-'1. Share_Price_Analysis'!$E$11)</f>
        <v>244.35473813874481</v>
      </c>
      <c r="U436" s="253">
        <f t="shared" si="89"/>
        <v>251.50577728511121</v>
      </c>
    </row>
    <row r="437" spans="2:21" x14ac:dyDescent="0.2">
      <c r="B437" s="245">
        <v>45532</v>
      </c>
      <c r="C437" s="246">
        <v>235.77</v>
      </c>
      <c r="D437" s="246">
        <v>558.29999999999995</v>
      </c>
      <c r="E437" s="246">
        <v>46.375</v>
      </c>
      <c r="F437" s="248">
        <f t="shared" si="80"/>
        <v>-1.9300361881785189E-2</v>
      </c>
      <c r="G437" s="248">
        <f t="shared" si="81"/>
        <v>-5.8052567846712533E-3</v>
      </c>
      <c r="H437" s="248">
        <f t="shared" si="82"/>
        <v>-4.2941492216854726E-3</v>
      </c>
      <c r="I437" s="249">
        <f t="shared" si="83"/>
        <v>0.31136325713332003</v>
      </c>
      <c r="J437" s="249">
        <f t="shared" si="84"/>
        <v>0.38032486958241396</v>
      </c>
      <c r="K437" s="249">
        <f t="shared" si="85"/>
        <v>0.11438183347350739</v>
      </c>
      <c r="L437" s="250">
        <f t="shared" si="75"/>
        <v>131.13632571333221</v>
      </c>
      <c r="M437" s="250">
        <f t="shared" si="76"/>
        <v>138.03248695824161</v>
      </c>
      <c r="N437" s="250">
        <f t="shared" si="77"/>
        <v>111.43818334735072</v>
      </c>
      <c r="O437" s="248">
        <f t="shared" si="78"/>
        <v>-4.9960421614338335E-2</v>
      </c>
      <c r="P437" s="247">
        <f t="shared" si="79"/>
        <v>0.17676295300491862</v>
      </c>
      <c r="Q437" s="251">
        <f t="shared" si="86"/>
        <v>1.31136325713332</v>
      </c>
      <c r="R437" s="251">
        <f t="shared" si="87"/>
        <v>1.532843873407862</v>
      </c>
      <c r="S437" s="251">
        <f t="shared" si="88"/>
        <v>-0.1444900032657207</v>
      </c>
      <c r="T437" s="252">
        <f>C437*'1. Share_Price_Analysis'!$E$11+T436*(1-'1. Share_Price_Analysis'!$E$11)</f>
        <v>244.26931785875732</v>
      </c>
      <c r="U437" s="253">
        <f t="shared" si="89"/>
        <v>250.88868797981274</v>
      </c>
    </row>
    <row r="438" spans="2:21" x14ac:dyDescent="0.2">
      <c r="B438" s="245">
        <v>45533</v>
      </c>
      <c r="C438" s="246">
        <v>241.28</v>
      </c>
      <c r="D438" s="246">
        <v>558.35</v>
      </c>
      <c r="E438" s="246">
        <v>46.63</v>
      </c>
      <c r="F438" s="248">
        <f t="shared" si="80"/>
        <v>2.3370233702336929E-2</v>
      </c>
      <c r="G438" s="248">
        <f t="shared" si="81"/>
        <v>8.9557585527533234E-5</v>
      </c>
      <c r="H438" s="248">
        <f t="shared" si="82"/>
        <v>5.4986522911051328E-3</v>
      </c>
      <c r="I438" s="249">
        <f t="shared" si="83"/>
        <v>0.34201012292118338</v>
      </c>
      <c r="J438" s="249">
        <f t="shared" si="84"/>
        <v>0.38044848814497745</v>
      </c>
      <c r="K438" s="249">
        <f t="shared" si="85"/>
        <v>0.12050943169530237</v>
      </c>
      <c r="L438" s="250">
        <f t="shared" si="75"/>
        <v>134.20101229211858</v>
      </c>
      <c r="M438" s="250">
        <f t="shared" si="76"/>
        <v>138.04484881449798</v>
      </c>
      <c r="N438" s="250">
        <f t="shared" si="77"/>
        <v>112.05094316953021</v>
      </c>
      <c r="O438" s="248">
        <f t="shared" si="78"/>
        <v>-2.7844838510017067E-2</v>
      </c>
      <c r="P438" s="247">
        <f t="shared" si="79"/>
        <v>0.1976785602694624</v>
      </c>
      <c r="Q438" s="251">
        <f t="shared" si="86"/>
        <v>1.3420101229211834</v>
      </c>
      <c r="R438" s="251">
        <f t="shared" si="87"/>
        <v>1.532843873407862</v>
      </c>
      <c r="S438" s="251">
        <f t="shared" si="88"/>
        <v>-0.12449653470735511</v>
      </c>
      <c r="T438" s="252">
        <f>C438*'1. Share_Price_Analysis'!$E$11+T437*(1-'1. Share_Price_Analysis'!$E$11)</f>
        <v>244.2395734024513</v>
      </c>
      <c r="U438" s="253">
        <f t="shared" si="89"/>
        <v>250.51187668648677</v>
      </c>
    </row>
    <row r="439" spans="2:21" x14ac:dyDescent="0.2">
      <c r="B439" s="245">
        <v>45534</v>
      </c>
      <c r="C439" s="246">
        <v>245.21</v>
      </c>
      <c r="D439" s="246">
        <v>563.67999999999995</v>
      </c>
      <c r="E439" s="246">
        <v>47.14</v>
      </c>
      <c r="F439" s="248">
        <f t="shared" si="80"/>
        <v>1.628812997347473E-2</v>
      </c>
      <c r="G439" s="248">
        <f t="shared" si="81"/>
        <v>9.5459837019788996E-3</v>
      </c>
      <c r="H439" s="248">
        <f t="shared" si="82"/>
        <v>1.0937164915290509E-2</v>
      </c>
      <c r="I439" s="249">
        <f t="shared" si="83"/>
        <v>0.36386895822904242</v>
      </c>
      <c r="J439" s="249">
        <f t="shared" si="84"/>
        <v>0.39362622691423077</v>
      </c>
      <c r="K439" s="249">
        <f t="shared" si="85"/>
        <v>0.13276462813889234</v>
      </c>
      <c r="L439" s="250">
        <f t="shared" si="75"/>
        <v>136.38689582290451</v>
      </c>
      <c r="M439" s="250">
        <f t="shared" si="76"/>
        <v>139.36262269142333</v>
      </c>
      <c r="N439" s="250">
        <f t="shared" si="77"/>
        <v>113.27646281388921</v>
      </c>
      <c r="O439" s="248">
        <f t="shared" si="78"/>
        <v>-2.1352402897207967E-2</v>
      </c>
      <c r="P439" s="247">
        <f t="shared" si="79"/>
        <v>0.20401796132162908</v>
      </c>
      <c r="Q439" s="251">
        <f t="shared" si="86"/>
        <v>1.3638689582290424</v>
      </c>
      <c r="R439" s="251">
        <f t="shared" si="87"/>
        <v>1.532843873407862</v>
      </c>
      <c r="S439" s="251">
        <f t="shared" si="88"/>
        <v>-0.11023622047244108</v>
      </c>
      <c r="T439" s="252">
        <f>C439*'1. Share_Price_Analysis'!$E$11+T438*(1-'1. Share_Price_Analysis'!$E$11)</f>
        <v>244.24922938849656</v>
      </c>
      <c r="U439" s="253">
        <f t="shared" si="89"/>
        <v>250.30395995368337</v>
      </c>
    </row>
    <row r="440" spans="2:21" x14ac:dyDescent="0.2">
      <c r="B440" s="245">
        <v>45538</v>
      </c>
      <c r="C440" s="246">
        <v>239.02</v>
      </c>
      <c r="D440" s="246">
        <v>552.08000000000004</v>
      </c>
      <c r="E440" s="246">
        <v>46.07</v>
      </c>
      <c r="F440" s="248">
        <f t="shared" si="80"/>
        <v>-2.5243668692141452E-2</v>
      </c>
      <c r="G440" s="248">
        <f t="shared" si="81"/>
        <v>-2.057905194436549E-2</v>
      </c>
      <c r="H440" s="248">
        <f t="shared" si="82"/>
        <v>-2.2698345354263849E-2</v>
      </c>
      <c r="I440" s="249">
        <f t="shared" si="83"/>
        <v>0.32943990210801233</v>
      </c>
      <c r="J440" s="249">
        <f t="shared" si="84"/>
        <v>0.36494672039953269</v>
      </c>
      <c r="K440" s="249">
        <f t="shared" si="85"/>
        <v>0.10705274540430154</v>
      </c>
      <c r="L440" s="250">
        <f t="shared" si="75"/>
        <v>132.9439902108015</v>
      </c>
      <c r="M440" s="250">
        <f t="shared" si="76"/>
        <v>136.49467203995351</v>
      </c>
      <c r="N440" s="250">
        <f t="shared" si="77"/>
        <v>110.70527454043014</v>
      </c>
      <c r="O440" s="248">
        <f t="shared" si="78"/>
        <v>-2.6013336462779479E-2</v>
      </c>
      <c r="P440" s="247">
        <f t="shared" si="79"/>
        <v>0.20088216900857225</v>
      </c>
      <c r="Q440" s="251">
        <f t="shared" si="86"/>
        <v>1.3294399021080123</v>
      </c>
      <c r="R440" s="251">
        <f t="shared" si="87"/>
        <v>1.532843873407862</v>
      </c>
      <c r="S440" s="251">
        <f t="shared" si="88"/>
        <v>-0.13269712253710231</v>
      </c>
      <c r="T440" s="252">
        <f>C440*'1. Share_Price_Analysis'!$E$11+T439*(1-'1. Share_Price_Analysis'!$E$11)</f>
        <v>244.1971972552777</v>
      </c>
      <c r="U440" s="253">
        <f t="shared" si="89"/>
        <v>249.86145172020559</v>
      </c>
    </row>
    <row r="441" spans="2:21" x14ac:dyDescent="0.2">
      <c r="B441" s="245">
        <v>45539</v>
      </c>
      <c r="C441" s="246">
        <v>234.83</v>
      </c>
      <c r="D441" s="246">
        <v>550.95000000000005</v>
      </c>
      <c r="E441" s="246">
        <v>45.88</v>
      </c>
      <c r="F441" s="248">
        <f t="shared" si="80"/>
        <v>-1.7529913814743558E-2</v>
      </c>
      <c r="G441" s="248">
        <f t="shared" si="81"/>
        <v>-2.0468048108969183E-3</v>
      </c>
      <c r="H441" s="248">
        <f t="shared" si="82"/>
        <v>-4.1241588886476999E-3</v>
      </c>
      <c r="I441" s="249">
        <f t="shared" si="83"/>
        <v>0.30613493520217783</v>
      </c>
      <c r="J441" s="249">
        <f t="shared" si="84"/>
        <v>0.36215294088560102</v>
      </c>
      <c r="K441" s="249">
        <f t="shared" si="85"/>
        <v>0.10248708398414053</v>
      </c>
      <c r="L441" s="250">
        <f t="shared" si="75"/>
        <v>130.61349352021804</v>
      </c>
      <c r="M441" s="250">
        <f t="shared" si="76"/>
        <v>136.21529408856034</v>
      </c>
      <c r="N441" s="250">
        <f t="shared" si="77"/>
        <v>110.24870839841402</v>
      </c>
      <c r="O441" s="248">
        <f t="shared" si="78"/>
        <v>-4.1124607965830284E-2</v>
      </c>
      <c r="P441" s="247">
        <f t="shared" si="79"/>
        <v>0.18471676827459937</v>
      </c>
      <c r="Q441" s="251">
        <f t="shared" si="86"/>
        <v>1.3061349352021778</v>
      </c>
      <c r="R441" s="251">
        <f t="shared" si="87"/>
        <v>1.532843873407862</v>
      </c>
      <c r="S441" s="251">
        <f t="shared" si="88"/>
        <v>-0.14790086723030604</v>
      </c>
      <c r="T441" s="252">
        <f>C441*'1. Share_Price_Analysis'!$E$11+T440*(1-'1. Share_Price_Analysis'!$E$11)</f>
        <v>244.10399131243915</v>
      </c>
      <c r="U441" s="253">
        <f t="shared" si="89"/>
        <v>249.27198302529558</v>
      </c>
    </row>
    <row r="442" spans="2:21" x14ac:dyDescent="0.2">
      <c r="B442" s="245">
        <v>45540</v>
      </c>
      <c r="C442" s="246">
        <v>232.16</v>
      </c>
      <c r="D442" s="246">
        <v>549.61</v>
      </c>
      <c r="E442" s="246">
        <v>45.52</v>
      </c>
      <c r="F442" s="248">
        <f t="shared" si="80"/>
        <v>-1.1369927181365314E-2</v>
      </c>
      <c r="G442" s="248">
        <f t="shared" si="81"/>
        <v>-2.432162628187684E-3</v>
      </c>
      <c r="H442" s="248">
        <f t="shared" si="82"/>
        <v>-7.8465562336530459E-3</v>
      </c>
      <c r="I442" s="249">
        <f t="shared" si="83"/>
        <v>0.29128427609989171</v>
      </c>
      <c r="J442" s="249">
        <f t="shared" si="84"/>
        <v>0.35883996340890301</v>
      </c>
      <c r="K442" s="249">
        <f t="shared" si="85"/>
        <v>9.3836357082782706E-2</v>
      </c>
      <c r="L442" s="250">
        <f t="shared" si="75"/>
        <v>129.12842760998944</v>
      </c>
      <c r="M442" s="250">
        <f t="shared" si="76"/>
        <v>135.88399634089055</v>
      </c>
      <c r="N442" s="250">
        <f t="shared" si="77"/>
        <v>109.38363570827828</v>
      </c>
      <c r="O442" s="248">
        <f t="shared" si="78"/>
        <v>-4.9715705401786492E-2</v>
      </c>
      <c r="P442" s="247">
        <f t="shared" si="79"/>
        <v>0.18050955953200765</v>
      </c>
      <c r="Q442" s="251">
        <f t="shared" si="86"/>
        <v>1.2912842760998917</v>
      </c>
      <c r="R442" s="251">
        <f t="shared" si="87"/>
        <v>1.532843873407862</v>
      </c>
      <c r="S442" s="251">
        <f t="shared" si="88"/>
        <v>-0.15758917232120195</v>
      </c>
      <c r="T442" s="252">
        <f>C442*'1. Share_Price_Analysis'!$E$11+T441*(1-'1. Share_Price_Analysis'!$E$11)</f>
        <v>243.98514562773826</v>
      </c>
      <c r="U442" s="253">
        <f t="shared" si="89"/>
        <v>248.60092486744085</v>
      </c>
    </row>
    <row r="443" spans="2:21" x14ac:dyDescent="0.2">
      <c r="B443" s="245">
        <v>45541</v>
      </c>
      <c r="C443" s="246">
        <v>231.97</v>
      </c>
      <c r="D443" s="246">
        <v>540.36</v>
      </c>
      <c r="E443" s="246">
        <v>44.945</v>
      </c>
      <c r="F443" s="248">
        <f t="shared" si="80"/>
        <v>-8.1840110268782684E-4</v>
      </c>
      <c r="G443" s="248">
        <f t="shared" si="81"/>
        <v>-1.6830115900365761E-2</v>
      </c>
      <c r="H443" s="248">
        <f t="shared" si="82"/>
        <v>-1.2631810193321713E-2</v>
      </c>
      <c r="I443" s="249">
        <f t="shared" si="83"/>
        <v>0.29022748762444817</v>
      </c>
      <c r="J443" s="249">
        <f t="shared" si="84"/>
        <v>0.33597052933468241</v>
      </c>
      <c r="K443" s="249">
        <f t="shared" si="85"/>
        <v>8.0019223837558551E-2</v>
      </c>
      <c r="L443" s="250">
        <f t="shared" si="75"/>
        <v>129.02274876244508</v>
      </c>
      <c r="M443" s="250">
        <f t="shared" si="76"/>
        <v>133.59705293346849</v>
      </c>
      <c r="N443" s="250">
        <f t="shared" si="77"/>
        <v>108.00192238375585</v>
      </c>
      <c r="O443" s="248">
        <f t="shared" si="78"/>
        <v>-3.4239558961689398E-2</v>
      </c>
      <c r="P443" s="247">
        <f t="shared" si="79"/>
        <v>0.19463381683149206</v>
      </c>
      <c r="Q443" s="251">
        <f t="shared" si="86"/>
        <v>1.2902274876244482</v>
      </c>
      <c r="R443" s="251">
        <f t="shared" si="87"/>
        <v>1.532843873407862</v>
      </c>
      <c r="S443" s="251">
        <f t="shared" si="88"/>
        <v>-0.15827860227149049</v>
      </c>
      <c r="T443" s="252">
        <f>C443*'1. Share_Price_Analysis'!$E$11+T442*(1-'1. Share_Price_Analysis'!$E$11)</f>
        <v>243.86559193990007</v>
      </c>
      <c r="U443" s="253">
        <f t="shared" si="89"/>
        <v>247.94873173538434</v>
      </c>
    </row>
    <row r="444" spans="2:21" x14ac:dyDescent="0.2">
      <c r="B444" s="245">
        <v>45544</v>
      </c>
      <c r="C444" s="246">
        <v>231.83</v>
      </c>
      <c r="D444" s="246">
        <v>546.41</v>
      </c>
      <c r="E444" s="246">
        <v>45.38</v>
      </c>
      <c r="F444" s="248">
        <f t="shared" si="80"/>
        <v>-6.0352631805826729E-4</v>
      </c>
      <c r="G444" s="248">
        <f t="shared" si="81"/>
        <v>1.1196239544007724E-2</v>
      </c>
      <c r="H444" s="248">
        <f t="shared" si="82"/>
        <v>9.6784959394815573E-3</v>
      </c>
      <c r="I444" s="249">
        <f t="shared" si="83"/>
        <v>0.28944880137938456</v>
      </c>
      <c r="J444" s="249">
        <f t="shared" si="84"/>
        <v>0.35092837540484823</v>
      </c>
      <c r="K444" s="249">
        <f t="shared" si="85"/>
        <v>9.0472185510032332E-2</v>
      </c>
      <c r="L444" s="250">
        <f t="shared" si="75"/>
        <v>128.94488013793872</v>
      </c>
      <c r="M444" s="250">
        <f t="shared" si="76"/>
        <v>135.09283754048508</v>
      </c>
      <c r="N444" s="250">
        <f t="shared" si="77"/>
        <v>109.04721855100325</v>
      </c>
      <c r="O444" s="248">
        <f t="shared" si="78"/>
        <v>-4.5509129236433021E-2</v>
      </c>
      <c r="P444" s="247">
        <f t="shared" si="79"/>
        <v>0.18246830915388035</v>
      </c>
      <c r="Q444" s="251">
        <f t="shared" si="86"/>
        <v>1.2894488013793846</v>
      </c>
      <c r="R444" s="251">
        <f t="shared" si="87"/>
        <v>1.532843873407862</v>
      </c>
      <c r="S444" s="251">
        <f t="shared" si="88"/>
        <v>-0.15878660328749239</v>
      </c>
      <c r="T444" s="252">
        <f>C444*'1. Share_Price_Analysis'!$E$11+T443*(1-'1. Share_Price_Analysis'!$E$11)</f>
        <v>243.74583480616974</v>
      </c>
      <c r="U444" s="253">
        <f t="shared" si="89"/>
        <v>247.31662460850654</v>
      </c>
    </row>
    <row r="445" spans="2:21" x14ac:dyDescent="0.2">
      <c r="B445" s="245">
        <v>45545</v>
      </c>
      <c r="C445" s="246">
        <v>232.95</v>
      </c>
      <c r="D445" s="246">
        <v>548.79</v>
      </c>
      <c r="E445" s="246">
        <v>45.4</v>
      </c>
      <c r="F445" s="248">
        <f t="shared" si="80"/>
        <v>4.8311262563083268E-3</v>
      </c>
      <c r="G445" s="248">
        <f t="shared" si="81"/>
        <v>4.3557035925403387E-3</v>
      </c>
      <c r="H445" s="248">
        <f t="shared" si="82"/>
        <v>4.4072278536799736E-4</v>
      </c>
      <c r="I445" s="249">
        <f t="shared" si="83"/>
        <v>0.29567829133989387</v>
      </c>
      <c r="J445" s="249">
        <f t="shared" si="84"/>
        <v>0.35681261898286376</v>
      </c>
      <c r="K445" s="249">
        <f t="shared" si="85"/>
        <v>9.0952781448996545E-2</v>
      </c>
      <c r="L445" s="250">
        <f t="shared" si="75"/>
        <v>129.56782913398965</v>
      </c>
      <c r="M445" s="250">
        <f t="shared" si="76"/>
        <v>135.68126189828661</v>
      </c>
      <c r="N445" s="250">
        <f t="shared" si="77"/>
        <v>109.09527814489968</v>
      </c>
      <c r="O445" s="248">
        <f t="shared" si="78"/>
        <v>-4.5057310632030667E-2</v>
      </c>
      <c r="P445" s="247">
        <f t="shared" si="79"/>
        <v>0.18765753511254823</v>
      </c>
      <c r="Q445" s="251">
        <f t="shared" si="86"/>
        <v>1.2956782913398939</v>
      </c>
      <c r="R445" s="251">
        <f t="shared" si="87"/>
        <v>1.532843873407862</v>
      </c>
      <c r="S445" s="251">
        <f t="shared" si="88"/>
        <v>-0.15472259515947628</v>
      </c>
      <c r="T445" s="252">
        <f>C445*'1. Share_Price_Analysis'!$E$11+T444*(1-'1. Share_Price_Analysis'!$E$11)</f>
        <v>243.63841356431732</v>
      </c>
      <c r="U445" s="253">
        <f t="shared" si="89"/>
        <v>246.7532275650357</v>
      </c>
    </row>
    <row r="446" spans="2:21" x14ac:dyDescent="0.2">
      <c r="B446" s="245">
        <v>45546</v>
      </c>
      <c r="C446" s="246">
        <v>232.95</v>
      </c>
      <c r="D446" s="246">
        <v>554.41999999999996</v>
      </c>
      <c r="E446" s="246">
        <v>45.51</v>
      </c>
      <c r="F446" s="248">
        <f t="shared" si="80"/>
        <v>0</v>
      </c>
      <c r="G446" s="248">
        <f t="shared" si="81"/>
        <v>1.0258933289600813E-2</v>
      </c>
      <c r="H446" s="248">
        <f t="shared" si="82"/>
        <v>2.4229074889867697E-3</v>
      </c>
      <c r="I446" s="249">
        <f t="shared" si="83"/>
        <v>0.29567829133989387</v>
      </c>
      <c r="J446" s="249">
        <f t="shared" si="84"/>
        <v>0.37073206912749757</v>
      </c>
      <c r="K446" s="249">
        <f t="shared" si="85"/>
        <v>9.3596059113300267E-2</v>
      </c>
      <c r="L446" s="250">
        <f t="shared" si="75"/>
        <v>129.56782913398965</v>
      </c>
      <c r="M446" s="250">
        <f t="shared" si="76"/>
        <v>137.07320691275001</v>
      </c>
      <c r="N446" s="250">
        <f t="shared" si="77"/>
        <v>109.35960591133005</v>
      </c>
      <c r="O446" s="248">
        <f t="shared" si="78"/>
        <v>-5.475452094396327E-2</v>
      </c>
      <c r="P446" s="247">
        <f t="shared" si="79"/>
        <v>0.18478690604503845</v>
      </c>
      <c r="Q446" s="251">
        <f t="shared" si="86"/>
        <v>1.2956782913398939</v>
      </c>
      <c r="R446" s="251">
        <f t="shared" si="87"/>
        <v>1.532843873407862</v>
      </c>
      <c r="S446" s="251">
        <f t="shared" si="88"/>
        <v>-0.15472259515947628</v>
      </c>
      <c r="T446" s="252">
        <f>C446*'1. Share_Price_Analysis'!$E$11+T445*(1-'1. Share_Price_Analysis'!$E$11)</f>
        <v>243.53206119054303</v>
      </c>
      <c r="U446" s="253">
        <f t="shared" si="89"/>
        <v>246.2119245232696</v>
      </c>
    </row>
    <row r="447" spans="2:21" x14ac:dyDescent="0.2">
      <c r="B447" s="245">
        <v>45547</v>
      </c>
      <c r="C447" s="246">
        <v>236.27</v>
      </c>
      <c r="D447" s="246">
        <v>559.09</v>
      </c>
      <c r="E447" s="246">
        <v>45.93</v>
      </c>
      <c r="F447" s="248">
        <f t="shared" si="80"/>
        <v>1.425198540459327E-2</v>
      </c>
      <c r="G447" s="248">
        <f t="shared" si="81"/>
        <v>8.4232170556619579E-3</v>
      </c>
      <c r="H447" s="248">
        <f t="shared" si="82"/>
        <v>9.2287409360580774E-3</v>
      </c>
      <c r="I447" s="249">
        <f t="shared" si="83"/>
        <v>0.31414427943711831</v>
      </c>
      <c r="J447" s="249">
        <f t="shared" si="84"/>
        <v>0.38227804287091516</v>
      </c>
      <c r="K447" s="249">
        <f t="shared" si="85"/>
        <v>0.10368857383155095</v>
      </c>
      <c r="L447" s="250">
        <f t="shared" si="75"/>
        <v>131.41442794371213</v>
      </c>
      <c r="M447" s="250">
        <f t="shared" si="76"/>
        <v>138.22780428709174</v>
      </c>
      <c r="N447" s="250">
        <f t="shared" si="77"/>
        <v>110.36885738315512</v>
      </c>
      <c r="O447" s="248">
        <f t="shared" si="78"/>
        <v>-4.9290925067641767E-2</v>
      </c>
      <c r="P447" s="247">
        <f t="shared" si="79"/>
        <v>0.19068395795287807</v>
      </c>
      <c r="Q447" s="251">
        <f t="shared" si="86"/>
        <v>1.3141442794371183</v>
      </c>
      <c r="R447" s="251">
        <f t="shared" si="87"/>
        <v>1.532843873407862</v>
      </c>
      <c r="S447" s="251">
        <f t="shared" si="88"/>
        <v>-0.14267571392285672</v>
      </c>
      <c r="T447" s="252">
        <f>C447*'1. Share_Price_Analysis'!$E$11+T446*(1-'1. Share_Price_Analysis'!$E$11)</f>
        <v>243.45980187521425</v>
      </c>
      <c r="U447" s="253">
        <f t="shared" si="89"/>
        <v>245.82204513020019</v>
      </c>
    </row>
    <row r="448" spans="2:21" x14ac:dyDescent="0.2">
      <c r="B448" s="245">
        <v>45548</v>
      </c>
      <c r="C448" s="246">
        <v>237.47</v>
      </c>
      <c r="D448" s="246">
        <v>562.01</v>
      </c>
      <c r="E448" s="246">
        <v>46.344999999999999</v>
      </c>
      <c r="F448" s="248">
        <f t="shared" si="80"/>
        <v>5.0789351166038443E-3</v>
      </c>
      <c r="G448" s="248">
        <f t="shared" si="81"/>
        <v>5.2227727199556373E-3</v>
      </c>
      <c r="H448" s="248">
        <f t="shared" si="82"/>
        <v>9.0354887872849954E-3</v>
      </c>
      <c r="I448" s="249">
        <f t="shared" si="83"/>
        <v>0.32081873296623553</v>
      </c>
      <c r="J448" s="249">
        <f t="shared" si="84"/>
        <v>0.38949736692461512</v>
      </c>
      <c r="K448" s="249">
        <f t="shared" si="85"/>
        <v>0.11366093956506051</v>
      </c>
      <c r="L448" s="250">
        <f t="shared" ref="L448:L511" si="90">(C448/$C$64)*100</f>
        <v>132.08187329662385</v>
      </c>
      <c r="M448" s="250">
        <f t="shared" ref="M448:M511" si="91">(D448/$D$64)*100</f>
        <v>138.94973669246173</v>
      </c>
      <c r="N448" s="250">
        <f t="shared" ref="N448:N511" si="92">(E448/$E$64)*100</f>
        <v>111.36609395650605</v>
      </c>
      <c r="O448" s="248">
        <f t="shared" ref="O448:O511" si="93">(1+I448)/(1+J448)-1</f>
        <v>-4.9426962290966103E-2</v>
      </c>
      <c r="P448" s="247">
        <f t="shared" ref="P448:P511" si="94">(1+I448)/(1+K448)-1</f>
        <v>0.18601513803840541</v>
      </c>
      <c r="Q448" s="251">
        <f t="shared" si="86"/>
        <v>1.3208187329662355</v>
      </c>
      <c r="R448" s="251">
        <f t="shared" si="87"/>
        <v>1.532843873407862</v>
      </c>
      <c r="S448" s="251">
        <f t="shared" si="88"/>
        <v>-0.13832141949998222</v>
      </c>
      <c r="T448" s="252">
        <f>C448*'1. Share_Price_Analysis'!$E$11+T447*(1-'1. Share_Price_Analysis'!$E$11)</f>
        <v>243.40020185655541</v>
      </c>
      <c r="U448" s="253">
        <f t="shared" si="89"/>
        <v>245.49451394862373</v>
      </c>
    </row>
    <row r="449" spans="2:21" x14ac:dyDescent="0.2">
      <c r="B449" s="245">
        <v>45551</v>
      </c>
      <c r="C449" s="246">
        <v>242.87</v>
      </c>
      <c r="D449" s="246">
        <v>562.84</v>
      </c>
      <c r="E449" s="246">
        <v>46.774999999999999</v>
      </c>
      <c r="F449" s="248">
        <f t="shared" ref="F449:F512" si="95">C449/C448-1</f>
        <v>2.2739714490251473E-2</v>
      </c>
      <c r="G449" s="248">
        <f t="shared" ref="G449:G512" si="96">D449/D448 - 1</f>
        <v>1.4768420490738343E-3</v>
      </c>
      <c r="H449" s="248">
        <f t="shared" ref="H449:H512" si="97">E449/E448 - 1</f>
        <v>9.2782392922645673E-3</v>
      </c>
      <c r="I449" s="249">
        <f t="shared" ref="I449:I512" si="98">(1+F449)*(1+I448)-1</f>
        <v>0.35085377384726346</v>
      </c>
      <c r="J449" s="249">
        <f t="shared" ref="J449:J512" si="99">(1+G449)*(1+J448)-1</f>
        <v>0.39154943506316675</v>
      </c>
      <c r="K449" s="249">
        <f t="shared" ref="K449:K512" si="100">(1+H449)*(1+K448)-1</f>
        <v>0.12399375225279341</v>
      </c>
      <c r="L449" s="250">
        <f t="shared" si="90"/>
        <v>135.08537738472663</v>
      </c>
      <c r="M449" s="250">
        <f t="shared" si="91"/>
        <v>139.1549435063169</v>
      </c>
      <c r="N449" s="250">
        <f t="shared" si="92"/>
        <v>112.39937522527934</v>
      </c>
      <c r="O449" s="248">
        <f t="shared" si="93"/>
        <v>-2.9244854829074796E-2</v>
      </c>
      <c r="P449" s="247">
        <f t="shared" si="94"/>
        <v>0.20183388131809443</v>
      </c>
      <c r="Q449" s="251">
        <f t="shared" ref="Q449:Q512" si="101">Q448*(1+F449)</f>
        <v>1.3508537738472635</v>
      </c>
      <c r="R449" s="251">
        <f t="shared" ref="R449:R512" si="102">MAX(Q449,R448)</f>
        <v>1.532843873407862</v>
      </c>
      <c r="S449" s="251">
        <f t="shared" ref="S449:S512" si="103">Q449/R449-1</f>
        <v>-0.11872709459704656</v>
      </c>
      <c r="T449" s="252">
        <f>C449*'1. Share_Price_Analysis'!$E$11+T448*(1-'1. Share_Price_Analysis'!$E$11)</f>
        <v>243.39492621619169</v>
      </c>
      <c r="U449" s="253">
        <f t="shared" ref="U449:U512" si="104">C449*$L$5+U448*(1-$L$5)</f>
        <v>245.39159183299145</v>
      </c>
    </row>
    <row r="450" spans="2:21" x14ac:dyDescent="0.2">
      <c r="B450" s="245">
        <v>45552</v>
      </c>
      <c r="C450" s="246">
        <v>245.12</v>
      </c>
      <c r="D450" s="246">
        <v>563.07000000000005</v>
      </c>
      <c r="E450" s="246">
        <v>46.865000000000002</v>
      </c>
      <c r="F450" s="248">
        <f t="shared" si="95"/>
        <v>9.2642154238893326E-3</v>
      </c>
      <c r="G450" s="248">
        <f t="shared" si="96"/>
        <v>4.0864188757017139E-4</v>
      </c>
      <c r="H450" s="248">
        <f t="shared" si="97"/>
        <v>1.924104756814593E-3</v>
      </c>
      <c r="I450" s="249">
        <f t="shared" si="98"/>
        <v>0.3633683742143583</v>
      </c>
      <c r="J450" s="249">
        <f t="shared" si="99"/>
        <v>0.39211808045095808</v>
      </c>
      <c r="K450" s="249">
        <f t="shared" si="100"/>
        <v>0.12615643397813292</v>
      </c>
      <c r="L450" s="250">
        <f t="shared" si="90"/>
        <v>136.33683742143612</v>
      </c>
      <c r="M450" s="250">
        <f t="shared" si="91"/>
        <v>139.21180804509606</v>
      </c>
      <c r="N450" s="250">
        <f t="shared" si="92"/>
        <v>112.61564339781329</v>
      </c>
      <c r="O450" s="248">
        <f t="shared" si="93"/>
        <v>-2.0651772748534913E-2</v>
      </c>
      <c r="P450" s="247">
        <f t="shared" si="94"/>
        <v>0.21063853393642407</v>
      </c>
      <c r="Q450" s="251">
        <f t="shared" si="101"/>
        <v>1.3633683742143583</v>
      </c>
      <c r="R450" s="251">
        <f t="shared" si="102"/>
        <v>1.532843873407862</v>
      </c>
      <c r="S450" s="251">
        <f t="shared" si="103"/>
        <v>-0.1105627925541568</v>
      </c>
      <c r="T450" s="252">
        <f>C450*'1. Share_Price_Analysis'!$E$11+T449*(1-'1. Share_Price_Analysis'!$E$11)</f>
        <v>243.41209112946345</v>
      </c>
      <c r="U450" s="253">
        <f t="shared" si="104"/>
        <v>245.38094117287415</v>
      </c>
    </row>
    <row r="451" spans="2:21" x14ac:dyDescent="0.2">
      <c r="B451" s="245">
        <v>45553</v>
      </c>
      <c r="C451" s="246">
        <v>244.4</v>
      </c>
      <c r="D451" s="246">
        <v>561.4</v>
      </c>
      <c r="E451" s="246">
        <v>46.664999999999999</v>
      </c>
      <c r="F451" s="248">
        <f t="shared" si="95"/>
        <v>-2.937336814621383E-3</v>
      </c>
      <c r="G451" s="248">
        <f t="shared" si="96"/>
        <v>-2.965883460315899E-3</v>
      </c>
      <c r="H451" s="248">
        <f t="shared" si="97"/>
        <v>-4.267577083111096E-3</v>
      </c>
      <c r="I451" s="249">
        <f t="shared" si="98"/>
        <v>0.35936370209688806</v>
      </c>
      <c r="J451" s="249">
        <f t="shared" si="99"/>
        <v>0.38798922046134177</v>
      </c>
      <c r="K451" s="249">
        <f t="shared" si="100"/>
        <v>0.12135047458848969</v>
      </c>
      <c r="L451" s="250">
        <f t="shared" si="90"/>
        <v>135.9363702096891</v>
      </c>
      <c r="M451" s="250">
        <f t="shared" si="91"/>
        <v>138.79892204613444</v>
      </c>
      <c r="N451" s="250">
        <f t="shared" si="92"/>
        <v>112.13504745884897</v>
      </c>
      <c r="O451" s="248">
        <f t="shared" si="93"/>
        <v>-2.0623732477503709E-2</v>
      </c>
      <c r="P451" s="247">
        <f t="shared" si="94"/>
        <v>0.21225587619762121</v>
      </c>
      <c r="Q451" s="251">
        <f t="shared" si="101"/>
        <v>1.3593637020968881</v>
      </c>
      <c r="R451" s="251">
        <f t="shared" si="102"/>
        <v>1.532843873407862</v>
      </c>
      <c r="S451" s="251">
        <f t="shared" si="103"/>
        <v>-0.11317536920788152</v>
      </c>
      <c r="T451" s="252">
        <f>C451*'1. Share_Price_Analysis'!$E$11+T450*(1-'1. Share_Price_Analysis'!$E$11)</f>
        <v>243.42192106847378</v>
      </c>
      <c r="U451" s="253">
        <f t="shared" si="104"/>
        <v>245.34247289158498</v>
      </c>
    </row>
    <row r="452" spans="2:21" x14ac:dyDescent="0.2">
      <c r="B452" s="245">
        <v>45554</v>
      </c>
      <c r="C452" s="246">
        <v>253.67</v>
      </c>
      <c r="D452" s="246">
        <v>570.98</v>
      </c>
      <c r="E452" s="246">
        <v>47.37</v>
      </c>
      <c r="F452" s="248">
        <f t="shared" si="95"/>
        <v>3.79296235679214E-2</v>
      </c>
      <c r="G452" s="248">
        <f t="shared" si="96"/>
        <v>1.7064481653010333E-2</v>
      </c>
      <c r="H452" s="248">
        <f t="shared" si="97"/>
        <v>1.5107682417229151E-2</v>
      </c>
      <c r="I452" s="249">
        <f t="shared" si="98"/>
        <v>0.4109238556093191</v>
      </c>
      <c r="J452" s="249">
        <f t="shared" si="99"/>
        <v>0.41167453704848045</v>
      </c>
      <c r="K452" s="249">
        <f t="shared" si="100"/>
        <v>0.13829148143698178</v>
      </c>
      <c r="L452" s="250">
        <f t="shared" si="90"/>
        <v>141.0923855609322</v>
      </c>
      <c r="M452" s="250">
        <f t="shared" si="91"/>
        <v>141.1674537048483</v>
      </c>
      <c r="N452" s="250">
        <f t="shared" si="92"/>
        <v>113.82914814369818</v>
      </c>
      <c r="O452" s="248">
        <f t="shared" si="93"/>
        <v>-5.3176664979082133E-4</v>
      </c>
      <c r="P452" s="247">
        <f t="shared" si="94"/>
        <v>0.23951015940852471</v>
      </c>
      <c r="Q452" s="251">
        <f t="shared" si="101"/>
        <v>1.4109238556093191</v>
      </c>
      <c r="R452" s="251">
        <f t="shared" si="102"/>
        <v>1.532843873407862</v>
      </c>
      <c r="S452" s="251">
        <f t="shared" si="103"/>
        <v>-7.9538444791175555E-2</v>
      </c>
      <c r="T452" s="252">
        <f>C452*'1. Share_Price_Analysis'!$E$11+T451*(1-'1. Share_Price_Analysis'!$E$11)</f>
        <v>243.52389200311583</v>
      </c>
      <c r="U452" s="253">
        <f t="shared" si="104"/>
        <v>245.66904258211105</v>
      </c>
    </row>
    <row r="453" spans="2:21" x14ac:dyDescent="0.2">
      <c r="B453" s="245">
        <v>45555</v>
      </c>
      <c r="C453" s="246">
        <v>252.05</v>
      </c>
      <c r="D453" s="246">
        <v>568.25</v>
      </c>
      <c r="E453" s="246">
        <v>47.034999999999997</v>
      </c>
      <c r="F453" s="248">
        <f t="shared" si="95"/>
        <v>-6.3862498521700672E-3</v>
      </c>
      <c r="G453" s="248">
        <f t="shared" si="96"/>
        <v>-4.7812532838278354E-3</v>
      </c>
      <c r="H453" s="248">
        <f t="shared" si="97"/>
        <v>-7.0719864893392659E-3</v>
      </c>
      <c r="I453" s="249">
        <f t="shared" si="98"/>
        <v>0.40191334334501083</v>
      </c>
      <c r="J453" s="249">
        <f t="shared" si="99"/>
        <v>0.40492496353252116</v>
      </c>
      <c r="K453" s="249">
        <f t="shared" si="100"/>
        <v>0.1302414994593295</v>
      </c>
      <c r="L453" s="250">
        <f t="shared" si="90"/>
        <v>140.19133433450136</v>
      </c>
      <c r="M453" s="250">
        <f t="shared" si="91"/>
        <v>140.49249635325239</v>
      </c>
      <c r="N453" s="250">
        <f t="shared" si="92"/>
        <v>113.02414994593295</v>
      </c>
      <c r="O453" s="248">
        <f t="shared" si="93"/>
        <v>-2.1436163963789445E-3</v>
      </c>
      <c r="P453" s="247">
        <f t="shared" si="94"/>
        <v>0.24036619077926291</v>
      </c>
      <c r="Q453" s="251">
        <f t="shared" si="101"/>
        <v>1.4019133433450108</v>
      </c>
      <c r="R453" s="251">
        <f t="shared" si="102"/>
        <v>1.532843873407862</v>
      </c>
      <c r="S453" s="251">
        <f t="shared" si="103"/>
        <v>-8.5416742262056089E-2</v>
      </c>
      <c r="T453" s="252">
        <f>C453*'1. Share_Price_Analysis'!$E$11+T452*(1-'1. Share_Price_Analysis'!$E$11)</f>
        <v>243.60872889860721</v>
      </c>
      <c r="U453" s="253">
        <f t="shared" si="104"/>
        <v>245.91927620634198</v>
      </c>
    </row>
    <row r="454" spans="2:21" x14ac:dyDescent="0.2">
      <c r="B454" s="245">
        <v>45558</v>
      </c>
      <c r="C454" s="246">
        <v>252.33</v>
      </c>
      <c r="D454" s="246">
        <v>569.66999999999996</v>
      </c>
      <c r="E454" s="246">
        <v>47.234999999999999</v>
      </c>
      <c r="F454" s="248">
        <f t="shared" si="95"/>
        <v>1.1108906962904452E-3</v>
      </c>
      <c r="G454" s="248">
        <f t="shared" si="96"/>
        <v>2.4989001319841719E-3</v>
      </c>
      <c r="H454" s="248">
        <f t="shared" si="97"/>
        <v>4.2521526522802944E-3</v>
      </c>
      <c r="I454" s="249">
        <f t="shared" si="98"/>
        <v>0.40347071583513827</v>
      </c>
      <c r="J454" s="249">
        <f t="shared" si="99"/>
        <v>0.40843573070932049</v>
      </c>
      <c r="K454" s="249">
        <f t="shared" si="100"/>
        <v>0.13504745884897273</v>
      </c>
      <c r="L454" s="250">
        <f t="shared" si="90"/>
        <v>140.34707158351412</v>
      </c>
      <c r="M454" s="250">
        <f t="shared" si="91"/>
        <v>140.84357307093231</v>
      </c>
      <c r="N454" s="250">
        <f t="shared" si="92"/>
        <v>113.50474588489728</v>
      </c>
      <c r="O454" s="248">
        <f t="shared" si="93"/>
        <v>-3.5251980377419834E-3</v>
      </c>
      <c r="P454" s="247">
        <f t="shared" si="94"/>
        <v>0.236486373229158</v>
      </c>
      <c r="Q454" s="251">
        <f t="shared" si="101"/>
        <v>1.4034707158351383</v>
      </c>
      <c r="R454" s="251">
        <f t="shared" si="102"/>
        <v>1.532843873407862</v>
      </c>
      <c r="S454" s="251">
        <f t="shared" si="103"/>
        <v>-8.4400740230052063E-2</v>
      </c>
      <c r="T454" s="252">
        <f>C454*'1. Share_Price_Analysis'!$E$11+T453*(1-'1. Share_Price_Analysis'!$E$11)</f>
        <v>243.69550771553648</v>
      </c>
      <c r="U454" s="253">
        <f t="shared" si="104"/>
        <v>246.17067713942663</v>
      </c>
    </row>
    <row r="455" spans="2:21" x14ac:dyDescent="0.2">
      <c r="B455" s="245">
        <v>45559</v>
      </c>
      <c r="C455" s="246">
        <v>249.87</v>
      </c>
      <c r="D455" s="246">
        <v>571.29999999999995</v>
      </c>
      <c r="E455" s="246">
        <v>47.88</v>
      </c>
      <c r="F455" s="248">
        <f t="shared" si="95"/>
        <v>-9.7491380335275046E-3</v>
      </c>
      <c r="G455" s="248">
        <f t="shared" si="96"/>
        <v>2.8613056681938698E-3</v>
      </c>
      <c r="H455" s="248">
        <f t="shared" si="97"/>
        <v>1.3655128612257927E-2</v>
      </c>
      <c r="I455" s="249">
        <f t="shared" si="98"/>
        <v>0.38978808610044791</v>
      </c>
      <c r="J455" s="249">
        <f t="shared" si="99"/>
        <v>0.41246569584888593</v>
      </c>
      <c r="K455" s="249">
        <f t="shared" si="100"/>
        <v>0.15054667788057197</v>
      </c>
      <c r="L455" s="250">
        <f t="shared" si="90"/>
        <v>138.97880861004506</v>
      </c>
      <c r="M455" s="250">
        <f t="shared" si="91"/>
        <v>141.24656958488885</v>
      </c>
      <c r="N455" s="250">
        <f t="shared" si="92"/>
        <v>115.0546677880572</v>
      </c>
      <c r="O455" s="248">
        <f t="shared" si="93"/>
        <v>-1.6055334876511007E-2</v>
      </c>
      <c r="P455" s="247">
        <f t="shared" si="94"/>
        <v>0.20793715962970216</v>
      </c>
      <c r="Q455" s="251">
        <f t="shared" si="101"/>
        <v>1.3897880861004479</v>
      </c>
      <c r="R455" s="251">
        <f t="shared" si="102"/>
        <v>1.532843873407862</v>
      </c>
      <c r="S455" s="251">
        <f t="shared" si="103"/>
        <v>-9.3327043796944786E-2</v>
      </c>
      <c r="T455" s="252">
        <f>C455*'1. Share_Price_Analysis'!$E$11+T454*(1-'1. Share_Price_Analysis'!$E$11)</f>
        <v>243.75694544971026</v>
      </c>
      <c r="U455" s="253">
        <f t="shared" si="104"/>
        <v>246.31574862415502</v>
      </c>
    </row>
    <row r="456" spans="2:21" x14ac:dyDescent="0.2">
      <c r="B456" s="245">
        <v>45560</v>
      </c>
      <c r="C456" s="246">
        <v>249.63</v>
      </c>
      <c r="D456" s="246">
        <v>570.04</v>
      </c>
      <c r="E456" s="246">
        <v>47.56</v>
      </c>
      <c r="F456" s="248">
        <f t="shared" si="95"/>
        <v>-9.6049945971909967E-4</v>
      </c>
      <c r="G456" s="248">
        <f t="shared" si="96"/>
        <v>-2.205496236653226E-3</v>
      </c>
      <c r="H456" s="248">
        <f t="shared" si="97"/>
        <v>-6.6833751044277356E-3</v>
      </c>
      <c r="I456" s="249">
        <f t="shared" si="98"/>
        <v>0.38845319539462442</v>
      </c>
      <c r="J456" s="249">
        <f t="shared" si="99"/>
        <v>0.40935050807228945</v>
      </c>
      <c r="K456" s="249">
        <f t="shared" si="100"/>
        <v>0.14285714285714302</v>
      </c>
      <c r="L456" s="250">
        <f t="shared" si="90"/>
        <v>138.84531953946271</v>
      </c>
      <c r="M456" s="250">
        <f t="shared" si="91"/>
        <v>140.9350508072292</v>
      </c>
      <c r="N456" s="250">
        <f t="shared" si="92"/>
        <v>114.28571428571428</v>
      </c>
      <c r="O456" s="248">
        <f t="shared" si="93"/>
        <v>-1.48276192174851E-2</v>
      </c>
      <c r="P456" s="247">
        <f t="shared" si="94"/>
        <v>0.21489654597029628</v>
      </c>
      <c r="Q456" s="251">
        <f t="shared" si="101"/>
        <v>1.3884531953946244</v>
      </c>
      <c r="R456" s="251">
        <f t="shared" si="102"/>
        <v>1.532843873407862</v>
      </c>
      <c r="S456" s="251">
        <f t="shared" si="103"/>
        <v>-9.419790268151973E-2</v>
      </c>
      <c r="T456" s="252">
        <f>C456*'1. Share_Price_Analysis'!$E$11+T455*(1-'1. Share_Price_Analysis'!$E$11)</f>
        <v>243.81538380344449</v>
      </c>
      <c r="U456" s="253">
        <f t="shared" si="104"/>
        <v>246.44571926634501</v>
      </c>
    </row>
    <row r="457" spans="2:21" x14ac:dyDescent="0.2">
      <c r="B457" s="245">
        <v>45561</v>
      </c>
      <c r="C457" s="246">
        <v>250.58</v>
      </c>
      <c r="D457" s="246">
        <v>572.29999999999995</v>
      </c>
      <c r="E457" s="246">
        <v>48.545000000000002</v>
      </c>
      <c r="F457" s="248">
        <f t="shared" si="95"/>
        <v>3.8056323358570676E-3</v>
      </c>
      <c r="G457" s="248">
        <f t="shared" si="96"/>
        <v>3.9646340607677466E-3</v>
      </c>
      <c r="H457" s="248">
        <f t="shared" si="97"/>
        <v>2.0710681244743512E-2</v>
      </c>
      <c r="I457" s="249">
        <f t="shared" si="98"/>
        <v>0.39373713777184238</v>
      </c>
      <c r="J457" s="249">
        <f t="shared" si="99"/>
        <v>0.41493806710015324</v>
      </c>
      <c r="K457" s="249">
        <f t="shared" si="100"/>
        <v>0.16652649285113563</v>
      </c>
      <c r="L457" s="250">
        <f t="shared" si="90"/>
        <v>139.37371377718449</v>
      </c>
      <c r="M457" s="250">
        <f t="shared" si="91"/>
        <v>141.49380671001555</v>
      </c>
      <c r="N457" s="250">
        <f t="shared" si="92"/>
        <v>116.65264928511354</v>
      </c>
      <c r="O457" s="248">
        <f t="shared" si="93"/>
        <v>-1.4983644741257907E-2</v>
      </c>
      <c r="P457" s="247">
        <f t="shared" si="94"/>
        <v>0.19477538342517686</v>
      </c>
      <c r="Q457" s="251">
        <f t="shared" si="101"/>
        <v>1.3937371377718424</v>
      </c>
      <c r="R457" s="251">
        <f t="shared" si="102"/>
        <v>1.532843873407862</v>
      </c>
      <c r="S457" s="251">
        <f t="shared" si="103"/>
        <v>-9.0750752930077283E-2</v>
      </c>
      <c r="T457" s="252">
        <f>C457*'1. Share_Price_Analysis'!$E$11+T456*(1-'1. Share_Price_Analysis'!$E$11)</f>
        <v>243.88269341734059</v>
      </c>
      <c r="U457" s="253">
        <f t="shared" si="104"/>
        <v>246.60784792256678</v>
      </c>
    </row>
    <row r="458" spans="2:21" x14ac:dyDescent="0.2">
      <c r="B458" s="245">
        <v>45562</v>
      </c>
      <c r="C458" s="246">
        <v>250.24</v>
      </c>
      <c r="D458" s="246">
        <v>571.47</v>
      </c>
      <c r="E458" s="246">
        <v>48.46</v>
      </c>
      <c r="F458" s="248">
        <f t="shared" si="95"/>
        <v>-1.3568521031207537E-3</v>
      </c>
      <c r="G458" s="248">
        <f t="shared" si="96"/>
        <v>-1.450288310326675E-3</v>
      </c>
      <c r="H458" s="248">
        <f t="shared" si="97"/>
        <v>-1.7509527242764999E-3</v>
      </c>
      <c r="I458" s="249">
        <f t="shared" si="98"/>
        <v>0.39184604260525924</v>
      </c>
      <c r="J458" s="249">
        <f t="shared" si="99"/>
        <v>0.41288599896160161</v>
      </c>
      <c r="K458" s="249">
        <f t="shared" si="100"/>
        <v>0.16448396011053723</v>
      </c>
      <c r="L458" s="250">
        <f t="shared" si="90"/>
        <v>139.18460426052619</v>
      </c>
      <c r="M458" s="250">
        <f t="shared" si="91"/>
        <v>141.28859989616041</v>
      </c>
      <c r="N458" s="250">
        <f t="shared" si="92"/>
        <v>116.4483960110537</v>
      </c>
      <c r="O458" s="248">
        <f t="shared" si="93"/>
        <v>-1.4891474876108646E-2</v>
      </c>
      <c r="P458" s="247">
        <f t="shared" si="94"/>
        <v>0.1952470710486558</v>
      </c>
      <c r="Q458" s="251">
        <f t="shared" si="101"/>
        <v>1.3918460426052592</v>
      </c>
      <c r="R458" s="251">
        <f t="shared" si="102"/>
        <v>1.532843873407862</v>
      </c>
      <c r="S458" s="251">
        <f t="shared" si="103"/>
        <v>-9.1984469683225045E-2</v>
      </c>
      <c r="T458" s="252">
        <f>C458*'1. Share_Price_Analysis'!$E$11+T457*(1-'1. Share_Price_Analysis'!$E$11)</f>
        <v>243.94595019925762</v>
      </c>
      <c r="U458" s="253">
        <f t="shared" si="104"/>
        <v>246.75028525893671</v>
      </c>
    </row>
    <row r="459" spans="2:21" x14ac:dyDescent="0.2">
      <c r="B459" s="245">
        <v>45565</v>
      </c>
      <c r="C459" s="246">
        <v>250.43</v>
      </c>
      <c r="D459" s="246">
        <v>573.76</v>
      </c>
      <c r="E459" s="246">
        <v>48.19</v>
      </c>
      <c r="F459" s="248">
        <f t="shared" si="95"/>
        <v>7.5927109974416318E-4</v>
      </c>
      <c r="G459" s="248">
        <f t="shared" si="96"/>
        <v>4.007209477312923E-3</v>
      </c>
      <c r="H459" s="248">
        <f t="shared" si="97"/>
        <v>-5.5716054477920052E-3</v>
      </c>
      <c r="I459" s="249">
        <f t="shared" si="98"/>
        <v>0.39290283108070279</v>
      </c>
      <c r="J459" s="249">
        <f t="shared" si="99"/>
        <v>0.41854772912700322</v>
      </c>
      <c r="K459" s="249">
        <f t="shared" si="100"/>
        <v>0.15799591493451892</v>
      </c>
      <c r="L459" s="250">
        <f t="shared" si="90"/>
        <v>139.29028310807055</v>
      </c>
      <c r="M459" s="250">
        <f t="shared" si="91"/>
        <v>141.85477291270055</v>
      </c>
      <c r="N459" s="250">
        <f t="shared" si="92"/>
        <v>115.79959149345187</v>
      </c>
      <c r="O459" s="248">
        <f t="shared" si="93"/>
        <v>-1.8078276479341793E-2</v>
      </c>
      <c r="P459" s="247">
        <f t="shared" si="94"/>
        <v>0.20285642903970613</v>
      </c>
      <c r="Q459" s="251">
        <f t="shared" si="101"/>
        <v>1.3929028310807028</v>
      </c>
      <c r="R459" s="251">
        <f t="shared" si="102"/>
        <v>1.532843873407862</v>
      </c>
      <c r="S459" s="251">
        <f t="shared" si="103"/>
        <v>-9.1295039732936623E-2</v>
      </c>
      <c r="T459" s="252">
        <f>C459*'1. Share_Price_Analysis'!$E$11+T458*(1-'1. Share_Price_Analysis'!$E$11)</f>
        <v>244.01046810772272</v>
      </c>
      <c r="U459" s="253">
        <f t="shared" si="104"/>
        <v>246.89458779780193</v>
      </c>
    </row>
    <row r="460" spans="2:21" x14ac:dyDescent="0.2">
      <c r="B460" s="245">
        <v>45566</v>
      </c>
      <c r="C460" s="246">
        <v>247.49</v>
      </c>
      <c r="D460" s="246">
        <v>568.62</v>
      </c>
      <c r="E460" s="246">
        <v>48.07</v>
      </c>
      <c r="F460" s="248">
        <f t="shared" si="95"/>
        <v>-1.1739807531046642E-2</v>
      </c>
      <c r="G460" s="248">
        <f t="shared" si="96"/>
        <v>-8.9584495259341645E-3</v>
      </c>
      <c r="H460" s="248">
        <f t="shared" si="97"/>
        <v>-2.490143183232929E-3</v>
      </c>
      <c r="I460" s="249">
        <f t="shared" si="98"/>
        <v>0.37655041993436544</v>
      </c>
      <c r="J460" s="249">
        <f t="shared" si="99"/>
        <v>0.40583974089549035</v>
      </c>
      <c r="K460" s="249">
        <f t="shared" si="100"/>
        <v>0.1551123393007332</v>
      </c>
      <c r="L460" s="250">
        <f t="shared" si="90"/>
        <v>137.65504199343678</v>
      </c>
      <c r="M460" s="250">
        <f t="shared" si="91"/>
        <v>140.58397408954929</v>
      </c>
      <c r="N460" s="250">
        <f t="shared" si="92"/>
        <v>115.51123393007327</v>
      </c>
      <c r="O460" s="248">
        <f t="shared" si="93"/>
        <v>-2.0834039691087547E-2</v>
      </c>
      <c r="P460" s="247">
        <f t="shared" si="94"/>
        <v>0.19170263627145001</v>
      </c>
      <c r="Q460" s="251">
        <f t="shared" si="101"/>
        <v>1.3765504199343654</v>
      </c>
      <c r="R460" s="251">
        <f t="shared" si="102"/>
        <v>1.532843873407862</v>
      </c>
      <c r="S460" s="251">
        <f t="shared" si="103"/>
        <v>-0.10196306106897923</v>
      </c>
      <c r="T460" s="252">
        <f>C460*'1. Share_Price_Analysis'!$E$11+T459*(1-'1. Share_Price_Analysis'!$E$11)</f>
        <v>244.0450903156061</v>
      </c>
      <c r="U460" s="253">
        <f t="shared" si="104"/>
        <v>246.91793729592737</v>
      </c>
    </row>
    <row r="461" spans="2:21" x14ac:dyDescent="0.2">
      <c r="B461" s="245">
        <v>45567</v>
      </c>
      <c r="C461" s="246">
        <v>240.46</v>
      </c>
      <c r="D461" s="246">
        <v>568.86</v>
      </c>
      <c r="E461" s="246">
        <v>47.884999999999998</v>
      </c>
      <c r="F461" s="248">
        <f t="shared" si="95"/>
        <v>-2.840518808840764E-2</v>
      </c>
      <c r="G461" s="248">
        <f t="shared" si="96"/>
        <v>4.2207449614850567E-4</v>
      </c>
      <c r="H461" s="248">
        <f t="shared" si="97"/>
        <v>-3.8485541918036326E-3</v>
      </c>
      <c r="I461" s="249">
        <f t="shared" si="98"/>
        <v>0.33744924634295326</v>
      </c>
      <c r="J461" s="249">
        <f t="shared" si="99"/>
        <v>0.40643310999579429</v>
      </c>
      <c r="K461" s="249">
        <f t="shared" si="100"/>
        <v>0.1506668268653133</v>
      </c>
      <c r="L461" s="250">
        <f t="shared" si="90"/>
        <v>133.74492463429556</v>
      </c>
      <c r="M461" s="250">
        <f t="shared" si="91"/>
        <v>140.64331099957968</v>
      </c>
      <c r="N461" s="250">
        <f t="shared" si="92"/>
        <v>115.06668268653128</v>
      </c>
      <c r="O461" s="248">
        <f t="shared" si="93"/>
        <v>-4.9048805209831348E-2</v>
      </c>
      <c r="P461" s="247">
        <f t="shared" si="94"/>
        <v>0.16232537092120669</v>
      </c>
      <c r="Q461" s="251">
        <f t="shared" si="101"/>
        <v>1.3374492463429533</v>
      </c>
      <c r="R461" s="251">
        <f t="shared" si="102"/>
        <v>1.532843873407862</v>
      </c>
      <c r="S461" s="251">
        <f t="shared" si="103"/>
        <v>-0.12747196922965276</v>
      </c>
      <c r="T461" s="252">
        <f>C461*'1. Share_Price_Analysis'!$E$11+T460*(1-'1. Share_Price_Analysis'!$E$11)</f>
        <v>244.00941777515234</v>
      </c>
      <c r="U461" s="253">
        <f t="shared" si="104"/>
        <v>246.66468485294985</v>
      </c>
    </row>
    <row r="462" spans="2:21" x14ac:dyDescent="0.2">
      <c r="B462" s="245">
        <v>45568</v>
      </c>
      <c r="C462" s="246">
        <v>241.1</v>
      </c>
      <c r="D462" s="246">
        <v>567.82000000000005</v>
      </c>
      <c r="E462" s="246">
        <v>47.354999999999997</v>
      </c>
      <c r="F462" s="248">
        <f t="shared" si="95"/>
        <v>2.6615653331114597E-3</v>
      </c>
      <c r="G462" s="248">
        <f t="shared" si="96"/>
        <v>-1.828217839187074E-3</v>
      </c>
      <c r="H462" s="248">
        <f t="shared" si="97"/>
        <v>-1.106818419129163E-2</v>
      </c>
      <c r="I462" s="249">
        <f t="shared" si="98"/>
        <v>0.34100895489181582</v>
      </c>
      <c r="J462" s="249">
        <f t="shared" si="99"/>
        <v>0.40386184389447655</v>
      </c>
      <c r="K462" s="249">
        <f t="shared" si="100"/>
        <v>0.1379310344827589</v>
      </c>
      <c r="L462" s="250">
        <f t="shared" si="90"/>
        <v>134.10089548918182</v>
      </c>
      <c r="M462" s="250">
        <f t="shared" si="91"/>
        <v>140.38618438944792</v>
      </c>
      <c r="N462" s="250">
        <f t="shared" si="92"/>
        <v>113.79310344827584</v>
      </c>
      <c r="O462" s="248">
        <f t="shared" si="93"/>
        <v>-4.4771420546839247E-2</v>
      </c>
      <c r="P462" s="247">
        <f t="shared" si="94"/>
        <v>0.17846241490492876</v>
      </c>
      <c r="Q462" s="251">
        <f t="shared" si="101"/>
        <v>1.3410089548918158</v>
      </c>
      <c r="R462" s="251">
        <f t="shared" si="102"/>
        <v>1.532843873407862</v>
      </c>
      <c r="S462" s="251">
        <f t="shared" si="103"/>
        <v>-0.12514967887078632</v>
      </c>
      <c r="T462" s="252">
        <f>C462*'1. Share_Price_Analysis'!$E$11+T461*(1-'1. Share_Price_Analysis'!$E$11)</f>
        <v>243.98046834455383</v>
      </c>
      <c r="U462" s="253">
        <f t="shared" si="104"/>
        <v>246.44646191754006</v>
      </c>
    </row>
    <row r="463" spans="2:21" x14ac:dyDescent="0.2">
      <c r="B463" s="245">
        <v>45569</v>
      </c>
      <c r="C463" s="246">
        <v>241.43</v>
      </c>
      <c r="D463" s="246">
        <v>572.98</v>
      </c>
      <c r="E463" s="246">
        <v>47.585000000000001</v>
      </c>
      <c r="F463" s="248">
        <f t="shared" si="95"/>
        <v>1.3687266694317746E-3</v>
      </c>
      <c r="G463" s="248">
        <f t="shared" si="96"/>
        <v>9.087386847944634E-3</v>
      </c>
      <c r="H463" s="248">
        <f t="shared" si="97"/>
        <v>4.856931686200161E-3</v>
      </c>
      <c r="I463" s="249">
        <f t="shared" si="98"/>
        <v>0.34284442961232298</v>
      </c>
      <c r="J463" s="249">
        <f t="shared" si="99"/>
        <v>0.41661927955101441</v>
      </c>
      <c r="K463" s="249">
        <f t="shared" si="100"/>
        <v>0.14345788778084878</v>
      </c>
      <c r="L463" s="250">
        <f t="shared" si="90"/>
        <v>134.28444296123257</v>
      </c>
      <c r="M463" s="250">
        <f t="shared" si="91"/>
        <v>141.66192795510173</v>
      </c>
      <c r="N463" s="250">
        <f t="shared" si="92"/>
        <v>114.34578877808481</v>
      </c>
      <c r="O463" s="248">
        <f t="shared" si="93"/>
        <v>-5.2078106661144541E-2</v>
      </c>
      <c r="P463" s="247">
        <f t="shared" si="94"/>
        <v>0.17437156537389509</v>
      </c>
      <c r="Q463" s="251">
        <f t="shared" si="101"/>
        <v>1.342844429612323</v>
      </c>
      <c r="R463" s="251">
        <f t="shared" si="102"/>
        <v>1.532843873407862</v>
      </c>
      <c r="S463" s="251">
        <f t="shared" si="103"/>
        <v>-0.12395224790449588</v>
      </c>
      <c r="T463" s="252">
        <f>C463*'1. Share_Price_Analysis'!$E$11+T462*(1-'1. Share_Price_Analysis'!$E$11)</f>
        <v>243.95509055008066</v>
      </c>
      <c r="U463" s="253">
        <f t="shared" si="104"/>
        <v>246.24973792077378</v>
      </c>
    </row>
    <row r="464" spans="2:21" x14ac:dyDescent="0.2">
      <c r="B464" s="245">
        <v>45572</v>
      </c>
      <c r="C464" s="246">
        <v>238.03</v>
      </c>
      <c r="D464" s="246">
        <v>567.79999999999995</v>
      </c>
      <c r="E464" s="246">
        <v>47.445</v>
      </c>
      <c r="F464" s="248">
        <f t="shared" si="95"/>
        <v>-1.408275690676386E-2</v>
      </c>
      <c r="G464" s="248">
        <f t="shared" si="96"/>
        <v>-9.0404551642292441E-3</v>
      </c>
      <c r="H464" s="248">
        <f t="shared" si="97"/>
        <v>-2.9421036040768733E-3</v>
      </c>
      <c r="I464" s="249">
        <f t="shared" si="98"/>
        <v>0.32393347794649063</v>
      </c>
      <c r="J464" s="249">
        <f t="shared" si="99"/>
        <v>0.40381239646945066</v>
      </c>
      <c r="K464" s="249">
        <f t="shared" si="100"/>
        <v>0.14009371620809863</v>
      </c>
      <c r="L464" s="250">
        <f t="shared" si="90"/>
        <v>132.39334779464934</v>
      </c>
      <c r="M464" s="250">
        <f t="shared" si="91"/>
        <v>140.38123964694535</v>
      </c>
      <c r="N464" s="250">
        <f t="shared" si="92"/>
        <v>114.0093716208098</v>
      </c>
      <c r="O464" s="248">
        <f t="shared" si="93"/>
        <v>-5.6901419822088295E-2</v>
      </c>
      <c r="P464" s="247">
        <f t="shared" si="94"/>
        <v>0.16124969300754932</v>
      </c>
      <c r="Q464" s="251">
        <f t="shared" si="101"/>
        <v>1.3239334779464906</v>
      </c>
      <c r="R464" s="251">
        <f t="shared" si="102"/>
        <v>1.532843873407862</v>
      </c>
      <c r="S464" s="251">
        <f t="shared" si="103"/>
        <v>-0.13628941543597384</v>
      </c>
      <c r="T464" s="252">
        <f>C464*'1. Share_Price_Analysis'!$E$11+T463*(1-'1. Share_Price_Analysis'!$E$11)</f>
        <v>243.89613442520422</v>
      </c>
      <c r="U464" s="253">
        <f t="shared" si="104"/>
        <v>245.92739525721404</v>
      </c>
    </row>
    <row r="465" spans="2:21" x14ac:dyDescent="0.2">
      <c r="B465" s="245">
        <v>45573</v>
      </c>
      <c r="C465" s="246">
        <v>238.19</v>
      </c>
      <c r="D465" s="246">
        <v>573.16999999999996</v>
      </c>
      <c r="E465" s="246">
        <v>47.225000000000001</v>
      </c>
      <c r="F465" s="248">
        <f t="shared" si="95"/>
        <v>6.7218417846492962E-4</v>
      </c>
      <c r="G465" s="248">
        <f t="shared" si="96"/>
        <v>9.4575554772806658E-3</v>
      </c>
      <c r="H465" s="248">
        <f t="shared" si="97"/>
        <v>-4.6369480451048384E-3</v>
      </c>
      <c r="I465" s="249">
        <f t="shared" si="98"/>
        <v>0.32482340508370622</v>
      </c>
      <c r="J465" s="249">
        <f t="shared" si="99"/>
        <v>0.41708903008875486</v>
      </c>
      <c r="K465" s="249">
        <f t="shared" si="100"/>
        <v>0.13480716087949118</v>
      </c>
      <c r="L465" s="250">
        <f t="shared" si="90"/>
        <v>132.4823405083709</v>
      </c>
      <c r="M465" s="250">
        <f t="shared" si="91"/>
        <v>141.70890300887581</v>
      </c>
      <c r="N465" s="250">
        <f t="shared" si="92"/>
        <v>113.48071608794905</v>
      </c>
      <c r="O465" s="248">
        <f t="shared" si="93"/>
        <v>-6.5109264870443551E-2</v>
      </c>
      <c r="P465" s="247">
        <f t="shared" si="94"/>
        <v>0.16744364219287244</v>
      </c>
      <c r="Q465" s="251">
        <f t="shared" si="101"/>
        <v>1.3248234050837062</v>
      </c>
      <c r="R465" s="251">
        <f t="shared" si="102"/>
        <v>1.532843873407862</v>
      </c>
      <c r="S465" s="251">
        <f t="shared" si="103"/>
        <v>-0.13570884284625728</v>
      </c>
      <c r="T465" s="252">
        <f>C465*'1. Share_Price_Analysis'!$E$11+T464*(1-'1. Share_Price_Analysis'!$E$11)</f>
        <v>243.83935696823704</v>
      </c>
      <c r="U465" s="253">
        <f t="shared" si="104"/>
        <v>245.62396799222526</v>
      </c>
    </row>
    <row r="466" spans="2:21" x14ac:dyDescent="0.2">
      <c r="B466" s="245">
        <v>45574</v>
      </c>
      <c r="C466" s="246">
        <v>241.64</v>
      </c>
      <c r="D466" s="246">
        <v>577.14</v>
      </c>
      <c r="E466" s="246">
        <v>47.524999999999999</v>
      </c>
      <c r="F466" s="248">
        <f t="shared" si="95"/>
        <v>1.4484235274360824E-2</v>
      </c>
      <c r="G466" s="248">
        <f t="shared" si="96"/>
        <v>6.9263918209256925E-3</v>
      </c>
      <c r="H466" s="248">
        <f t="shared" si="97"/>
        <v>6.3525674960296374E-3</v>
      </c>
      <c r="I466" s="249">
        <f t="shared" si="98"/>
        <v>0.3440124589799185</v>
      </c>
      <c r="J466" s="249">
        <f t="shared" si="99"/>
        <v>0.42690434395628518</v>
      </c>
      <c r="K466" s="249">
        <f t="shared" si="100"/>
        <v>0.14201609996395592</v>
      </c>
      <c r="L466" s="250">
        <f t="shared" si="90"/>
        <v>134.40124589799208</v>
      </c>
      <c r="M466" s="250">
        <f t="shared" si="91"/>
        <v>142.69043439562884</v>
      </c>
      <c r="N466" s="250">
        <f t="shared" si="92"/>
        <v>114.20160999639552</v>
      </c>
      <c r="O466" s="248">
        <f t="shared" si="93"/>
        <v>-5.8092110608155889E-2</v>
      </c>
      <c r="P466" s="247">
        <f t="shared" si="94"/>
        <v>0.17687698012518216</v>
      </c>
      <c r="Q466" s="251">
        <f t="shared" si="101"/>
        <v>1.3440124589799185</v>
      </c>
      <c r="R466" s="251">
        <f t="shared" si="102"/>
        <v>1.532843873407862</v>
      </c>
      <c r="S466" s="251">
        <f t="shared" si="103"/>
        <v>-0.12319024638049281</v>
      </c>
      <c r="T466" s="252">
        <f>C466*'1. Share_Price_Analysis'!$E$11+T465*(1-'1. Share_Price_Analysis'!$E$11)</f>
        <v>243.81747281929938</v>
      </c>
      <c r="U466" s="253">
        <f t="shared" si="104"/>
        <v>245.46773395331448</v>
      </c>
    </row>
    <row r="467" spans="2:21" x14ac:dyDescent="0.2">
      <c r="B467" s="245">
        <v>45575</v>
      </c>
      <c r="C467" s="246">
        <v>243.9</v>
      </c>
      <c r="D467" s="246">
        <v>576.13</v>
      </c>
      <c r="E467" s="246">
        <v>47.634999999999998</v>
      </c>
      <c r="F467" s="248">
        <f t="shared" si="95"/>
        <v>9.3527561661976844E-3</v>
      </c>
      <c r="G467" s="248">
        <f t="shared" si="96"/>
        <v>-1.7500086634092415E-3</v>
      </c>
      <c r="H467" s="248">
        <f t="shared" si="97"/>
        <v>2.3145712782746131E-3</v>
      </c>
      <c r="I467" s="249">
        <f t="shared" si="98"/>
        <v>0.35658267979308955</v>
      </c>
      <c r="J467" s="249">
        <f t="shared" si="99"/>
        <v>0.42440724899250548</v>
      </c>
      <c r="K467" s="249">
        <f t="shared" si="100"/>
        <v>0.14465937762825964</v>
      </c>
      <c r="L467" s="250">
        <f t="shared" si="90"/>
        <v>135.65826797930919</v>
      </c>
      <c r="M467" s="250">
        <f t="shared" si="91"/>
        <v>142.44072489925085</v>
      </c>
      <c r="N467" s="250">
        <f t="shared" si="92"/>
        <v>114.4659377628259</v>
      </c>
      <c r="O467" s="248">
        <f t="shared" si="93"/>
        <v>-4.7615995528939359E-2</v>
      </c>
      <c r="P467" s="247">
        <f t="shared" si="94"/>
        <v>0.18514093039969337</v>
      </c>
      <c r="Q467" s="251">
        <f t="shared" si="101"/>
        <v>1.3565826797930896</v>
      </c>
      <c r="R467" s="251">
        <f t="shared" si="102"/>
        <v>1.532843873407862</v>
      </c>
      <c r="S467" s="251">
        <f t="shared" si="103"/>
        <v>-0.11498965855074561</v>
      </c>
      <c r="T467" s="252">
        <f>C467*'1. Share_Price_Analysis'!$E$11+T466*(1-'1. Share_Price_Analysis'!$E$11)</f>
        <v>243.81829398527651</v>
      </c>
      <c r="U467" s="253">
        <f t="shared" si="104"/>
        <v>245.4062541904394</v>
      </c>
    </row>
    <row r="468" spans="2:21" x14ac:dyDescent="0.2">
      <c r="B468" s="245">
        <v>45576</v>
      </c>
      <c r="C468" s="246">
        <v>247.51</v>
      </c>
      <c r="D468" s="246">
        <v>579.58000000000004</v>
      </c>
      <c r="E468" s="246">
        <v>47.945</v>
      </c>
      <c r="F468" s="248">
        <f t="shared" si="95"/>
        <v>1.4801148011480025E-2</v>
      </c>
      <c r="G468" s="248">
        <f t="shared" si="96"/>
        <v>5.9882318226789355E-3</v>
      </c>
      <c r="H468" s="248">
        <f t="shared" si="97"/>
        <v>6.5078198803401044E-3</v>
      </c>
      <c r="I468" s="249">
        <f t="shared" si="98"/>
        <v>0.3766616608265172</v>
      </c>
      <c r="J468" s="249">
        <f t="shared" si="99"/>
        <v>0.43293692980937704</v>
      </c>
      <c r="K468" s="249">
        <f t="shared" si="100"/>
        <v>0.1521086146822066</v>
      </c>
      <c r="L468" s="250">
        <f t="shared" si="90"/>
        <v>137.66616608265198</v>
      </c>
      <c r="M468" s="250">
        <f t="shared" si="91"/>
        <v>143.293692980938</v>
      </c>
      <c r="N468" s="250">
        <f t="shared" si="92"/>
        <v>115.2108614682206</v>
      </c>
      <c r="O468" s="248">
        <f t="shared" si="93"/>
        <v>-3.9272676844434584E-2</v>
      </c>
      <c r="P468" s="247">
        <f t="shared" si="94"/>
        <v>0.1949061427739176</v>
      </c>
      <c r="Q468" s="251">
        <f t="shared" si="101"/>
        <v>1.3766616608265172</v>
      </c>
      <c r="R468" s="251">
        <f t="shared" si="102"/>
        <v>1.532843873407862</v>
      </c>
      <c r="S468" s="251">
        <f t="shared" si="103"/>
        <v>-0.1018904894952648</v>
      </c>
      <c r="T468" s="252">
        <f>C468*'1. Share_Price_Analysis'!$E$11+T467*(1-'1. Share_Price_Analysis'!$E$11)</f>
        <v>243.85502737845786</v>
      </c>
      <c r="U468" s="253">
        <f t="shared" si="104"/>
        <v>245.48875402610847</v>
      </c>
    </row>
    <row r="469" spans="2:21" x14ac:dyDescent="0.2">
      <c r="B469" s="245">
        <v>45579</v>
      </c>
      <c r="C469" s="246">
        <v>248.7</v>
      </c>
      <c r="D469" s="246">
        <v>584.32000000000005</v>
      </c>
      <c r="E469" s="246">
        <v>48.22</v>
      </c>
      <c r="F469" s="248">
        <f t="shared" si="95"/>
        <v>4.8078865500382761E-3</v>
      </c>
      <c r="G469" s="248">
        <f t="shared" si="96"/>
        <v>8.178336036440248E-3</v>
      </c>
      <c r="H469" s="248">
        <f t="shared" si="97"/>
        <v>5.7357388674521559E-3</v>
      </c>
      <c r="I469" s="249">
        <f t="shared" si="98"/>
        <v>0.38328049390955843</v>
      </c>
      <c r="J469" s="249">
        <f t="shared" si="99"/>
        <v>0.44465596954038311</v>
      </c>
      <c r="K469" s="249">
        <f t="shared" si="100"/>
        <v>0.1587168088429658</v>
      </c>
      <c r="L469" s="250">
        <f t="shared" si="90"/>
        <v>138.3280493909561</v>
      </c>
      <c r="M469" s="250">
        <f t="shared" si="91"/>
        <v>144.46559695403863</v>
      </c>
      <c r="N469" s="250">
        <f t="shared" si="92"/>
        <v>115.87168088429651</v>
      </c>
      <c r="O469" s="248">
        <f t="shared" si="93"/>
        <v>-4.2484492450026945E-2</v>
      </c>
      <c r="P469" s="247">
        <f t="shared" si="94"/>
        <v>0.19380376926682397</v>
      </c>
      <c r="Q469" s="251">
        <f t="shared" si="101"/>
        <v>1.3832804939095584</v>
      </c>
      <c r="R469" s="251">
        <f t="shared" si="102"/>
        <v>1.532843873407862</v>
      </c>
      <c r="S469" s="251">
        <f t="shared" si="103"/>
        <v>-9.7572480859247634E-2</v>
      </c>
      <c r="T469" s="252">
        <f>C469*'1. Share_Price_Analysis'!$E$11+T468*(1-'1. Share_Price_Analysis'!$E$11)</f>
        <v>243.90323606125929</v>
      </c>
      <c r="U469" s="253">
        <f t="shared" si="104"/>
        <v>245.61468524077088</v>
      </c>
    </row>
    <row r="470" spans="2:21" x14ac:dyDescent="0.2">
      <c r="B470" s="245">
        <v>45580</v>
      </c>
      <c r="C470" s="246">
        <v>252.79</v>
      </c>
      <c r="D470" s="246">
        <v>579.78</v>
      </c>
      <c r="E470" s="246">
        <v>48.17</v>
      </c>
      <c r="F470" s="248">
        <f t="shared" si="95"/>
        <v>1.6445516686771189E-2</v>
      </c>
      <c r="G470" s="248">
        <f t="shared" si="96"/>
        <v>-7.7697152245346235E-3</v>
      </c>
      <c r="H470" s="248">
        <f t="shared" si="97"/>
        <v>-1.0369141435088158E-3</v>
      </c>
      <c r="I470" s="249">
        <f t="shared" si="98"/>
        <v>0.40602925635463327</v>
      </c>
      <c r="J470" s="249">
        <f t="shared" si="99"/>
        <v>0.43343140405963032</v>
      </c>
      <c r="K470" s="249">
        <f t="shared" si="100"/>
        <v>0.15751531899555515</v>
      </c>
      <c r="L470" s="250">
        <f t="shared" si="90"/>
        <v>140.60292563546361</v>
      </c>
      <c r="M470" s="250">
        <f t="shared" si="91"/>
        <v>143.34314040596334</v>
      </c>
      <c r="N470" s="250">
        <f t="shared" si="92"/>
        <v>115.75153189955545</v>
      </c>
      <c r="O470" s="248">
        <f t="shared" si="93"/>
        <v>-1.9116469492290511E-2</v>
      </c>
      <c r="P470" s="247">
        <f t="shared" si="94"/>
        <v>0.21469602456296522</v>
      </c>
      <c r="Q470" s="251">
        <f t="shared" si="101"/>
        <v>1.4060292563546333</v>
      </c>
      <c r="R470" s="251">
        <f t="shared" si="102"/>
        <v>1.532843873407862</v>
      </c>
      <c r="S470" s="251">
        <f t="shared" si="103"/>
        <v>-8.2731594034616718E-2</v>
      </c>
      <c r="T470" s="252">
        <f>C470*'1. Share_Price_Analysis'!$E$11+T469*(1-'1. Share_Price_Analysis'!$E$11)</f>
        <v>243.99166157308755</v>
      </c>
      <c r="U470" s="253">
        <f t="shared" si="104"/>
        <v>245.89607013328967</v>
      </c>
    </row>
    <row r="471" spans="2:21" x14ac:dyDescent="0.2">
      <c r="B471" s="245">
        <v>45581</v>
      </c>
      <c r="C471" s="246">
        <v>256.48</v>
      </c>
      <c r="D471" s="246">
        <v>582.29999999999995</v>
      </c>
      <c r="E471" s="246">
        <v>48.545000000000002</v>
      </c>
      <c r="F471" s="248">
        <f t="shared" si="95"/>
        <v>1.4597096404129983E-2</v>
      </c>
      <c r="G471" s="248">
        <f t="shared" si="96"/>
        <v>4.3464762496119302E-3</v>
      </c>
      <c r="H471" s="248">
        <f t="shared" si="97"/>
        <v>7.7849283786588508E-3</v>
      </c>
      <c r="I471" s="249">
        <f t="shared" si="98"/>
        <v>0.42655320095666904</v>
      </c>
      <c r="J471" s="249">
        <f t="shared" si="99"/>
        <v>0.43966177961282349</v>
      </c>
      <c r="K471" s="249">
        <f t="shared" si="100"/>
        <v>0.16652649285113608</v>
      </c>
      <c r="L471" s="250">
        <f t="shared" si="90"/>
        <v>142.65532009566721</v>
      </c>
      <c r="M471" s="250">
        <f t="shared" si="91"/>
        <v>143.96617796128263</v>
      </c>
      <c r="N471" s="250">
        <f t="shared" si="92"/>
        <v>116.65264928511354</v>
      </c>
      <c r="O471" s="248">
        <f t="shared" si="93"/>
        <v>-9.1053182363983742E-3</v>
      </c>
      <c r="P471" s="247">
        <f t="shared" si="94"/>
        <v>0.22290681754684827</v>
      </c>
      <c r="Q471" s="251">
        <f t="shared" si="101"/>
        <v>1.426553200956669</v>
      </c>
      <c r="R471" s="251">
        <f t="shared" si="102"/>
        <v>1.532843873407862</v>
      </c>
      <c r="S471" s="251">
        <f t="shared" si="103"/>
        <v>-6.934213868427741E-2</v>
      </c>
      <c r="T471" s="252">
        <f>C471*'1. Share_Price_Analysis'!$E$11+T470*(1-'1. Share_Price_Analysis'!$E$11)</f>
        <v>244.1159236469872</v>
      </c>
      <c r="U471" s="253">
        <f t="shared" si="104"/>
        <v>246.31112620649401</v>
      </c>
    </row>
    <row r="472" spans="2:21" x14ac:dyDescent="0.2">
      <c r="B472" s="245">
        <v>45582</v>
      </c>
      <c r="C472" s="246">
        <v>258.64</v>
      </c>
      <c r="D472" s="246">
        <v>582.35</v>
      </c>
      <c r="E472" s="246">
        <v>48.62</v>
      </c>
      <c r="F472" s="248">
        <f t="shared" si="95"/>
        <v>8.4217092950715777E-3</v>
      </c>
      <c r="G472" s="248">
        <f t="shared" si="96"/>
        <v>8.586639189434031E-5</v>
      </c>
      <c r="H472" s="248">
        <f t="shared" si="97"/>
        <v>1.544958286126219E-3</v>
      </c>
      <c r="I472" s="249">
        <f t="shared" si="98"/>
        <v>0.43856721730907999</v>
      </c>
      <c r="J472" s="249">
        <f t="shared" si="99"/>
        <v>0.43978539817538698</v>
      </c>
      <c r="K472" s="249">
        <f t="shared" si="100"/>
        <v>0.16832872762225226</v>
      </c>
      <c r="L472" s="250">
        <f t="shared" si="90"/>
        <v>143.85672173090828</v>
      </c>
      <c r="M472" s="250">
        <f t="shared" si="91"/>
        <v>143.978539817539</v>
      </c>
      <c r="N472" s="250">
        <f t="shared" si="92"/>
        <v>116.83287276222514</v>
      </c>
      <c r="O472" s="248">
        <f t="shared" si="93"/>
        <v>-8.4608502617877779E-4</v>
      </c>
      <c r="P472" s="247">
        <f t="shared" si="94"/>
        <v>0.23130347075930335</v>
      </c>
      <c r="Q472" s="251">
        <f t="shared" si="101"/>
        <v>1.43856721730908</v>
      </c>
      <c r="R472" s="251">
        <f t="shared" si="102"/>
        <v>1.532843873407862</v>
      </c>
      <c r="S472" s="251">
        <f t="shared" si="103"/>
        <v>-6.1504408723103365E-2</v>
      </c>
      <c r="T472" s="252">
        <f>C472*'1. Share_Price_Analysis'!$E$11+T471*(1-'1. Share_Price_Analysis'!$E$11)</f>
        <v>244.26044181965401</v>
      </c>
      <c r="U472" s="253">
        <f t="shared" si="104"/>
        <v>246.79461145329819</v>
      </c>
    </row>
    <row r="473" spans="2:21" x14ac:dyDescent="0.2">
      <c r="B473" s="245">
        <v>45583</v>
      </c>
      <c r="C473" s="246">
        <v>261.72000000000003</v>
      </c>
      <c r="D473" s="246">
        <v>584.59</v>
      </c>
      <c r="E473" s="246">
        <v>48.814999999999998</v>
      </c>
      <c r="F473" s="248">
        <f t="shared" si="95"/>
        <v>1.1908444169502097E-2</v>
      </c>
      <c r="G473" s="248">
        <f t="shared" si="96"/>
        <v>3.8464840731518013E-3</v>
      </c>
      <c r="H473" s="248">
        <f t="shared" si="97"/>
        <v>4.0106951871656804E-3</v>
      </c>
      <c r="I473" s="249">
        <f t="shared" si="98"/>
        <v>0.45569831470048117</v>
      </c>
      <c r="J473" s="249">
        <f t="shared" si="99"/>
        <v>0.4453235097782251</v>
      </c>
      <c r="K473" s="249">
        <f t="shared" si="100"/>
        <v>0.17301453802715416</v>
      </c>
      <c r="L473" s="250">
        <f t="shared" si="90"/>
        <v>145.5698314700484</v>
      </c>
      <c r="M473" s="250">
        <f t="shared" si="91"/>
        <v>144.53235097782283</v>
      </c>
      <c r="N473" s="250">
        <f t="shared" si="92"/>
        <v>117.30145380271534</v>
      </c>
      <c r="O473" s="248">
        <f t="shared" si="93"/>
        <v>7.1781887252688747E-3</v>
      </c>
      <c r="P473" s="247">
        <f t="shared" si="94"/>
        <v>0.24098915018458467</v>
      </c>
      <c r="Q473" s="251">
        <f t="shared" si="101"/>
        <v>1.4556983147004812</v>
      </c>
      <c r="R473" s="251">
        <f t="shared" si="102"/>
        <v>1.532843873407862</v>
      </c>
      <c r="S473" s="251">
        <f t="shared" si="103"/>
        <v>-5.032838637105852E-2</v>
      </c>
      <c r="T473" s="252">
        <f>C473*'1. Share_Price_Analysis'!$E$11+T472*(1-'1. Share_Price_Analysis'!$E$11)</f>
        <v>244.43416876672214</v>
      </c>
      <c r="U473" s="253">
        <f t="shared" si="104"/>
        <v>247.37992080807081</v>
      </c>
    </row>
    <row r="474" spans="2:21" x14ac:dyDescent="0.2">
      <c r="B474" s="245">
        <v>45586</v>
      </c>
      <c r="C474" s="246">
        <v>259.94</v>
      </c>
      <c r="D474" s="246">
        <v>583.63</v>
      </c>
      <c r="E474" s="246">
        <v>48.44</v>
      </c>
      <c r="F474" s="248">
        <f t="shared" si="95"/>
        <v>-6.8011615466911923E-3</v>
      </c>
      <c r="G474" s="248">
        <f t="shared" si="96"/>
        <v>-1.6421765681932099E-3</v>
      </c>
      <c r="H474" s="248">
        <f t="shared" si="97"/>
        <v>-7.682064939055655E-3</v>
      </c>
      <c r="I474" s="249">
        <f t="shared" si="98"/>
        <v>0.44579787529895709</v>
      </c>
      <c r="J474" s="249">
        <f t="shared" si="99"/>
        <v>0.44295003337700845</v>
      </c>
      <c r="K474" s="249">
        <f t="shared" si="100"/>
        <v>0.16400336417157324</v>
      </c>
      <c r="L474" s="250">
        <f t="shared" si="90"/>
        <v>144.57978752989601</v>
      </c>
      <c r="M474" s="250">
        <f t="shared" si="91"/>
        <v>144.29500333770119</v>
      </c>
      <c r="N474" s="250">
        <f t="shared" si="92"/>
        <v>116.40033641715726</v>
      </c>
      <c r="O474" s="248">
        <f t="shared" si="93"/>
        <v>1.9736247659829509E-3</v>
      </c>
      <c r="P474" s="247">
        <f t="shared" si="94"/>
        <v>0.24209080471853994</v>
      </c>
      <c r="Q474" s="251">
        <f t="shared" si="101"/>
        <v>1.4457978752989571</v>
      </c>
      <c r="R474" s="251">
        <f t="shared" si="102"/>
        <v>1.532843873407862</v>
      </c>
      <c r="S474" s="251">
        <f t="shared" si="103"/>
        <v>-5.678725643165583E-2</v>
      </c>
      <c r="T474" s="252">
        <f>C474*'1. Share_Price_Analysis'!$E$11+T473*(1-'1. Share_Price_Analysis'!$E$11)</f>
        <v>244.5884556446652</v>
      </c>
      <c r="U474" s="253">
        <f t="shared" si="104"/>
        <v>247.8724729332445</v>
      </c>
    </row>
    <row r="475" spans="2:21" x14ac:dyDescent="0.2">
      <c r="B475" s="245">
        <v>45587</v>
      </c>
      <c r="C475" s="246">
        <v>253.72</v>
      </c>
      <c r="D475" s="246">
        <v>583.32000000000005</v>
      </c>
      <c r="E475" s="246">
        <v>47.994999999999997</v>
      </c>
      <c r="F475" s="248">
        <f t="shared" si="95"/>
        <v>-2.3928598907440146E-2</v>
      </c>
      <c r="G475" s="248">
        <f t="shared" si="96"/>
        <v>-5.3115843942219687E-4</v>
      </c>
      <c r="H475" s="248">
        <f t="shared" si="97"/>
        <v>-9.186622625928953E-3</v>
      </c>
      <c r="I475" s="249">
        <f t="shared" si="98"/>
        <v>0.41120195783969926</v>
      </c>
      <c r="J475" s="249">
        <f t="shared" si="99"/>
        <v>0.4421835982891158</v>
      </c>
      <c r="K475" s="249">
        <f t="shared" si="100"/>
        <v>0.15331010452961724</v>
      </c>
      <c r="L475" s="250">
        <f t="shared" si="90"/>
        <v>141.12019578397019</v>
      </c>
      <c r="M475" s="250">
        <f t="shared" si="91"/>
        <v>144.2183598289119</v>
      </c>
      <c r="N475" s="250">
        <f t="shared" si="92"/>
        <v>115.33101045296166</v>
      </c>
      <c r="O475" s="248">
        <f t="shared" si="93"/>
        <v>-2.1482452363326354E-2</v>
      </c>
      <c r="P475" s="247">
        <f t="shared" si="94"/>
        <v>0.22361015679756346</v>
      </c>
      <c r="Q475" s="251">
        <f t="shared" si="101"/>
        <v>1.4112019578396993</v>
      </c>
      <c r="R475" s="251">
        <f t="shared" si="102"/>
        <v>1.532843873407862</v>
      </c>
      <c r="S475" s="251">
        <f t="shared" si="103"/>
        <v>-7.9357015856888924E-2</v>
      </c>
      <c r="T475" s="252">
        <f>C475*'1. Share_Price_Analysis'!$E$11+T474*(1-'1. Share_Price_Analysis'!$E$11)</f>
        <v>244.67931678252924</v>
      </c>
      <c r="U475" s="253">
        <f t="shared" si="104"/>
        <v>248.10178772017608</v>
      </c>
    </row>
    <row r="476" spans="2:21" x14ac:dyDescent="0.2">
      <c r="B476" s="245">
        <v>45588</v>
      </c>
      <c r="C476" s="246">
        <v>253.57</v>
      </c>
      <c r="D476" s="246">
        <v>577.99</v>
      </c>
      <c r="E476" s="246">
        <v>47.865000000000002</v>
      </c>
      <c r="F476" s="248">
        <f t="shared" si="95"/>
        <v>-5.9120290083558569E-4</v>
      </c>
      <c r="G476" s="248">
        <f t="shared" si="96"/>
        <v>-9.1373517108963576E-3</v>
      </c>
      <c r="H476" s="248">
        <f t="shared" si="97"/>
        <v>-2.708615480779164E-3</v>
      </c>
      <c r="I476" s="249">
        <f t="shared" si="98"/>
        <v>0.41036765114855966</v>
      </c>
      <c r="J476" s="249">
        <f t="shared" si="99"/>
        <v>0.42900585951986203</v>
      </c>
      <c r="K476" s="249">
        <f t="shared" si="100"/>
        <v>0.15018623092634931</v>
      </c>
      <c r="L476" s="250">
        <f t="shared" si="90"/>
        <v>141.03676511485622</v>
      </c>
      <c r="M476" s="250">
        <f t="shared" si="91"/>
        <v>142.90058595198653</v>
      </c>
      <c r="N476" s="250">
        <f t="shared" si="92"/>
        <v>115.01862309263487</v>
      </c>
      <c r="O476" s="248">
        <f t="shared" si="93"/>
        <v>-1.304277952895494E-2</v>
      </c>
      <c r="P476" s="247">
        <f t="shared" si="94"/>
        <v>0.22620808111453616</v>
      </c>
      <c r="Q476" s="251">
        <f t="shared" si="101"/>
        <v>1.4103676511485597</v>
      </c>
      <c r="R476" s="251">
        <f t="shared" si="102"/>
        <v>1.532843873407862</v>
      </c>
      <c r="S476" s="251">
        <f t="shared" si="103"/>
        <v>-7.9901302659748152E-2</v>
      </c>
      <c r="T476" s="252">
        <f>C476*'1. Share_Price_Analysis'!$E$11+T475*(1-'1. Share_Price_Analysis'!$E$11)</f>
        <v>244.7677812921558</v>
      </c>
      <c r="U476" s="253">
        <f t="shared" si="104"/>
        <v>248.31622741742407</v>
      </c>
    </row>
    <row r="477" spans="2:21" x14ac:dyDescent="0.2">
      <c r="B477" s="245">
        <v>45589</v>
      </c>
      <c r="C477" s="246">
        <v>256.14</v>
      </c>
      <c r="D477" s="246">
        <v>579.24</v>
      </c>
      <c r="E477" s="246">
        <v>47.28</v>
      </c>
      <c r="F477" s="248">
        <f t="shared" si="95"/>
        <v>1.0135268367709171E-2</v>
      </c>
      <c r="G477" s="248">
        <f t="shared" si="96"/>
        <v>2.1626671741725723E-3</v>
      </c>
      <c r="H477" s="248">
        <f t="shared" si="97"/>
        <v>-1.2221874020683199E-2</v>
      </c>
      <c r="I477" s="249">
        <f t="shared" si="98"/>
        <v>0.4246621057900859</v>
      </c>
      <c r="J477" s="249">
        <f t="shared" si="99"/>
        <v>0.4320963235839459</v>
      </c>
      <c r="K477" s="249">
        <f t="shared" si="100"/>
        <v>0.13612879971164293</v>
      </c>
      <c r="L477" s="250">
        <f t="shared" si="90"/>
        <v>142.46621057900884</v>
      </c>
      <c r="M477" s="250">
        <f t="shared" si="91"/>
        <v>143.20963235839491</v>
      </c>
      <c r="N477" s="250">
        <f t="shared" si="92"/>
        <v>113.61287997116425</v>
      </c>
      <c r="O477" s="248">
        <f t="shared" si="93"/>
        <v>-5.1911436901501684E-3</v>
      </c>
      <c r="P477" s="247">
        <f t="shared" si="94"/>
        <v>0.25396179214159043</v>
      </c>
      <c r="Q477" s="251">
        <f t="shared" si="101"/>
        <v>1.4246621057900859</v>
      </c>
      <c r="R477" s="251">
        <f t="shared" si="102"/>
        <v>1.532843873407862</v>
      </c>
      <c r="S477" s="251">
        <f t="shared" si="103"/>
        <v>-7.0575855437425172E-2</v>
      </c>
      <c r="T477" s="252">
        <f>C477*'1. Share_Price_Analysis'!$E$11+T476*(1-'1. Share_Price_Analysis'!$E$11)</f>
        <v>244.88093769720899</v>
      </c>
      <c r="U477" s="253">
        <f t="shared" si="104"/>
        <v>248.62304202850547</v>
      </c>
    </row>
    <row r="478" spans="2:21" x14ac:dyDescent="0.2">
      <c r="B478" s="245">
        <v>45590</v>
      </c>
      <c r="C478" s="246">
        <v>256.54000000000002</v>
      </c>
      <c r="D478" s="246">
        <v>579.04</v>
      </c>
      <c r="E478" s="246">
        <v>46.98</v>
      </c>
      <c r="F478" s="248">
        <f t="shared" si="95"/>
        <v>1.5616459748575284E-3</v>
      </c>
      <c r="G478" s="248">
        <f t="shared" si="96"/>
        <v>-3.4528002209799347E-4</v>
      </c>
      <c r="H478" s="248">
        <f t="shared" si="97"/>
        <v>-6.3451776649746661E-3</v>
      </c>
      <c r="I478" s="249">
        <f t="shared" si="98"/>
        <v>0.42688692363312497</v>
      </c>
      <c r="J478" s="249">
        <f t="shared" si="99"/>
        <v>0.43160184933369239</v>
      </c>
      <c r="K478" s="249">
        <f t="shared" si="100"/>
        <v>0.1289198606271782</v>
      </c>
      <c r="L478" s="250">
        <f t="shared" si="90"/>
        <v>142.68869236331275</v>
      </c>
      <c r="M478" s="250">
        <f t="shared" si="91"/>
        <v>143.16018493336958</v>
      </c>
      <c r="N478" s="250">
        <f t="shared" si="92"/>
        <v>112.89198606271775</v>
      </c>
      <c r="O478" s="248">
        <f t="shared" si="93"/>
        <v>-3.293461588333324E-3</v>
      </c>
      <c r="P478" s="247">
        <f t="shared" si="94"/>
        <v>0.26393996013181087</v>
      </c>
      <c r="Q478" s="251">
        <f t="shared" si="101"/>
        <v>1.426886923633125</v>
      </c>
      <c r="R478" s="251">
        <f t="shared" si="102"/>
        <v>1.532843873407862</v>
      </c>
      <c r="S478" s="251">
        <f t="shared" si="103"/>
        <v>-6.9124423963133674E-2</v>
      </c>
      <c r="T478" s="252">
        <f>C478*'1. Share_Price_Analysis'!$E$11+T477*(1-'1. Share_Price_Analysis'!$E$11)</f>
        <v>244.99694826738605</v>
      </c>
      <c r="U478" s="253">
        <f t="shared" si="104"/>
        <v>248.93351096856409</v>
      </c>
    </row>
    <row r="479" spans="2:21" x14ac:dyDescent="0.2">
      <c r="B479" s="245">
        <v>45593</v>
      </c>
      <c r="C479" s="246">
        <v>258.5</v>
      </c>
      <c r="D479" s="246">
        <v>580.83000000000004</v>
      </c>
      <c r="E479" s="246">
        <v>47.37</v>
      </c>
      <c r="F479" s="248">
        <f t="shared" si="95"/>
        <v>7.6401340921492533E-3</v>
      </c>
      <c r="G479" s="248">
        <f t="shared" si="96"/>
        <v>3.0913235700471553E-3</v>
      </c>
      <c r="H479" s="248">
        <f t="shared" si="97"/>
        <v>8.3014048531289131E-3</v>
      </c>
      <c r="I479" s="249">
        <f t="shared" si="98"/>
        <v>0.43778853106401638</v>
      </c>
      <c r="J479" s="249">
        <f t="shared" si="99"/>
        <v>0.43602739387346068</v>
      </c>
      <c r="K479" s="249">
        <f t="shared" si="100"/>
        <v>0.13829148143698222</v>
      </c>
      <c r="L479" s="250">
        <f t="shared" si="90"/>
        <v>143.77885310640193</v>
      </c>
      <c r="M479" s="250">
        <f t="shared" si="91"/>
        <v>143.60273938734639</v>
      </c>
      <c r="N479" s="250">
        <f t="shared" si="92"/>
        <v>113.82914814369818</v>
      </c>
      <c r="O479" s="248">
        <f t="shared" si="93"/>
        <v>1.2263952610300777E-3</v>
      </c>
      <c r="P479" s="247">
        <f t="shared" si="94"/>
        <v>0.26311103483700693</v>
      </c>
      <c r="Q479" s="251">
        <f t="shared" si="101"/>
        <v>1.4377885310640164</v>
      </c>
      <c r="R479" s="251">
        <f t="shared" si="102"/>
        <v>1.532843873407862</v>
      </c>
      <c r="S479" s="251">
        <f t="shared" si="103"/>
        <v>-6.2012409739105268E-2</v>
      </c>
      <c r="T479" s="252">
        <f>C479*'1. Share_Price_Analysis'!$E$11+T478*(1-'1. Share_Price_Analysis'!$E$11)</f>
        <v>245.13130699109368</v>
      </c>
      <c r="U479" s="253">
        <f t="shared" si="104"/>
        <v>249.30866740116943</v>
      </c>
    </row>
    <row r="480" spans="2:21" x14ac:dyDescent="0.2">
      <c r="B480" s="245">
        <v>45594</v>
      </c>
      <c r="C480" s="246">
        <v>259.55</v>
      </c>
      <c r="D480" s="246">
        <v>581.77</v>
      </c>
      <c r="E480" s="246">
        <v>47.064999999999998</v>
      </c>
      <c r="F480" s="248">
        <f t="shared" si="95"/>
        <v>4.0618955512572441E-3</v>
      </c>
      <c r="G480" s="248">
        <f t="shared" si="96"/>
        <v>1.6183737065922355E-3</v>
      </c>
      <c r="H480" s="248">
        <f t="shared" si="97"/>
        <v>-6.4386742664133134E-3</v>
      </c>
      <c r="I480" s="249">
        <f t="shared" si="98"/>
        <v>0.44362867790199401</v>
      </c>
      <c r="J480" s="249">
        <f t="shared" si="99"/>
        <v>0.43835142284965167</v>
      </c>
      <c r="K480" s="249">
        <f t="shared" si="100"/>
        <v>0.13096239336777638</v>
      </c>
      <c r="L480" s="250">
        <f t="shared" si="90"/>
        <v>144.36286779019969</v>
      </c>
      <c r="M480" s="250">
        <f t="shared" si="91"/>
        <v>143.83514228496551</v>
      </c>
      <c r="N480" s="250">
        <f t="shared" si="92"/>
        <v>113.09623933677759</v>
      </c>
      <c r="O480" s="248">
        <f t="shared" si="93"/>
        <v>3.6689608453872591E-3</v>
      </c>
      <c r="P480" s="247">
        <f t="shared" si="94"/>
        <v>0.27646037248255517</v>
      </c>
      <c r="Q480" s="251">
        <f t="shared" si="101"/>
        <v>1.443628677901994</v>
      </c>
      <c r="R480" s="251">
        <f t="shared" si="102"/>
        <v>1.532843873407862</v>
      </c>
      <c r="S480" s="251">
        <f t="shared" si="103"/>
        <v>-5.8202402119090113E-2</v>
      </c>
      <c r="T480" s="252">
        <f>C480*'1. Share_Price_Analysis'!$E$11+T479*(1-'1. Share_Price_Analysis'!$E$11)</f>
        <v>245.27477657327188</v>
      </c>
      <c r="U480" s="253">
        <f t="shared" si="104"/>
        <v>249.7102882873981</v>
      </c>
    </row>
    <row r="481" spans="2:21" x14ac:dyDescent="0.2">
      <c r="B481" s="245">
        <v>45595</v>
      </c>
      <c r="C481" s="246">
        <v>276.23</v>
      </c>
      <c r="D481" s="246">
        <v>580.01</v>
      </c>
      <c r="E481" s="246">
        <v>47.32</v>
      </c>
      <c r="F481" s="248">
        <f t="shared" si="95"/>
        <v>6.4265074166827141E-2</v>
      </c>
      <c r="G481" s="248">
        <f t="shared" si="96"/>
        <v>-3.0252505285593978E-3</v>
      </c>
      <c r="H481" s="248">
        <f t="shared" si="97"/>
        <v>5.4180388823967807E-3</v>
      </c>
      <c r="I481" s="249">
        <f t="shared" si="98"/>
        <v>0.53640358195672433</v>
      </c>
      <c r="J481" s="249">
        <f t="shared" si="99"/>
        <v>0.43400004944742165</v>
      </c>
      <c r="K481" s="249">
        <f t="shared" si="100"/>
        <v>0.13708999158957158</v>
      </c>
      <c r="L481" s="250">
        <f t="shared" si="90"/>
        <v>153.64035819567275</v>
      </c>
      <c r="M481" s="250">
        <f t="shared" si="91"/>
        <v>143.40000494474251</v>
      </c>
      <c r="N481" s="250">
        <f t="shared" si="92"/>
        <v>113.70899915895708</v>
      </c>
      <c r="O481" s="248">
        <f t="shared" si="93"/>
        <v>7.1411108074063812E-2</v>
      </c>
      <c r="P481" s="247">
        <f t="shared" si="94"/>
        <v>0.35117149330365716</v>
      </c>
      <c r="Q481" s="251">
        <f t="shared" si="101"/>
        <v>1.5364035819567243</v>
      </c>
      <c r="R481" s="251">
        <f t="shared" si="102"/>
        <v>1.5364035819567243</v>
      </c>
      <c r="S481" s="251">
        <f t="shared" si="103"/>
        <v>0</v>
      </c>
      <c r="T481" s="252">
        <f>C481*'1. Share_Price_Analysis'!$E$11+T480*(1-'1. Share_Price_Analysis'!$E$11)</f>
        <v>245.58278874667218</v>
      </c>
      <c r="U481" s="253">
        <f t="shared" si="104"/>
        <v>250.75027698200995</v>
      </c>
    </row>
    <row r="482" spans="2:21" x14ac:dyDescent="0.2">
      <c r="B482" s="245">
        <v>45596</v>
      </c>
      <c r="C482" s="246">
        <v>273.93</v>
      </c>
      <c r="D482" s="246">
        <v>568.64</v>
      </c>
      <c r="E482" s="246">
        <v>46.695</v>
      </c>
      <c r="F482" s="248">
        <f t="shared" si="95"/>
        <v>-8.3263946711074066E-3</v>
      </c>
      <c r="G482" s="248">
        <f t="shared" si="96"/>
        <v>-1.9603110291201875E-2</v>
      </c>
      <c r="H482" s="248">
        <f t="shared" si="97"/>
        <v>-1.3207945900253537E-2</v>
      </c>
      <c r="I482" s="249">
        <f t="shared" si="98"/>
        <v>0.52361087935924955</v>
      </c>
      <c r="J482" s="249">
        <f t="shared" si="99"/>
        <v>0.4058891883205149</v>
      </c>
      <c r="K482" s="249">
        <f t="shared" si="100"/>
        <v>0.12207136849693678</v>
      </c>
      <c r="L482" s="250">
        <f t="shared" si="90"/>
        <v>152.36108793592527</v>
      </c>
      <c r="M482" s="250">
        <f t="shared" si="91"/>
        <v>140.5889188320518</v>
      </c>
      <c r="N482" s="250">
        <f t="shared" si="92"/>
        <v>112.20713684969361</v>
      </c>
      <c r="O482" s="248">
        <f t="shared" si="93"/>
        <v>8.3734686927471103E-2</v>
      </c>
      <c r="P482" s="247">
        <f t="shared" si="94"/>
        <v>0.35785558934650674</v>
      </c>
      <c r="Q482" s="251">
        <f t="shared" si="101"/>
        <v>1.5236108793592495</v>
      </c>
      <c r="R482" s="251">
        <f t="shared" si="102"/>
        <v>1.5364035819567243</v>
      </c>
      <c r="S482" s="251">
        <f t="shared" si="103"/>
        <v>-8.3263946711074066E-3</v>
      </c>
      <c r="T482" s="252">
        <f>C482*'1. Share_Price_Analysis'!$E$11+T481*(1-'1. Share_Price_Analysis'!$E$11)</f>
        <v>245.8648505501879</v>
      </c>
      <c r="U482" s="253">
        <f t="shared" si="104"/>
        <v>251.65928572781348</v>
      </c>
    </row>
    <row r="483" spans="2:21" x14ac:dyDescent="0.2">
      <c r="B483" s="245">
        <v>45597</v>
      </c>
      <c r="C483" s="246">
        <v>270.39</v>
      </c>
      <c r="D483" s="246">
        <v>571.04</v>
      </c>
      <c r="E483" s="246">
        <v>46.564999999999998</v>
      </c>
      <c r="F483" s="248">
        <f t="shared" si="95"/>
        <v>-1.2923009527981644E-2</v>
      </c>
      <c r="G483" s="248">
        <f t="shared" si="96"/>
        <v>4.2205965109736177E-3</v>
      </c>
      <c r="H483" s="248">
        <f t="shared" si="97"/>
        <v>-2.7840239854374227E-3</v>
      </c>
      <c r="I483" s="249">
        <f t="shared" si="98"/>
        <v>0.50392124144835337</v>
      </c>
      <c r="J483" s="249">
        <f t="shared" si="99"/>
        <v>0.4118228793235561</v>
      </c>
      <c r="K483" s="249">
        <f t="shared" si="100"/>
        <v>0.11894749489366863</v>
      </c>
      <c r="L483" s="250">
        <f t="shared" si="90"/>
        <v>150.39212414483563</v>
      </c>
      <c r="M483" s="250">
        <f t="shared" si="91"/>
        <v>141.18228793235591</v>
      </c>
      <c r="N483" s="250">
        <f t="shared" si="92"/>
        <v>111.8947494893668</v>
      </c>
      <c r="O483" s="248">
        <f t="shared" si="93"/>
        <v>6.5233651808309201E-2</v>
      </c>
      <c r="P483" s="247">
        <f t="shared" si="94"/>
        <v>0.34404987571938572</v>
      </c>
      <c r="Q483" s="251">
        <f t="shared" si="101"/>
        <v>1.5039212414483534</v>
      </c>
      <c r="R483" s="251">
        <f t="shared" si="102"/>
        <v>1.5364035819567243</v>
      </c>
      <c r="S483" s="251">
        <f t="shared" si="103"/>
        <v>-2.1141802121420694E-2</v>
      </c>
      <c r="T483" s="252">
        <f>C483*'1. Share_Price_Analysis'!$E$11+T482*(1-'1. Share_Price_Analysis'!$E$11)</f>
        <v>246.108881887997</v>
      </c>
      <c r="U483" s="253">
        <f t="shared" si="104"/>
        <v>252.39382354240902</v>
      </c>
    </row>
    <row r="484" spans="2:21" x14ac:dyDescent="0.2">
      <c r="B484" s="245">
        <v>45600</v>
      </c>
      <c r="C484" s="246">
        <v>268.86</v>
      </c>
      <c r="D484" s="246">
        <v>569.80999999999995</v>
      </c>
      <c r="E484" s="246">
        <v>46.77</v>
      </c>
      <c r="F484" s="248">
        <f t="shared" si="95"/>
        <v>-5.6584932874735872E-3</v>
      </c>
      <c r="G484" s="248">
        <f t="shared" si="96"/>
        <v>-2.1539646959932712E-3</v>
      </c>
      <c r="H484" s="248">
        <f t="shared" si="97"/>
        <v>4.4024481907012358E-3</v>
      </c>
      <c r="I484" s="249">
        <f t="shared" si="98"/>
        <v>0.495411313198729</v>
      </c>
      <c r="J484" s="249">
        <f t="shared" si="99"/>
        <v>0.40878186268449768</v>
      </c>
      <c r="K484" s="249">
        <f t="shared" si="100"/>
        <v>0.12387360326805297</v>
      </c>
      <c r="L484" s="250">
        <f t="shared" si="90"/>
        <v>149.54113131987322</v>
      </c>
      <c r="M484" s="250">
        <f t="shared" si="91"/>
        <v>140.87818626845007</v>
      </c>
      <c r="N484" s="250">
        <f t="shared" si="92"/>
        <v>112.38736032680524</v>
      </c>
      <c r="O484" s="248">
        <f t="shared" si="93"/>
        <v>6.1492451605783094E-2</v>
      </c>
      <c r="P484" s="247">
        <f t="shared" si="94"/>
        <v>0.33058673933643523</v>
      </c>
      <c r="Q484" s="251">
        <f t="shared" si="101"/>
        <v>1.495411313198729</v>
      </c>
      <c r="R484" s="251">
        <f t="shared" si="102"/>
        <v>1.5364035819567243</v>
      </c>
      <c r="S484" s="251">
        <f t="shared" si="103"/>
        <v>-2.6680664663505049E-2</v>
      </c>
      <c r="T484" s="252">
        <f>C484*'1. Share_Price_Analysis'!$E$11+T483*(1-'1. Share_Price_Analysis'!$E$11)</f>
        <v>246.33526117269355</v>
      </c>
      <c r="U484" s="253">
        <f t="shared" si="104"/>
        <v>253.03955595251063</v>
      </c>
    </row>
    <row r="485" spans="2:21" x14ac:dyDescent="0.2">
      <c r="B485" s="245">
        <v>45601</v>
      </c>
      <c r="C485" s="246">
        <v>272.67</v>
      </c>
      <c r="D485" s="246">
        <v>576.70000000000005</v>
      </c>
      <c r="E485" s="246">
        <v>46.84</v>
      </c>
      <c r="F485" s="248">
        <f t="shared" si="95"/>
        <v>1.4170943985717388E-2</v>
      </c>
      <c r="G485" s="248">
        <f t="shared" si="96"/>
        <v>1.2091749881539604E-2</v>
      </c>
      <c r="H485" s="248">
        <f t="shared" si="97"/>
        <v>1.4966859097711449E-3</v>
      </c>
      <c r="I485" s="249">
        <f t="shared" si="98"/>
        <v>0.51660270315367618</v>
      </c>
      <c r="J485" s="249">
        <f t="shared" si="99"/>
        <v>0.42581650060572818</v>
      </c>
      <c r="K485" s="249">
        <f t="shared" si="100"/>
        <v>0.12555568905442804</v>
      </c>
      <c r="L485" s="250">
        <f t="shared" si="90"/>
        <v>151.66027031536794</v>
      </c>
      <c r="M485" s="250">
        <f t="shared" si="91"/>
        <v>142.58165006057311</v>
      </c>
      <c r="N485" s="250">
        <f t="shared" si="92"/>
        <v>112.55556890544275</v>
      </c>
      <c r="O485" s="248">
        <f t="shared" si="93"/>
        <v>6.3673132208372785E-2</v>
      </c>
      <c r="P485" s="247">
        <f t="shared" si="94"/>
        <v>0.34742573637361662</v>
      </c>
      <c r="Q485" s="251">
        <f t="shared" si="101"/>
        <v>1.5166027031536762</v>
      </c>
      <c r="R485" s="251">
        <f t="shared" si="102"/>
        <v>1.5364035819567243</v>
      </c>
      <c r="S485" s="251">
        <f t="shared" si="103"/>
        <v>-1.2887810882235895E-2</v>
      </c>
      <c r="T485" s="252">
        <f>C485*'1. Share_Price_Analysis'!$E$11+T484*(1-'1. Share_Price_Analysis'!$E$11)</f>
        <v>246.59729837495533</v>
      </c>
      <c r="U485" s="253">
        <f t="shared" si="104"/>
        <v>253.8093772877063</v>
      </c>
    </row>
    <row r="486" spans="2:21" x14ac:dyDescent="0.2">
      <c r="B486" s="245">
        <v>45602</v>
      </c>
      <c r="C486" s="246">
        <v>290.45</v>
      </c>
      <c r="D486" s="246">
        <v>591.04</v>
      </c>
      <c r="E486" s="246">
        <v>47.484999999999999</v>
      </c>
      <c r="F486" s="248">
        <f t="shared" si="95"/>
        <v>6.5207026808963064E-2</v>
      </c>
      <c r="G486" s="248">
        <f t="shared" si="96"/>
        <v>2.4865614704352224E-2</v>
      </c>
      <c r="H486" s="248">
        <f t="shared" si="97"/>
        <v>1.3770281810418394E-2</v>
      </c>
      <c r="I486" s="249">
        <f t="shared" si="98"/>
        <v>0.61549585627676384</v>
      </c>
      <c r="J486" s="249">
        <f t="shared" si="99"/>
        <v>0.46127030434889793</v>
      </c>
      <c r="K486" s="249">
        <f t="shared" si="100"/>
        <v>0.14105490808602728</v>
      </c>
      <c r="L486" s="250">
        <f t="shared" si="90"/>
        <v>161.54958562767675</v>
      </c>
      <c r="M486" s="250">
        <f t="shared" si="91"/>
        <v>146.12703043489009</v>
      </c>
      <c r="N486" s="250">
        <f t="shared" si="92"/>
        <v>114.10549080860267</v>
      </c>
      <c r="O486" s="248">
        <f t="shared" si="93"/>
        <v>0.1055421104971983</v>
      </c>
      <c r="P486" s="247">
        <f t="shared" si="94"/>
        <v>0.41579151435100536</v>
      </c>
      <c r="Q486" s="251">
        <f t="shared" si="101"/>
        <v>1.6154958562767638</v>
      </c>
      <c r="R486" s="251">
        <f t="shared" si="102"/>
        <v>1.6154958562767638</v>
      </c>
      <c r="S486" s="251">
        <f t="shared" si="103"/>
        <v>0</v>
      </c>
      <c r="T486" s="252">
        <f>C486*'1. Share_Price_Analysis'!$E$11+T485*(1-'1. Share_Price_Analysis'!$E$11)</f>
        <v>247.0336436647568</v>
      </c>
      <c r="U486" s="253">
        <f t="shared" si="104"/>
        <v>255.24626445289428</v>
      </c>
    </row>
    <row r="487" spans="2:21" x14ac:dyDescent="0.2">
      <c r="B487" s="245">
        <v>45603</v>
      </c>
      <c r="C487" s="246">
        <v>290.58999999999997</v>
      </c>
      <c r="D487" s="246">
        <v>595.61</v>
      </c>
      <c r="E487" s="246">
        <v>47.67</v>
      </c>
      <c r="F487" s="248">
        <f t="shared" si="95"/>
        <v>4.8201067309339152E-4</v>
      </c>
      <c r="G487" s="248">
        <f t="shared" si="96"/>
        <v>7.7321331889550482E-3</v>
      </c>
      <c r="H487" s="248">
        <f t="shared" si="97"/>
        <v>3.895967147520274E-3</v>
      </c>
      <c r="I487" s="249">
        <f t="shared" si="98"/>
        <v>0.61627454252182745</v>
      </c>
      <c r="J487" s="249">
        <f t="shared" si="99"/>
        <v>0.47256904096718855</v>
      </c>
      <c r="K487" s="249">
        <f t="shared" si="100"/>
        <v>0.14550042052144718</v>
      </c>
      <c r="L487" s="250">
        <f t="shared" si="90"/>
        <v>161.6274542521831</v>
      </c>
      <c r="M487" s="250">
        <f t="shared" si="91"/>
        <v>147.25690409671915</v>
      </c>
      <c r="N487" s="250">
        <f t="shared" si="92"/>
        <v>114.55004205214465</v>
      </c>
      <c r="O487" s="248">
        <f t="shared" si="93"/>
        <v>9.7588294712655843E-2</v>
      </c>
      <c r="P487" s="247">
        <f t="shared" si="94"/>
        <v>0.41097682162881921</v>
      </c>
      <c r="Q487" s="251">
        <f t="shared" si="101"/>
        <v>1.6162745425218275</v>
      </c>
      <c r="R487" s="251">
        <f t="shared" si="102"/>
        <v>1.6162745425218275</v>
      </c>
      <c r="S487" s="251">
        <f t="shared" si="103"/>
        <v>0</v>
      </c>
      <c r="T487" s="252">
        <f>C487*'1. Share_Price_Analysis'!$E$11+T486*(1-'1. Share_Price_Analysis'!$E$11)</f>
        <v>247.46704024520699</v>
      </c>
      <c r="U487" s="253">
        <f t="shared" si="104"/>
        <v>256.63229329787885</v>
      </c>
    </row>
    <row r="488" spans="2:21" x14ac:dyDescent="0.2">
      <c r="B488" s="245">
        <v>45604</v>
      </c>
      <c r="C488" s="246">
        <v>292.31</v>
      </c>
      <c r="D488" s="246">
        <v>598.19000000000005</v>
      </c>
      <c r="E488" s="246">
        <v>47.234999999999999</v>
      </c>
      <c r="F488" s="248">
        <f t="shared" si="95"/>
        <v>5.9189923947831069E-3</v>
      </c>
      <c r="G488" s="248">
        <f t="shared" si="96"/>
        <v>4.3316935578652238E-3</v>
      </c>
      <c r="H488" s="248">
        <f t="shared" si="97"/>
        <v>-9.1252359974827169E-3</v>
      </c>
      <c r="I488" s="249">
        <f t="shared" si="98"/>
        <v>0.6258412592468956</v>
      </c>
      <c r="J488" s="249">
        <f t="shared" si="99"/>
        <v>0.47894775879545781</v>
      </c>
      <c r="K488" s="249">
        <f t="shared" si="100"/>
        <v>0.13504745884897318</v>
      </c>
      <c r="L488" s="250">
        <f t="shared" si="90"/>
        <v>162.58412592468991</v>
      </c>
      <c r="M488" s="250">
        <f t="shared" si="91"/>
        <v>147.89477587954607</v>
      </c>
      <c r="N488" s="250">
        <f t="shared" si="92"/>
        <v>113.50474588489728</v>
      </c>
      <c r="O488" s="248">
        <f t="shared" si="93"/>
        <v>9.9322981205959948E-2</v>
      </c>
      <c r="P488" s="247">
        <f t="shared" si="94"/>
        <v>0.43239936495309683</v>
      </c>
      <c r="Q488" s="251">
        <f t="shared" si="101"/>
        <v>1.6258412592468956</v>
      </c>
      <c r="R488" s="251">
        <f t="shared" si="102"/>
        <v>1.6258412592468956</v>
      </c>
      <c r="S488" s="251">
        <f t="shared" si="103"/>
        <v>0</v>
      </c>
      <c r="T488" s="252">
        <f>C488*'1. Share_Price_Analysis'!$E$11+T487*(1-'1. Share_Price_Analysis'!$E$11)</f>
        <v>247.91323884973229</v>
      </c>
      <c r="U488" s="253">
        <f t="shared" si="104"/>
        <v>258.0314190509032</v>
      </c>
    </row>
    <row r="489" spans="2:21" x14ac:dyDescent="0.2">
      <c r="B489" s="245">
        <v>45607</v>
      </c>
      <c r="C489" s="246">
        <v>292.04000000000002</v>
      </c>
      <c r="D489" s="246">
        <v>598.76</v>
      </c>
      <c r="E489" s="246">
        <v>47.03</v>
      </c>
      <c r="F489" s="248">
        <f t="shared" si="95"/>
        <v>-9.2367691834005505E-4</v>
      </c>
      <c r="G489" s="248">
        <f t="shared" si="96"/>
        <v>9.5287450475600721E-4</v>
      </c>
      <c r="H489" s="248">
        <f t="shared" si="97"/>
        <v>-4.3400021170741931E-3</v>
      </c>
      <c r="I489" s="249">
        <f t="shared" si="98"/>
        <v>0.62433950720284437</v>
      </c>
      <c r="J489" s="249">
        <f t="shared" si="99"/>
        <v>0.48035701040868006</v>
      </c>
      <c r="K489" s="249">
        <f t="shared" si="100"/>
        <v>0.13012135047458906</v>
      </c>
      <c r="L489" s="250">
        <f t="shared" si="90"/>
        <v>162.4339507202848</v>
      </c>
      <c r="M489" s="250">
        <f t="shared" si="91"/>
        <v>148.0357010408683</v>
      </c>
      <c r="N489" s="250">
        <f t="shared" si="92"/>
        <v>113.01213504745884</v>
      </c>
      <c r="O489" s="248">
        <f t="shared" si="93"/>
        <v>9.7262008949054346E-2</v>
      </c>
      <c r="P489" s="247">
        <f t="shared" si="94"/>
        <v>0.43731423755573751</v>
      </c>
      <c r="Q489" s="251">
        <f t="shared" si="101"/>
        <v>1.6243395072028444</v>
      </c>
      <c r="R489" s="251">
        <f t="shared" si="102"/>
        <v>1.6258412592468956</v>
      </c>
      <c r="S489" s="251">
        <f t="shared" si="103"/>
        <v>-9.2367691834005505E-4</v>
      </c>
      <c r="T489" s="252">
        <f>C489*'1. Share_Price_Analysis'!$E$11+T488*(1-'1. Share_Price_Analysis'!$E$11)</f>
        <v>248.35231109998372</v>
      </c>
      <c r="U489" s="253">
        <f t="shared" si="104"/>
        <v>259.36508889204424</v>
      </c>
    </row>
    <row r="490" spans="2:21" x14ac:dyDescent="0.2">
      <c r="B490" s="245">
        <v>45608</v>
      </c>
      <c r="C490" s="246">
        <v>288.38</v>
      </c>
      <c r="D490" s="246">
        <v>596.9</v>
      </c>
      <c r="E490" s="246">
        <v>46.23</v>
      </c>
      <c r="F490" s="248">
        <f t="shared" si="95"/>
        <v>-1.2532529790439728E-2</v>
      </c>
      <c r="G490" s="248">
        <f t="shared" si="96"/>
        <v>-3.1064199345314236E-3</v>
      </c>
      <c r="H490" s="248">
        <f t="shared" si="97"/>
        <v>-1.701041888156507E-2</v>
      </c>
      <c r="I490" s="249">
        <f t="shared" si="98"/>
        <v>0.60398242393903656</v>
      </c>
      <c r="J490" s="249">
        <f t="shared" si="99"/>
        <v>0.47575839988132329</v>
      </c>
      <c r="K490" s="249">
        <f t="shared" si="100"/>
        <v>0.11089751291601635</v>
      </c>
      <c r="L490" s="250">
        <f t="shared" si="90"/>
        <v>160.39824239390401</v>
      </c>
      <c r="M490" s="250">
        <f t="shared" si="91"/>
        <v>147.5758399881326</v>
      </c>
      <c r="N490" s="250">
        <f t="shared" si="92"/>
        <v>111.08975129160157</v>
      </c>
      <c r="O490" s="248">
        <f t="shared" si="93"/>
        <v>8.688686716472338E-2</v>
      </c>
      <c r="P490" s="247">
        <f t="shared" si="94"/>
        <v>0.44386174718198079</v>
      </c>
      <c r="Q490" s="251">
        <f t="shared" si="101"/>
        <v>1.6039824239390366</v>
      </c>
      <c r="R490" s="251">
        <f t="shared" si="102"/>
        <v>1.6258412592468956</v>
      </c>
      <c r="S490" s="251">
        <f t="shared" si="103"/>
        <v>-1.3444630700283899E-2</v>
      </c>
      <c r="T490" s="252">
        <f>C490*'1. Share_Price_Analysis'!$E$11+T489*(1-'1. Share_Price_Analysis'!$E$11)</f>
        <v>248.75059656167545</v>
      </c>
      <c r="U490" s="253">
        <f t="shared" si="104"/>
        <v>260.50292854333662</v>
      </c>
    </row>
    <row r="491" spans="2:21" x14ac:dyDescent="0.2">
      <c r="B491" s="245">
        <v>45609</v>
      </c>
      <c r="C491" s="246">
        <v>287.70999999999998</v>
      </c>
      <c r="D491" s="246">
        <v>597.19000000000005</v>
      </c>
      <c r="E491" s="246">
        <v>46.34</v>
      </c>
      <c r="F491" s="248">
        <f t="shared" si="95"/>
        <v>-2.3233233927457686E-3</v>
      </c>
      <c r="G491" s="248">
        <f t="shared" si="96"/>
        <v>4.8584352487868188E-4</v>
      </c>
      <c r="H491" s="248">
        <f t="shared" si="97"/>
        <v>2.3794073112699543E-3</v>
      </c>
      <c r="I491" s="249">
        <f t="shared" si="98"/>
        <v>0.60025585405194604</v>
      </c>
      <c r="J491" s="249">
        <f t="shared" si="99"/>
        <v>0.47647538754419094</v>
      </c>
      <c r="K491" s="249">
        <f t="shared" si="100"/>
        <v>0.11354079058032029</v>
      </c>
      <c r="L491" s="250">
        <f t="shared" si="90"/>
        <v>160.02558540519493</v>
      </c>
      <c r="M491" s="250">
        <f t="shared" si="91"/>
        <v>147.64753875441937</v>
      </c>
      <c r="N491" s="250">
        <f t="shared" si="92"/>
        <v>111.35407905803196</v>
      </c>
      <c r="O491" s="248">
        <f t="shared" si="93"/>
        <v>8.3835103214038753E-2</v>
      </c>
      <c r="P491" s="247">
        <f t="shared" si="94"/>
        <v>0.43708777225661821</v>
      </c>
      <c r="Q491" s="251">
        <f t="shared" si="101"/>
        <v>1.600255854051946</v>
      </c>
      <c r="R491" s="251">
        <f t="shared" si="102"/>
        <v>1.6258412592468956</v>
      </c>
      <c r="S491" s="251">
        <f t="shared" si="103"/>
        <v>-1.5736717868016781E-2</v>
      </c>
      <c r="T491" s="252">
        <f>C491*'1. Share_Price_Analysis'!$E$11+T490*(1-'1. Share_Price_Analysis'!$E$11)</f>
        <v>249.13825231728069</v>
      </c>
      <c r="U491" s="253">
        <f t="shared" si="104"/>
        <v>261.5698725220293</v>
      </c>
    </row>
    <row r="492" spans="2:21" x14ac:dyDescent="0.2">
      <c r="B492" s="245">
        <v>45610</v>
      </c>
      <c r="C492" s="246">
        <v>282.68</v>
      </c>
      <c r="D492" s="246">
        <v>593.35</v>
      </c>
      <c r="E492" s="246">
        <v>45.96</v>
      </c>
      <c r="F492" s="248">
        <f t="shared" si="95"/>
        <v>-1.7482882068749706E-2</v>
      </c>
      <c r="G492" s="248">
        <f t="shared" si="96"/>
        <v>-6.4301143689613482E-3</v>
      </c>
      <c r="H492" s="248">
        <f t="shared" si="97"/>
        <v>-8.2002589555459915E-3</v>
      </c>
      <c r="I492" s="249">
        <f t="shared" si="98"/>
        <v>0.57227876967572944</v>
      </c>
      <c r="J492" s="249">
        <f t="shared" si="99"/>
        <v>0.4669814819393252</v>
      </c>
      <c r="K492" s="249">
        <f t="shared" si="100"/>
        <v>0.10440946773999826</v>
      </c>
      <c r="L492" s="250">
        <f t="shared" si="90"/>
        <v>157.22787696757331</v>
      </c>
      <c r="M492" s="250">
        <f t="shared" si="91"/>
        <v>146.69814819393278</v>
      </c>
      <c r="N492" s="250">
        <f t="shared" si="92"/>
        <v>110.44094677399976</v>
      </c>
      <c r="O492" s="248">
        <f t="shared" si="93"/>
        <v>7.1778198315907149E-2</v>
      </c>
      <c r="P492" s="247">
        <f t="shared" si="94"/>
        <v>0.42363753263828197</v>
      </c>
      <c r="Q492" s="251">
        <f t="shared" si="101"/>
        <v>1.5722787696757294</v>
      </c>
      <c r="R492" s="251">
        <f t="shared" si="102"/>
        <v>1.6258412592468956</v>
      </c>
      <c r="S492" s="251">
        <f t="shared" si="103"/>
        <v>-3.2944476754130814E-2</v>
      </c>
      <c r="T492" s="252">
        <f>C492*'1. Share_Price_Analysis'!$E$11+T491*(1-'1. Share_Price_Analysis'!$E$11)</f>
        <v>249.47200105044209</v>
      </c>
      <c r="U492" s="253">
        <f t="shared" si="104"/>
        <v>262.39772065842033</v>
      </c>
    </row>
    <row r="493" spans="2:21" x14ac:dyDescent="0.2">
      <c r="B493" s="245">
        <v>45611</v>
      </c>
      <c r="C493" s="246">
        <v>279.27999999999997</v>
      </c>
      <c r="D493" s="246">
        <v>585.75</v>
      </c>
      <c r="E493" s="246">
        <v>45.64</v>
      </c>
      <c r="F493" s="248">
        <f t="shared" si="95"/>
        <v>-1.202773454082362E-2</v>
      </c>
      <c r="G493" s="248">
        <f t="shared" si="96"/>
        <v>-1.2808628971096359E-2</v>
      </c>
      <c r="H493" s="248">
        <f t="shared" si="97"/>
        <v>-6.9625761531766361E-3</v>
      </c>
      <c r="I493" s="249">
        <f t="shared" si="98"/>
        <v>0.55336781800989709</v>
      </c>
      <c r="J493" s="249">
        <f t="shared" si="99"/>
        <v>0.44819146042969527</v>
      </c>
      <c r="K493" s="249">
        <f t="shared" si="100"/>
        <v>9.6719932716569312E-2</v>
      </c>
      <c r="L493" s="250">
        <f t="shared" si="90"/>
        <v>155.33678180099005</v>
      </c>
      <c r="M493" s="250">
        <f t="shared" si="91"/>
        <v>144.81914604296981</v>
      </c>
      <c r="N493" s="250">
        <f t="shared" si="92"/>
        <v>109.67199327165685</v>
      </c>
      <c r="O493" s="248">
        <f t="shared" si="93"/>
        <v>7.2626003159136587E-2</v>
      </c>
      <c r="P493" s="247">
        <f t="shared" si="94"/>
        <v>0.41637602424368581</v>
      </c>
      <c r="Q493" s="251">
        <f t="shared" si="101"/>
        <v>1.5533678180098971</v>
      </c>
      <c r="R493" s="251">
        <f t="shared" si="102"/>
        <v>1.6258412592468956</v>
      </c>
      <c r="S493" s="251">
        <f t="shared" si="103"/>
        <v>-4.4575963873969338E-2</v>
      </c>
      <c r="T493" s="252">
        <f>C493*'1. Share_Price_Analysis'!$E$11+T492*(1-'1. Share_Price_Analysis'!$E$11)</f>
        <v>249.76859805491532</v>
      </c>
      <c r="U493" s="253">
        <f t="shared" si="104"/>
        <v>263.05977082867838</v>
      </c>
    </row>
    <row r="494" spans="2:21" x14ac:dyDescent="0.2">
      <c r="B494" s="245">
        <v>45614</v>
      </c>
      <c r="C494" s="246">
        <v>278.74</v>
      </c>
      <c r="D494" s="246">
        <v>588.15</v>
      </c>
      <c r="E494" s="246">
        <v>45.994999999999997</v>
      </c>
      <c r="F494" s="248">
        <f t="shared" si="95"/>
        <v>-1.9335433973072247E-3</v>
      </c>
      <c r="G494" s="248">
        <f t="shared" si="96"/>
        <v>4.0973111395645745E-3</v>
      </c>
      <c r="H494" s="248">
        <f t="shared" si="97"/>
        <v>7.778264680105007E-3</v>
      </c>
      <c r="I494" s="249">
        <f t="shared" si="98"/>
        <v>0.55036431392179463</v>
      </c>
      <c r="J494" s="249">
        <f t="shared" si="99"/>
        <v>0.45412515143273624</v>
      </c>
      <c r="K494" s="249">
        <f t="shared" si="100"/>
        <v>0.1052505106331858</v>
      </c>
      <c r="L494" s="250">
        <f t="shared" si="90"/>
        <v>155.03643139217976</v>
      </c>
      <c r="M494" s="250">
        <f t="shared" si="91"/>
        <v>145.41251514327388</v>
      </c>
      <c r="N494" s="250">
        <f t="shared" si="92"/>
        <v>110.52505106331851</v>
      </c>
      <c r="O494" s="248">
        <f t="shared" si="93"/>
        <v>6.6183548502847023E-2</v>
      </c>
      <c r="P494" s="247">
        <f t="shared" si="94"/>
        <v>0.40272662080346655</v>
      </c>
      <c r="Q494" s="251">
        <f t="shared" si="101"/>
        <v>1.5503643139217946</v>
      </c>
      <c r="R494" s="251">
        <f t="shared" si="102"/>
        <v>1.6258412592468956</v>
      </c>
      <c r="S494" s="251">
        <f t="shared" si="103"/>
        <v>-4.6423317710649448E-2</v>
      </c>
      <c r="T494" s="252">
        <f>C494*'1. Share_Price_Analysis'!$E$11+T493*(1-'1. Share_Price_Analysis'!$E$11)</f>
        <v>250.05687071108531</v>
      </c>
      <c r="U494" s="253">
        <f t="shared" si="104"/>
        <v>263.67468177657332</v>
      </c>
    </row>
    <row r="495" spans="2:21" x14ac:dyDescent="0.2">
      <c r="B495" s="245">
        <v>45615</v>
      </c>
      <c r="C495" s="246">
        <v>278.01</v>
      </c>
      <c r="D495" s="246">
        <v>590.29999999999995</v>
      </c>
      <c r="E495" s="246">
        <v>45.844999999999999</v>
      </c>
      <c r="F495" s="248">
        <f t="shared" si="95"/>
        <v>-2.6189280332927778E-3</v>
      </c>
      <c r="G495" s="248">
        <f t="shared" si="96"/>
        <v>3.6555300518574807E-3</v>
      </c>
      <c r="H495" s="248">
        <f t="shared" si="97"/>
        <v>-3.2612240460919706E-3</v>
      </c>
      <c r="I495" s="249">
        <f t="shared" si="98"/>
        <v>0.54630402135824818</v>
      </c>
      <c r="J495" s="249">
        <f t="shared" si="99"/>
        <v>0.45944074962296044</v>
      </c>
      <c r="K495" s="249">
        <f t="shared" si="100"/>
        <v>0.10164604109095343</v>
      </c>
      <c r="L495" s="250">
        <f t="shared" si="90"/>
        <v>154.63040213582514</v>
      </c>
      <c r="M495" s="250">
        <f t="shared" si="91"/>
        <v>145.9440749622963</v>
      </c>
      <c r="N495" s="250">
        <f t="shared" si="92"/>
        <v>110.16460410909528</v>
      </c>
      <c r="O495" s="248">
        <f t="shared" si="93"/>
        <v>5.9518189935239496E-2</v>
      </c>
      <c r="P495" s="247">
        <f t="shared" si="94"/>
        <v>0.40363053438375962</v>
      </c>
      <c r="Q495" s="251">
        <f t="shared" si="101"/>
        <v>1.5463040213582482</v>
      </c>
      <c r="R495" s="251">
        <f t="shared" si="102"/>
        <v>1.6258412592468956</v>
      </c>
      <c r="S495" s="251">
        <f t="shared" si="103"/>
        <v>-4.8920666415791292E-2</v>
      </c>
      <c r="T495" s="252">
        <f>C495*'1. Share_Price_Analysis'!$E$11+T494*(1-'1. Share_Price_Analysis'!$E$11)</f>
        <v>250.33501130102476</v>
      </c>
      <c r="U495" s="253">
        <f t="shared" si="104"/>
        <v>264.23685111866848</v>
      </c>
    </row>
    <row r="496" spans="2:21" x14ac:dyDescent="0.2">
      <c r="B496" s="245">
        <v>45616</v>
      </c>
      <c r="C496" s="246">
        <v>277.81</v>
      </c>
      <c r="D496" s="246">
        <v>590.5</v>
      </c>
      <c r="E496" s="246">
        <v>46.22</v>
      </c>
      <c r="F496" s="248">
        <f t="shared" si="95"/>
        <v>-7.1939858278480262E-4</v>
      </c>
      <c r="G496" s="248">
        <f t="shared" si="96"/>
        <v>3.3881077418262961E-4</v>
      </c>
      <c r="H496" s="248">
        <f t="shared" si="97"/>
        <v>8.1797360671829189E-3</v>
      </c>
      <c r="I496" s="249">
        <f t="shared" si="98"/>
        <v>0.54519161243672865</v>
      </c>
      <c r="J496" s="249">
        <f t="shared" si="99"/>
        <v>0.45993522387321395</v>
      </c>
      <c r="K496" s="249">
        <f t="shared" si="100"/>
        <v>0.11065721494653435</v>
      </c>
      <c r="L496" s="250">
        <f t="shared" si="90"/>
        <v>154.51916124367318</v>
      </c>
      <c r="M496" s="250">
        <f t="shared" si="91"/>
        <v>145.99352238732166</v>
      </c>
      <c r="N496" s="250">
        <f t="shared" si="92"/>
        <v>111.06572149465337</v>
      </c>
      <c r="O496" s="248">
        <f t="shared" si="93"/>
        <v>5.8397377616062451E-2</v>
      </c>
      <c r="P496" s="247">
        <f t="shared" si="94"/>
        <v>0.3912407821625794</v>
      </c>
      <c r="Q496" s="251">
        <f t="shared" si="101"/>
        <v>1.5451916124367286</v>
      </c>
      <c r="R496" s="251">
        <f t="shared" si="102"/>
        <v>1.6258412592468956</v>
      </c>
      <c r="S496" s="251">
        <f t="shared" si="103"/>
        <v>-4.9604871540487649E-2</v>
      </c>
      <c r="T496" s="252">
        <f>C496*'1. Share_Price_Analysis'!$E$11+T495*(1-'1. Share_Price_Analysis'!$E$11)</f>
        <v>250.60839427315389</v>
      </c>
      <c r="U496" s="253">
        <f t="shared" si="104"/>
        <v>264.76913146695597</v>
      </c>
    </row>
    <row r="497" spans="2:21" x14ac:dyDescent="0.2">
      <c r="B497" s="245">
        <v>45617</v>
      </c>
      <c r="C497" s="246">
        <v>281.18</v>
      </c>
      <c r="D497" s="246">
        <v>593.66999999999996</v>
      </c>
      <c r="E497" s="246">
        <v>46.784999999999997</v>
      </c>
      <c r="F497" s="248">
        <f t="shared" si="95"/>
        <v>1.2130592851229194E-2</v>
      </c>
      <c r="G497" s="248">
        <f t="shared" si="96"/>
        <v>5.3683319220998449E-3</v>
      </c>
      <c r="H497" s="248">
        <f t="shared" si="97"/>
        <v>1.2224145391605212E-2</v>
      </c>
      <c r="I497" s="249">
        <f t="shared" si="98"/>
        <v>0.56393570276433302</v>
      </c>
      <c r="J497" s="249">
        <f t="shared" si="99"/>
        <v>0.46777264073973046</v>
      </c>
      <c r="K497" s="249">
        <f t="shared" si="100"/>
        <v>0.12423405022227607</v>
      </c>
      <c r="L497" s="250">
        <f t="shared" si="90"/>
        <v>156.39357027643365</v>
      </c>
      <c r="M497" s="250">
        <f t="shared" si="91"/>
        <v>146.77726407397333</v>
      </c>
      <c r="N497" s="250">
        <f t="shared" si="92"/>
        <v>112.42340502222754</v>
      </c>
      <c r="O497" s="248">
        <f t="shared" si="93"/>
        <v>6.5516320004533002E-2</v>
      </c>
      <c r="P497" s="247">
        <f t="shared" si="94"/>
        <v>0.39111219986187229</v>
      </c>
      <c r="Q497" s="251">
        <f t="shared" si="101"/>
        <v>1.563935702764333</v>
      </c>
      <c r="R497" s="251">
        <f t="shared" si="102"/>
        <v>1.6258412592468956</v>
      </c>
      <c r="S497" s="251">
        <f t="shared" si="103"/>
        <v>-3.8076015189353551E-2</v>
      </c>
      <c r="T497" s="252">
        <f>C497*'1. Share_Price_Analysis'!$E$11+T496*(1-'1. Share_Price_Analysis'!$E$11)</f>
        <v>250.91258935501307</v>
      </c>
      <c r="U497" s="253">
        <f t="shared" si="104"/>
        <v>265.41269493884005</v>
      </c>
    </row>
    <row r="498" spans="2:21" x14ac:dyDescent="0.2">
      <c r="B498" s="245">
        <v>45618</v>
      </c>
      <c r="C498" s="246">
        <v>284.61</v>
      </c>
      <c r="D498" s="246">
        <v>595.51</v>
      </c>
      <c r="E498" s="246">
        <v>47.045000000000002</v>
      </c>
      <c r="F498" s="248">
        <f t="shared" si="95"/>
        <v>1.219859164947712E-2</v>
      </c>
      <c r="G498" s="248">
        <f t="shared" si="96"/>
        <v>3.0993649670691958E-3</v>
      </c>
      <c r="H498" s="248">
        <f t="shared" si="97"/>
        <v>5.5573367532328888E-3</v>
      </c>
      <c r="I498" s="249">
        <f t="shared" si="98"/>
        <v>0.58301351576839311</v>
      </c>
      <c r="J498" s="249">
        <f t="shared" si="99"/>
        <v>0.47232180384206179</v>
      </c>
      <c r="K498" s="249">
        <f t="shared" si="100"/>
        <v>0.13048179742881216</v>
      </c>
      <c r="L498" s="250">
        <f t="shared" si="90"/>
        <v>158.30135157683966</v>
      </c>
      <c r="M498" s="250">
        <f t="shared" si="91"/>
        <v>147.23218038420649</v>
      </c>
      <c r="N498" s="250">
        <f t="shared" si="92"/>
        <v>113.04817974288117</v>
      </c>
      <c r="O498" s="248">
        <f t="shared" si="93"/>
        <v>7.518173787651472E-2</v>
      </c>
      <c r="P498" s="247">
        <f t="shared" si="94"/>
        <v>0.40029987158468816</v>
      </c>
      <c r="Q498" s="251">
        <f t="shared" si="101"/>
        <v>1.5830135157683931</v>
      </c>
      <c r="R498" s="251">
        <f t="shared" si="102"/>
        <v>1.6258412592468956</v>
      </c>
      <c r="S498" s="251">
        <f t="shared" si="103"/>
        <v>-2.6341897300810713E-2</v>
      </c>
      <c r="T498" s="252">
        <f>C498*'1. Share_Price_Analysis'!$E$11+T497*(1-'1. Share_Price_Analysis'!$E$11)</f>
        <v>251.24788697337118</v>
      </c>
      <c r="U498" s="253">
        <f t="shared" si="104"/>
        <v>266.16553043143455</v>
      </c>
    </row>
    <row r="499" spans="2:21" x14ac:dyDescent="0.2">
      <c r="B499" s="245">
        <v>45621</v>
      </c>
      <c r="C499" s="246">
        <v>290.37</v>
      </c>
      <c r="D499" s="246">
        <v>597.53</v>
      </c>
      <c r="E499" s="246">
        <v>47.53</v>
      </c>
      <c r="F499" s="248">
        <f t="shared" si="95"/>
        <v>2.0238220723094669E-2</v>
      </c>
      <c r="G499" s="248">
        <f t="shared" si="96"/>
        <v>3.3920505113262944E-3</v>
      </c>
      <c r="H499" s="248">
        <f t="shared" si="97"/>
        <v>1.0309278350515427E-2</v>
      </c>
      <c r="I499" s="249">
        <f t="shared" si="98"/>
        <v>0.61505089270815594</v>
      </c>
      <c r="J499" s="249">
        <f t="shared" si="99"/>
        <v>0.47731599376962119</v>
      </c>
      <c r="K499" s="249">
        <f t="shared" si="100"/>
        <v>0.14213624894869681</v>
      </c>
      <c r="L499" s="250">
        <f t="shared" si="90"/>
        <v>161.50508927081597</v>
      </c>
      <c r="M499" s="250">
        <f t="shared" si="91"/>
        <v>147.73159937696244</v>
      </c>
      <c r="N499" s="250">
        <f t="shared" si="92"/>
        <v>114.21362489486964</v>
      </c>
      <c r="O499" s="248">
        <f t="shared" si="93"/>
        <v>9.323320096676202E-2</v>
      </c>
      <c r="P499" s="247">
        <f t="shared" si="94"/>
        <v>0.41406149589837749</v>
      </c>
      <c r="Q499" s="251">
        <f t="shared" si="101"/>
        <v>1.6150508927081559</v>
      </c>
      <c r="R499" s="251">
        <f t="shared" si="102"/>
        <v>1.6258412592468956</v>
      </c>
      <c r="S499" s="251">
        <f t="shared" si="103"/>
        <v>-6.6367897095549466E-3</v>
      </c>
      <c r="T499" s="252">
        <f>C499*'1. Share_Price_Analysis'!$E$11+T498*(1-'1. Share_Price_Analysis'!$E$11)</f>
        <v>251.63716172985505</v>
      </c>
      <c r="U499" s="253">
        <f t="shared" si="104"/>
        <v>267.11472531647632</v>
      </c>
    </row>
    <row r="500" spans="2:21" x14ac:dyDescent="0.2">
      <c r="B500" s="245">
        <v>45622</v>
      </c>
      <c r="C500" s="246">
        <v>288.39999999999998</v>
      </c>
      <c r="D500" s="246">
        <v>600.65</v>
      </c>
      <c r="E500" s="246">
        <v>47.174999999999997</v>
      </c>
      <c r="F500" s="248">
        <f t="shared" si="95"/>
        <v>-6.784447429142193E-3</v>
      </c>
      <c r="G500" s="248">
        <f t="shared" si="96"/>
        <v>5.2214951550548783E-3</v>
      </c>
      <c r="H500" s="248">
        <f t="shared" si="97"/>
        <v>-7.4689669682306281E-3</v>
      </c>
      <c r="I500" s="249">
        <f t="shared" si="98"/>
        <v>0.60409366483118832</v>
      </c>
      <c r="J500" s="249">
        <f t="shared" si="99"/>
        <v>0.48502979207357444</v>
      </c>
      <c r="K500" s="249">
        <f t="shared" si="100"/>
        <v>0.1336056710320801</v>
      </c>
      <c r="L500" s="250">
        <f t="shared" si="90"/>
        <v>160.40936648311919</v>
      </c>
      <c r="M500" s="250">
        <f t="shared" si="91"/>
        <v>148.50297920735775</v>
      </c>
      <c r="N500" s="250">
        <f t="shared" si="92"/>
        <v>113.36056710320797</v>
      </c>
      <c r="O500" s="248">
        <f t="shared" si="93"/>
        <v>8.0176083599887038E-2</v>
      </c>
      <c r="P500" s="247">
        <f t="shared" si="94"/>
        <v>0.41503673263274798</v>
      </c>
      <c r="Q500" s="251">
        <f t="shared" si="101"/>
        <v>1.6040936648311883</v>
      </c>
      <c r="R500" s="251">
        <f t="shared" si="102"/>
        <v>1.6258412592468956</v>
      </c>
      <c r="S500" s="251">
        <f t="shared" si="103"/>
        <v>-1.337621018781443E-2</v>
      </c>
      <c r="T500" s="252">
        <f>C500*'1. Share_Price_Analysis'!$E$11+T499*(1-'1. Share_Price_Analysis'!$E$11)</f>
        <v>252.00296111562764</v>
      </c>
      <c r="U500" s="253">
        <f t="shared" si="104"/>
        <v>267.94944197073215</v>
      </c>
    </row>
    <row r="501" spans="2:21" x14ac:dyDescent="0.2">
      <c r="B501" s="245">
        <v>45623</v>
      </c>
      <c r="C501" s="246">
        <v>286.39</v>
      </c>
      <c r="D501" s="246">
        <v>598.83000000000004</v>
      </c>
      <c r="E501" s="246">
        <v>47.15</v>
      </c>
      <c r="F501" s="248">
        <f t="shared" si="95"/>
        <v>-6.9694868238556751E-3</v>
      </c>
      <c r="G501" s="248">
        <f t="shared" si="96"/>
        <v>-3.0300507783234121E-3</v>
      </c>
      <c r="H501" s="248">
        <f t="shared" si="97"/>
        <v>-5.2994170641229577E-4</v>
      </c>
      <c r="I501" s="249">
        <f t="shared" si="98"/>
        <v>0.59291395516991696</v>
      </c>
      <c r="J501" s="249">
        <f t="shared" si="99"/>
        <v>0.48053007639626855</v>
      </c>
      <c r="K501" s="249">
        <f t="shared" si="100"/>
        <v>0.13300492610837478</v>
      </c>
      <c r="L501" s="250">
        <f t="shared" si="90"/>
        <v>159.29139551699205</v>
      </c>
      <c r="M501" s="250">
        <f t="shared" si="91"/>
        <v>148.05300763962717</v>
      </c>
      <c r="N501" s="250">
        <f t="shared" si="92"/>
        <v>113.30049261083744</v>
      </c>
      <c r="O501" s="248">
        <f t="shared" si="93"/>
        <v>7.5907866084828246E-2</v>
      </c>
      <c r="P501" s="247">
        <f t="shared" si="94"/>
        <v>0.40591970825866541</v>
      </c>
      <c r="Q501" s="251">
        <f t="shared" si="101"/>
        <v>1.592913955169917</v>
      </c>
      <c r="R501" s="251">
        <f t="shared" si="102"/>
        <v>1.6258412592468956</v>
      </c>
      <c r="S501" s="251">
        <f t="shared" si="103"/>
        <v>-2.0252471691012963E-2</v>
      </c>
      <c r="T501" s="252">
        <f>C501*'1. Share_Price_Analysis'!$E$11+T500*(1-'1. Share_Price_Analysis'!$E$11)</f>
        <v>252.34512070651695</v>
      </c>
      <c r="U501" s="253">
        <f t="shared" si="104"/>
        <v>268.67260110913486</v>
      </c>
    </row>
    <row r="502" spans="2:21" x14ac:dyDescent="0.2">
      <c r="B502" s="245">
        <v>45625</v>
      </c>
      <c r="C502" s="246">
        <v>288.13</v>
      </c>
      <c r="D502" s="246">
        <v>602.54999999999995</v>
      </c>
      <c r="E502" s="246">
        <v>47.39</v>
      </c>
      <c r="F502" s="248">
        <f t="shared" si="95"/>
        <v>6.0756311323719725E-3</v>
      </c>
      <c r="G502" s="248">
        <f t="shared" si="96"/>
        <v>6.2121136215618211E-3</v>
      </c>
      <c r="H502" s="248">
        <f t="shared" si="97"/>
        <v>5.0901378579004675E-3</v>
      </c>
      <c r="I502" s="249">
        <f t="shared" si="98"/>
        <v>0.60259191278713709</v>
      </c>
      <c r="J502" s="249">
        <f t="shared" si="99"/>
        <v>0.48972729745098187</v>
      </c>
      <c r="K502" s="249">
        <f t="shared" si="100"/>
        <v>0.13877207737594666</v>
      </c>
      <c r="L502" s="250">
        <f t="shared" si="90"/>
        <v>160.25919127871407</v>
      </c>
      <c r="M502" s="250">
        <f t="shared" si="91"/>
        <v>148.97272974509849</v>
      </c>
      <c r="N502" s="250">
        <f t="shared" si="92"/>
        <v>113.87720773759462</v>
      </c>
      <c r="O502" s="248">
        <f t="shared" si="93"/>
        <v>7.5761930072217654E-2</v>
      </c>
      <c r="P502" s="247">
        <f t="shared" si="94"/>
        <v>0.40729821588176152</v>
      </c>
      <c r="Q502" s="251">
        <f t="shared" si="101"/>
        <v>1.6025919127871371</v>
      </c>
      <c r="R502" s="251">
        <f t="shared" si="102"/>
        <v>1.6258412592468956</v>
      </c>
      <c r="S502" s="251">
        <f t="shared" si="103"/>
        <v>-1.4299887106154374E-2</v>
      </c>
      <c r="T502" s="252">
        <f>C502*'1. Share_Price_Analysis'!$E$11+T501*(1-'1. Share_Price_Analysis'!$E$11)</f>
        <v>252.70118915719837</v>
      </c>
      <c r="U502" s="253">
        <f t="shared" si="104"/>
        <v>269.43563635975704</v>
      </c>
    </row>
    <row r="503" spans="2:21" x14ac:dyDescent="0.2">
      <c r="B503" s="245">
        <v>45628</v>
      </c>
      <c r="C503" s="246">
        <v>287.05</v>
      </c>
      <c r="D503" s="246">
        <v>603.63</v>
      </c>
      <c r="E503" s="246">
        <v>47.36</v>
      </c>
      <c r="F503" s="248">
        <f t="shared" si="95"/>
        <v>-3.7483080553916137E-3</v>
      </c>
      <c r="G503" s="248">
        <f t="shared" si="96"/>
        <v>1.7923823749066425E-3</v>
      </c>
      <c r="H503" s="248">
        <f t="shared" si="97"/>
        <v>-6.3304494619120799E-4</v>
      </c>
      <c r="I503" s="249">
        <f t="shared" si="98"/>
        <v>0.5965849046109315</v>
      </c>
      <c r="J503" s="249">
        <f t="shared" si="99"/>
        <v>0.49239745840235027</v>
      </c>
      <c r="K503" s="249">
        <f t="shared" si="100"/>
        <v>0.13805118346750023</v>
      </c>
      <c r="L503" s="250">
        <f t="shared" si="90"/>
        <v>159.65849046109349</v>
      </c>
      <c r="M503" s="250">
        <f t="shared" si="91"/>
        <v>149.23974584023537</v>
      </c>
      <c r="N503" s="250">
        <f t="shared" si="92"/>
        <v>113.80511834674995</v>
      </c>
      <c r="O503" s="248">
        <f t="shared" si="93"/>
        <v>6.9812130556773155E-2</v>
      </c>
      <c r="P503" s="247">
        <f t="shared" si="94"/>
        <v>0.40291133457313943</v>
      </c>
      <c r="Q503" s="251">
        <f t="shared" si="101"/>
        <v>1.5965849046109315</v>
      </c>
      <c r="R503" s="251">
        <f t="shared" si="102"/>
        <v>1.6258412592468956</v>
      </c>
      <c r="S503" s="251">
        <f t="shared" si="103"/>
        <v>-1.7994594779514927E-2</v>
      </c>
      <c r="T503" s="252">
        <f>C503*'1. Share_Price_Analysis'!$E$11+T502*(1-'1. Share_Price_Analysis'!$E$11)</f>
        <v>253.04296836956456</v>
      </c>
      <c r="U503" s="253">
        <f t="shared" si="104"/>
        <v>270.12639571819795</v>
      </c>
    </row>
    <row r="504" spans="2:21" x14ac:dyDescent="0.2">
      <c r="B504" s="245">
        <v>45629</v>
      </c>
      <c r="C504" s="246">
        <v>286.5</v>
      </c>
      <c r="D504" s="246">
        <v>603.91</v>
      </c>
      <c r="E504" s="246">
        <v>47.21</v>
      </c>
      <c r="F504" s="248">
        <f t="shared" si="95"/>
        <v>-1.916042501306392E-3</v>
      </c>
      <c r="G504" s="248">
        <f t="shared" si="96"/>
        <v>4.6386031178036191E-4</v>
      </c>
      <c r="H504" s="248">
        <f t="shared" si="97"/>
        <v>-3.1672297297297147E-3</v>
      </c>
      <c r="I504" s="249">
        <f t="shared" si="98"/>
        <v>0.59352578007675283</v>
      </c>
      <c r="J504" s="249">
        <f t="shared" si="99"/>
        <v>0.4930897223527051</v>
      </c>
      <c r="K504" s="249">
        <f t="shared" si="100"/>
        <v>0.13444671392526786</v>
      </c>
      <c r="L504" s="250">
        <f t="shared" si="90"/>
        <v>159.35257800767565</v>
      </c>
      <c r="M504" s="250">
        <f t="shared" si="91"/>
        <v>149.30897223527083</v>
      </c>
      <c r="N504" s="250">
        <f t="shared" si="92"/>
        <v>113.44467139252671</v>
      </c>
      <c r="O504" s="248">
        <f t="shared" si="93"/>
        <v>6.7267262121252669E-2</v>
      </c>
      <c r="P504" s="247">
        <f t="shared" si="94"/>
        <v>0.40467221643495099</v>
      </c>
      <c r="Q504" s="251">
        <f t="shared" si="101"/>
        <v>1.5935257800767528</v>
      </c>
      <c r="R504" s="251">
        <f t="shared" si="102"/>
        <v>1.6258412592468956</v>
      </c>
      <c r="S504" s="251">
        <f t="shared" si="103"/>
        <v>-1.9876158872429883E-2</v>
      </c>
      <c r="T504" s="252">
        <f>C504*'1. Share_Price_Analysis'!$E$11+T503*(1-'1. Share_Price_Analysis'!$E$11)</f>
        <v>253.37587415693207</v>
      </c>
      <c r="U504" s="253">
        <f t="shared" si="104"/>
        <v>270.76849784689608</v>
      </c>
    </row>
    <row r="505" spans="2:21" x14ac:dyDescent="0.2">
      <c r="B505" s="245">
        <v>45630</v>
      </c>
      <c r="C505" s="246">
        <v>285.64999999999998</v>
      </c>
      <c r="D505" s="246">
        <v>607.66</v>
      </c>
      <c r="E505" s="246">
        <v>46.75</v>
      </c>
      <c r="F505" s="248">
        <f t="shared" si="95"/>
        <v>-2.966841186736513E-3</v>
      </c>
      <c r="G505" s="248">
        <f t="shared" si="96"/>
        <v>6.2095345332913165E-3</v>
      </c>
      <c r="H505" s="248">
        <f t="shared" si="97"/>
        <v>-9.743698368989584E-3</v>
      </c>
      <c r="I505" s="249">
        <f t="shared" si="98"/>
        <v>0.58879804216029474</v>
      </c>
      <c r="J505" s="249">
        <f t="shared" si="99"/>
        <v>0.50236111454495647</v>
      </c>
      <c r="K505" s="249">
        <f t="shared" si="100"/>
        <v>0.12339300732908853</v>
      </c>
      <c r="L505" s="250">
        <f t="shared" si="90"/>
        <v>158.87980421602981</v>
      </c>
      <c r="M505" s="250">
        <f t="shared" si="91"/>
        <v>150.23611145449598</v>
      </c>
      <c r="N505" s="250">
        <f t="shared" si="92"/>
        <v>112.33930073290881</v>
      </c>
      <c r="O505" s="248">
        <f t="shared" si="93"/>
        <v>5.7534055413513974E-2</v>
      </c>
      <c r="P505" s="247">
        <f t="shared" si="94"/>
        <v>0.41428514490910451</v>
      </c>
      <c r="Q505" s="251">
        <f t="shared" si="101"/>
        <v>1.5887980421602947</v>
      </c>
      <c r="R505" s="251">
        <f t="shared" si="102"/>
        <v>1.6258412592468956</v>
      </c>
      <c r="S505" s="251">
        <f t="shared" si="103"/>
        <v>-2.2784030652389542E-2</v>
      </c>
      <c r="T505" s="252">
        <f>C505*'1. Share_Price_Analysis'!$E$11+T504*(1-'1. Share_Price_Analysis'!$E$11)</f>
        <v>253.69700973746012</v>
      </c>
      <c r="U505" s="253">
        <f t="shared" si="104"/>
        <v>271.35208616662567</v>
      </c>
    </row>
    <row r="506" spans="2:21" x14ac:dyDescent="0.2">
      <c r="B506" s="245">
        <v>45631</v>
      </c>
      <c r="C506" s="246">
        <v>287.63</v>
      </c>
      <c r="D506" s="246">
        <v>606.66</v>
      </c>
      <c r="E506" s="246">
        <v>46.134999999999998</v>
      </c>
      <c r="F506" s="248">
        <f t="shared" si="95"/>
        <v>6.9315596009102975E-3</v>
      </c>
      <c r="G506" s="248">
        <f t="shared" si="96"/>
        <v>-1.6456571108843798E-3</v>
      </c>
      <c r="H506" s="248">
        <f t="shared" si="97"/>
        <v>-1.3155080213903769E-2</v>
      </c>
      <c r="I506" s="249">
        <f t="shared" si="98"/>
        <v>0.59981089048333835</v>
      </c>
      <c r="J506" s="249">
        <f t="shared" si="99"/>
        <v>0.49988874329368937</v>
      </c>
      <c r="K506" s="249">
        <f t="shared" si="100"/>
        <v>0.10861468220593573</v>
      </c>
      <c r="L506" s="250">
        <f t="shared" si="90"/>
        <v>159.98108904833416</v>
      </c>
      <c r="M506" s="250">
        <f t="shared" si="91"/>
        <v>149.98887432936928</v>
      </c>
      <c r="N506" s="250">
        <f t="shared" si="92"/>
        <v>110.86146822059352</v>
      </c>
      <c r="O506" s="248">
        <f t="shared" si="93"/>
        <v>6.6619706052479799E-2</v>
      </c>
      <c r="P506" s="247">
        <f t="shared" si="94"/>
        <v>0.44307207559258921</v>
      </c>
      <c r="Q506" s="251">
        <f t="shared" si="101"/>
        <v>1.5998108904833384</v>
      </c>
      <c r="R506" s="251">
        <f t="shared" si="102"/>
        <v>1.6258412592468956</v>
      </c>
      <c r="S506" s="251">
        <f t="shared" si="103"/>
        <v>-1.6010399917895324E-2</v>
      </c>
      <c r="T506" s="252">
        <f>C506*'1. Share_Price_Analysis'!$E$11+T505*(1-'1. Share_Price_Analysis'!$E$11)</f>
        <v>254.03465143161478</v>
      </c>
      <c r="U506" s="253">
        <f t="shared" si="104"/>
        <v>271.99043572871875</v>
      </c>
    </row>
    <row r="507" spans="2:21" x14ac:dyDescent="0.2">
      <c r="B507" s="245">
        <v>45632</v>
      </c>
      <c r="C507" s="246">
        <v>286.86</v>
      </c>
      <c r="D507" s="246">
        <v>607.80999999999995</v>
      </c>
      <c r="E507" s="246">
        <v>45.954999999999998</v>
      </c>
      <c r="F507" s="248">
        <f t="shared" si="95"/>
        <v>-2.6770503772206578E-3</v>
      </c>
      <c r="G507" s="248">
        <f t="shared" si="96"/>
        <v>1.8956252266508766E-3</v>
      </c>
      <c r="H507" s="248">
        <f t="shared" si="97"/>
        <v>-3.9015931505365087E-3</v>
      </c>
      <c r="I507" s="249">
        <f t="shared" si="98"/>
        <v>0.59552811613548817</v>
      </c>
      <c r="J507" s="249">
        <f t="shared" si="99"/>
        <v>0.50273197023264649</v>
      </c>
      <c r="K507" s="249">
        <f t="shared" si="100"/>
        <v>0.10428931875525693</v>
      </c>
      <c r="L507" s="250">
        <f t="shared" si="90"/>
        <v>159.55281161354915</v>
      </c>
      <c r="M507" s="250">
        <f t="shared" si="91"/>
        <v>150.27319702326497</v>
      </c>
      <c r="N507" s="250">
        <f t="shared" si="92"/>
        <v>110.42893187552565</v>
      </c>
      <c r="O507" s="248">
        <f t="shared" si="93"/>
        <v>6.1751628195196639E-2</v>
      </c>
      <c r="P507" s="247">
        <f t="shared" si="94"/>
        <v>0.44484610059793961</v>
      </c>
      <c r="Q507" s="251">
        <f t="shared" si="101"/>
        <v>1.5955281161354882</v>
      </c>
      <c r="R507" s="251">
        <f t="shared" si="102"/>
        <v>1.6258412592468956</v>
      </c>
      <c r="S507" s="251">
        <f t="shared" si="103"/>
        <v>-1.8644589647976328E-2</v>
      </c>
      <c r="T507" s="252">
        <f>C507*'1. Share_Price_Analysis'!$E$11+T506*(1-'1. Share_Price_Analysis'!$E$11)</f>
        <v>254.36127181537981</v>
      </c>
      <c r="U507" s="253">
        <f t="shared" si="104"/>
        <v>272.57355589622</v>
      </c>
    </row>
    <row r="508" spans="2:21" x14ac:dyDescent="0.2">
      <c r="B508" s="245">
        <v>45635</v>
      </c>
      <c r="C508" s="246">
        <v>281.23</v>
      </c>
      <c r="D508" s="246">
        <v>604.67999999999995</v>
      </c>
      <c r="E508" s="246">
        <v>45.945</v>
      </c>
      <c r="F508" s="248">
        <f t="shared" si="95"/>
        <v>-1.9626298542843146E-2</v>
      </c>
      <c r="G508" s="248">
        <f t="shared" si="96"/>
        <v>-5.1496355769072855E-3</v>
      </c>
      <c r="H508" s="248">
        <f t="shared" si="97"/>
        <v>-2.1760417800020804E-4</v>
      </c>
      <c r="I508" s="249">
        <f t="shared" si="98"/>
        <v>0.56421380499471296</v>
      </c>
      <c r="J508" s="249">
        <f t="shared" si="99"/>
        <v>0.49499344821618041</v>
      </c>
      <c r="K508" s="249">
        <f t="shared" si="100"/>
        <v>0.10404902078577472</v>
      </c>
      <c r="L508" s="250">
        <f t="shared" si="90"/>
        <v>156.42138049947164</v>
      </c>
      <c r="M508" s="250">
        <f t="shared" si="91"/>
        <v>149.49934482161839</v>
      </c>
      <c r="N508" s="250">
        <f t="shared" si="92"/>
        <v>110.40490207857742</v>
      </c>
      <c r="O508" s="248">
        <f t="shared" si="93"/>
        <v>4.6301444906749145E-2</v>
      </c>
      <c r="P508" s="247">
        <f t="shared" si="94"/>
        <v>0.41679742071726977</v>
      </c>
      <c r="Q508" s="251">
        <f t="shared" si="101"/>
        <v>1.564213804994713</v>
      </c>
      <c r="R508" s="251">
        <f t="shared" si="102"/>
        <v>1.6258412592468956</v>
      </c>
      <c r="S508" s="251">
        <f t="shared" si="103"/>
        <v>-3.7904963908179434E-2</v>
      </c>
      <c r="T508" s="252">
        <f>C508*'1. Share_Price_Analysis'!$E$11+T507*(1-'1. Share_Price_Analysis'!$E$11)</f>
        <v>254.62862234458001</v>
      </c>
      <c r="U508" s="253">
        <f t="shared" si="104"/>
        <v>272.91302429244666</v>
      </c>
    </row>
    <row r="509" spans="2:21" x14ac:dyDescent="0.2">
      <c r="B509" s="245">
        <v>45636</v>
      </c>
      <c r="C509" s="246">
        <v>276.31</v>
      </c>
      <c r="D509" s="246">
        <v>602.79999999999995</v>
      </c>
      <c r="E509" s="246">
        <v>45.475000000000001</v>
      </c>
      <c r="F509" s="248">
        <f t="shared" si="95"/>
        <v>-1.7494577392170196E-2</v>
      </c>
      <c r="G509" s="248">
        <f t="shared" si="96"/>
        <v>-3.1090824899120406E-3</v>
      </c>
      <c r="H509" s="248">
        <f t="shared" si="97"/>
        <v>-1.0229622374578251E-2</v>
      </c>
      <c r="I509" s="249">
        <f t="shared" si="98"/>
        <v>0.53684854552533201</v>
      </c>
      <c r="J509" s="249">
        <f t="shared" si="99"/>
        <v>0.4903453902637982</v>
      </c>
      <c r="K509" s="249">
        <f t="shared" si="100"/>
        <v>9.2755016220113395E-2</v>
      </c>
      <c r="L509" s="250">
        <f t="shared" si="90"/>
        <v>153.68485455253352</v>
      </c>
      <c r="M509" s="250">
        <f t="shared" si="91"/>
        <v>149.03453902638017</v>
      </c>
      <c r="N509" s="250">
        <f t="shared" si="92"/>
        <v>109.27550162201129</v>
      </c>
      <c r="O509" s="248">
        <f t="shared" si="93"/>
        <v>3.1202938302310246E-2</v>
      </c>
      <c r="P509" s="247">
        <f t="shared" si="94"/>
        <v>0.40639806975341752</v>
      </c>
      <c r="Q509" s="251">
        <f t="shared" si="101"/>
        <v>1.536848545525332</v>
      </c>
      <c r="R509" s="251">
        <f t="shared" si="102"/>
        <v>1.6258412592468956</v>
      </c>
      <c r="S509" s="251">
        <f t="shared" si="103"/>
        <v>-5.4736409975710609E-2</v>
      </c>
      <c r="T509" s="252">
        <f>C509*'1. Share_Price_Analysis'!$E$11+T508*(1-'1. Share_Price_Analysis'!$E$11)</f>
        <v>254.84435744562899</v>
      </c>
      <c r="U509" s="253">
        <f t="shared" si="104"/>
        <v>273.04623902607619</v>
      </c>
    </row>
    <row r="510" spans="2:21" x14ac:dyDescent="0.2">
      <c r="B510" s="245">
        <v>45637</v>
      </c>
      <c r="C510" s="246">
        <v>279.56</v>
      </c>
      <c r="D510" s="246">
        <v>607.46</v>
      </c>
      <c r="E510" s="246">
        <v>45.314999999999998</v>
      </c>
      <c r="F510" s="248">
        <f t="shared" si="95"/>
        <v>1.1762151206977656E-2</v>
      </c>
      <c r="G510" s="248">
        <f t="shared" si="96"/>
        <v>7.7305905773059624E-3</v>
      </c>
      <c r="H510" s="248">
        <f t="shared" si="97"/>
        <v>-3.518416712479433E-3</v>
      </c>
      <c r="I510" s="249">
        <f t="shared" si="98"/>
        <v>0.55492519050002476</v>
      </c>
      <c r="J510" s="249">
        <f t="shared" si="99"/>
        <v>0.50186664029470296</v>
      </c>
      <c r="K510" s="249">
        <f t="shared" si="100"/>
        <v>8.8910248708398809E-2</v>
      </c>
      <c r="L510" s="250">
        <f t="shared" si="90"/>
        <v>155.49251905000278</v>
      </c>
      <c r="M510" s="250">
        <f t="shared" si="91"/>
        <v>150.18666402947068</v>
      </c>
      <c r="N510" s="250">
        <f t="shared" si="92"/>
        <v>108.89102487083984</v>
      </c>
      <c r="O510" s="248">
        <f t="shared" si="93"/>
        <v>3.5328403189587076E-2</v>
      </c>
      <c r="P510" s="247">
        <f t="shared" si="94"/>
        <v>0.42796451070635566</v>
      </c>
      <c r="Q510" s="251">
        <f t="shared" si="101"/>
        <v>1.5549251905000248</v>
      </c>
      <c r="R510" s="251">
        <f t="shared" si="102"/>
        <v>1.6258412592468956</v>
      </c>
      <c r="S510" s="251">
        <f t="shared" si="103"/>
        <v>-4.3618076699394215E-2</v>
      </c>
      <c r="T510" s="252">
        <f>C510*'1. Share_Price_Analysis'!$E$11+T509*(1-'1. Share_Price_Analysis'!$E$11)</f>
        <v>255.0902842372148</v>
      </c>
      <c r="U510" s="253">
        <f t="shared" si="104"/>
        <v>273.3016806328967</v>
      </c>
    </row>
    <row r="511" spans="2:21" x14ac:dyDescent="0.2">
      <c r="B511" s="245">
        <v>45638</v>
      </c>
      <c r="C511" s="246">
        <v>278.11</v>
      </c>
      <c r="D511" s="246">
        <v>604.33000000000004</v>
      </c>
      <c r="E511" s="246">
        <v>45</v>
      </c>
      <c r="F511" s="248">
        <f t="shared" si="95"/>
        <v>-5.1867219917012264E-3</v>
      </c>
      <c r="G511" s="248">
        <f t="shared" si="96"/>
        <v>-5.1526026405031011E-3</v>
      </c>
      <c r="H511" s="248">
        <f t="shared" si="97"/>
        <v>-6.9513406156901381E-3</v>
      </c>
      <c r="I511" s="249">
        <f t="shared" si="98"/>
        <v>0.54686022581900806</v>
      </c>
      <c r="J511" s="249">
        <f t="shared" si="99"/>
        <v>0.49412811827823688</v>
      </c>
      <c r="K511" s="249">
        <f t="shared" si="100"/>
        <v>8.1340862669710967E-2</v>
      </c>
      <c r="L511" s="250">
        <f t="shared" si="90"/>
        <v>154.68602258190111</v>
      </c>
      <c r="M511" s="250">
        <f t="shared" si="91"/>
        <v>149.41281182782407</v>
      </c>
      <c r="N511" s="250">
        <f t="shared" si="92"/>
        <v>108.13408626697102</v>
      </c>
      <c r="O511" s="248">
        <f t="shared" si="93"/>
        <v>3.5292895499174026E-2</v>
      </c>
      <c r="P511" s="247">
        <f t="shared" si="94"/>
        <v>0.43050196216573311</v>
      </c>
      <c r="Q511" s="251">
        <f t="shared" si="101"/>
        <v>1.5468602258190081</v>
      </c>
      <c r="R511" s="251">
        <f t="shared" si="102"/>
        <v>1.6258412592468956</v>
      </c>
      <c r="S511" s="251">
        <f t="shared" si="103"/>
        <v>-4.8578563853443057E-2</v>
      </c>
      <c r="T511" s="252">
        <f>C511*'1. Share_Price_Analysis'!$E$11+T510*(1-'1. Share_Price_Analysis'!$E$11)</f>
        <v>255.31933613535196</v>
      </c>
      <c r="U511" s="253">
        <f t="shared" si="104"/>
        <v>273.49024217670467</v>
      </c>
    </row>
    <row r="512" spans="2:21" x14ac:dyDescent="0.2">
      <c r="B512" s="245">
        <v>45639</v>
      </c>
      <c r="C512" s="246">
        <v>275.77</v>
      </c>
      <c r="D512" s="246">
        <v>604.21</v>
      </c>
      <c r="E512" s="246">
        <v>44.615000000000002</v>
      </c>
      <c r="F512" s="248">
        <f t="shared" si="95"/>
        <v>-8.4139369314301105E-3</v>
      </c>
      <c r="G512" s="248">
        <f t="shared" si="96"/>
        <v>-1.9856700809162131E-4</v>
      </c>
      <c r="H512" s="248">
        <f t="shared" si="97"/>
        <v>-8.5555555555555385E-3</v>
      </c>
      <c r="I512" s="249">
        <f t="shared" si="98"/>
        <v>0.53384504143722911</v>
      </c>
      <c r="J512" s="249">
        <f t="shared" si="99"/>
        <v>0.49383143372808491</v>
      </c>
      <c r="K512" s="249">
        <f t="shared" si="100"/>
        <v>7.2089390844647827E-2</v>
      </c>
      <c r="L512" s="250">
        <f t="shared" ref="L512:L575" si="105">(C512/$C$64)*100</f>
        <v>153.38450414372323</v>
      </c>
      <c r="M512" s="250">
        <f t="shared" ref="M512:M575" si="106">(D512/$D$64)*100</f>
        <v>149.38314337280886</v>
      </c>
      <c r="N512" s="250">
        <f t="shared" ref="N512:N575" si="107">(E512/$E$64)*100</f>
        <v>107.20893908446473</v>
      </c>
      <c r="O512" s="248">
        <f t="shared" ref="O512:O575" si="108">(1+I512)/(1+J512)-1</f>
        <v>2.6785892173445625E-2</v>
      </c>
      <c r="P512" s="247">
        <f t="shared" ref="P512:P575" si="109">(1+I512)/(1+K512)-1</f>
        <v>0.43070629607554101</v>
      </c>
      <c r="Q512" s="251">
        <f t="shared" si="101"/>
        <v>1.5338450414372291</v>
      </c>
      <c r="R512" s="251">
        <f t="shared" si="102"/>
        <v>1.6258412592468956</v>
      </c>
      <c r="S512" s="251">
        <f t="shared" si="103"/>
        <v>-5.658376381239083E-2</v>
      </c>
      <c r="T512" s="252">
        <f>C512*'1. Share_Price_Analysis'!$E$11+T511*(1-'1. Share_Price_Analysis'!$E$11)</f>
        <v>255.52282532803505</v>
      </c>
      <c r="U512" s="253">
        <f t="shared" si="104"/>
        <v>273.5796444442849</v>
      </c>
    </row>
    <row r="513" spans="2:21" x14ac:dyDescent="0.2">
      <c r="B513" s="245">
        <v>45642</v>
      </c>
      <c r="C513" s="246">
        <v>277</v>
      </c>
      <c r="D513" s="246">
        <v>606.79</v>
      </c>
      <c r="E513" s="246">
        <v>44.22</v>
      </c>
      <c r="F513" s="248">
        <f t="shared" ref="F513:F576" si="110">C513/C512-1</f>
        <v>4.4602386046344034E-3</v>
      </c>
      <c r="G513" s="248">
        <f t="shared" ref="G513:G576" si="111">D513/D512 - 1</f>
        <v>4.2700385627512105E-3</v>
      </c>
      <c r="H513" s="248">
        <f t="shared" ref="H513:H576" si="112">E513/E512 - 1</f>
        <v>-8.8535245993500711E-3</v>
      </c>
      <c r="I513" s="249">
        <f t="shared" ref="I513:I576" si="113">(1+F513)*(1+I512)-1</f>
        <v>0.54068635630457451</v>
      </c>
      <c r="J513" s="249">
        <f t="shared" ref="J513:J576" si="114">(1+G513)*(1+J512)-1</f>
        <v>0.50021015155635373</v>
      </c>
      <c r="K513" s="249">
        <f t="shared" ref="K513:K576" si="115">(1+H513)*(1+K512)-1</f>
        <v>6.259762105010247E-2</v>
      </c>
      <c r="L513" s="250">
        <f t="shared" si="105"/>
        <v>154.06863563045775</v>
      </c>
      <c r="M513" s="250">
        <f t="shared" si="106"/>
        <v>150.02101515563575</v>
      </c>
      <c r="N513" s="250">
        <f t="shared" si="107"/>
        <v>106.2597621050102</v>
      </c>
      <c r="O513" s="248">
        <f t="shared" si="108"/>
        <v>2.6980356522871007E-2</v>
      </c>
      <c r="P513" s="247">
        <f t="shared" si="109"/>
        <v>0.44992453002294996</v>
      </c>
      <c r="Q513" s="251">
        <f t="shared" ref="Q513:Q576" si="116">Q512*(1+F513)</f>
        <v>1.5406863563045745</v>
      </c>
      <c r="R513" s="251">
        <f t="shared" ref="R513:R576" si="117">MAX(Q513,R512)</f>
        <v>1.6258412592468956</v>
      </c>
      <c r="S513" s="251">
        <f t="shared" ref="S513:S576" si="118">Q513/R513-1</f>
        <v>-5.2375902295508037E-2</v>
      </c>
      <c r="T513" s="252">
        <f>C513*'1. Share_Price_Analysis'!$E$11+T512*(1-'1. Share_Price_Analysis'!$E$11)</f>
        <v>255.73652855860189</v>
      </c>
      <c r="U513" s="253">
        <f t="shared" ref="U513:U576" si="119">C513*$L$5+U512*(1-$L$5)</f>
        <v>273.71377603470512</v>
      </c>
    </row>
    <row r="514" spans="2:21" x14ac:dyDescent="0.2">
      <c r="B514" s="245">
        <v>45643</v>
      </c>
      <c r="C514" s="246">
        <v>272.64999999999998</v>
      </c>
      <c r="D514" s="246">
        <v>604.29</v>
      </c>
      <c r="E514" s="246">
        <v>43.975000000000001</v>
      </c>
      <c r="F514" s="248">
        <f t="shared" si="110"/>
        <v>-1.5703971119133686E-2</v>
      </c>
      <c r="G514" s="248">
        <f t="shared" si="111"/>
        <v>-4.1200415300186588E-3</v>
      </c>
      <c r="H514" s="248">
        <f t="shared" si="112"/>
        <v>-5.540479421076383E-3</v>
      </c>
      <c r="I514" s="249">
        <f t="shared" si="113"/>
        <v>0.5164914622615242</v>
      </c>
      <c r="J514" s="249">
        <f t="shared" si="114"/>
        <v>0.494029223428186</v>
      </c>
      <c r="K514" s="249">
        <f t="shared" si="115"/>
        <v>5.6710320797789704E-2</v>
      </c>
      <c r="L514" s="250">
        <f t="shared" si="105"/>
        <v>151.64914622615274</v>
      </c>
      <c r="M514" s="250">
        <f t="shared" si="106"/>
        <v>149.40292234281898</v>
      </c>
      <c r="N514" s="250">
        <f t="shared" si="107"/>
        <v>105.67103207977893</v>
      </c>
      <c r="O514" s="248">
        <f t="shared" si="108"/>
        <v>1.5034671665790089E-2</v>
      </c>
      <c r="P514" s="247">
        <f t="shared" si="109"/>
        <v>0.43510613307591361</v>
      </c>
      <c r="Q514" s="251">
        <f t="shared" si="116"/>
        <v>1.5164914622615242</v>
      </c>
      <c r="R514" s="251">
        <f t="shared" si="117"/>
        <v>1.6258412592468956</v>
      </c>
      <c r="S514" s="251">
        <f t="shared" si="118"/>
        <v>-6.7257363757654454E-2</v>
      </c>
      <c r="T514" s="252">
        <f>C514*'1. Share_Price_Analysis'!$E$11+T513*(1-'1. Share_Price_Analysis'!$E$11)</f>
        <v>255.904821806775</v>
      </c>
      <c r="U514" s="253">
        <f t="shared" si="119"/>
        <v>273.6720593274618</v>
      </c>
    </row>
    <row r="515" spans="2:21" x14ac:dyDescent="0.2">
      <c r="B515" s="245">
        <v>45644</v>
      </c>
      <c r="C515" s="246">
        <v>264.89</v>
      </c>
      <c r="D515" s="246">
        <v>586.28</v>
      </c>
      <c r="E515" s="246">
        <v>42.725000000000001</v>
      </c>
      <c r="F515" s="248">
        <f t="shared" si="110"/>
        <v>-2.8461397395928789E-2</v>
      </c>
      <c r="G515" s="248">
        <f t="shared" si="111"/>
        <v>-2.9803571133065199E-2</v>
      </c>
      <c r="H515" s="248">
        <f t="shared" si="112"/>
        <v>-2.8425241614553731E-2</v>
      </c>
      <c r="I515" s="249">
        <f t="shared" si="113"/>
        <v>0.47332999610656579</v>
      </c>
      <c r="J515" s="249">
        <f t="shared" si="114"/>
        <v>0.44950181719286597</v>
      </c>
      <c r="K515" s="249">
        <f t="shared" si="115"/>
        <v>2.6673074612519887E-2</v>
      </c>
      <c r="L515" s="250">
        <f t="shared" si="105"/>
        <v>147.33299961065686</v>
      </c>
      <c r="M515" s="250">
        <f t="shared" si="106"/>
        <v>144.95018171928695</v>
      </c>
      <c r="N515" s="250">
        <f t="shared" si="107"/>
        <v>102.66730746125194</v>
      </c>
      <c r="O515" s="248">
        <f t="shared" si="108"/>
        <v>1.643887481275863E-2</v>
      </c>
      <c r="P515" s="247">
        <f t="shared" si="109"/>
        <v>0.43505272762960123</v>
      </c>
      <c r="Q515" s="251">
        <f t="shared" si="116"/>
        <v>1.4733299961065658</v>
      </c>
      <c r="R515" s="251">
        <f t="shared" si="117"/>
        <v>1.6258412592468956</v>
      </c>
      <c r="S515" s="251">
        <f t="shared" si="118"/>
        <v>-9.3804522595874129E-2</v>
      </c>
      <c r="T515" s="252">
        <f>C515*'1. Share_Price_Analysis'!$E$11+T514*(1-'1. Share_Price_Analysis'!$E$11)</f>
        <v>255.99422656491657</v>
      </c>
      <c r="U515" s="253">
        <f t="shared" si="119"/>
        <v>273.32766484403191</v>
      </c>
    </row>
    <row r="516" spans="2:21" x14ac:dyDescent="0.2">
      <c r="B516" s="245">
        <v>45645</v>
      </c>
      <c r="C516" s="246">
        <v>260.92</v>
      </c>
      <c r="D516" s="246">
        <v>586.1</v>
      </c>
      <c r="E516" s="246">
        <v>42.265000000000001</v>
      </c>
      <c r="F516" s="248">
        <f t="shared" si="110"/>
        <v>-1.4987353240967893E-2</v>
      </c>
      <c r="G516" s="248">
        <f t="shared" si="111"/>
        <v>-3.0702053626241455E-4</v>
      </c>
      <c r="H516" s="248">
        <f t="shared" si="112"/>
        <v>-1.076653013458162E-2</v>
      </c>
      <c r="I516" s="249">
        <f t="shared" si="113"/>
        <v>0.4512486790144028</v>
      </c>
      <c r="J516" s="249">
        <f t="shared" si="114"/>
        <v>0.44905679036763813</v>
      </c>
      <c r="K516" s="249">
        <f t="shared" si="115"/>
        <v>1.5619368016340562E-2</v>
      </c>
      <c r="L516" s="250">
        <f t="shared" si="105"/>
        <v>145.12486790144058</v>
      </c>
      <c r="M516" s="250">
        <f t="shared" si="106"/>
        <v>144.90567903676416</v>
      </c>
      <c r="N516" s="250">
        <f t="shared" si="107"/>
        <v>101.561936801634</v>
      </c>
      <c r="O516" s="248">
        <f t="shared" si="108"/>
        <v>1.5126312932212116E-3</v>
      </c>
      <c r="P516" s="247">
        <f t="shared" si="109"/>
        <v>0.42892970015815335</v>
      </c>
      <c r="Q516" s="251">
        <f t="shared" si="116"/>
        <v>1.4512486790144028</v>
      </c>
      <c r="R516" s="251">
        <f t="shared" si="117"/>
        <v>1.6258412592468956</v>
      </c>
      <c r="S516" s="251">
        <f t="shared" si="118"/>
        <v>-0.1073859943210973</v>
      </c>
      <c r="T516" s="252">
        <f>C516*'1. Share_Price_Analysis'!$E$11+T515*(1-'1. Share_Price_Analysis'!$E$11)</f>
        <v>256.04323923591244</v>
      </c>
      <c r="U516" s="253">
        <f t="shared" si="119"/>
        <v>272.8410897521091</v>
      </c>
    </row>
    <row r="517" spans="2:21" x14ac:dyDescent="0.2">
      <c r="B517" s="245">
        <v>45646</v>
      </c>
      <c r="C517" s="246">
        <v>263.13</v>
      </c>
      <c r="D517" s="246">
        <v>591.15</v>
      </c>
      <c r="E517" s="246">
        <v>42.79</v>
      </c>
      <c r="F517" s="248">
        <f t="shared" si="110"/>
        <v>8.4700291277020057E-3</v>
      </c>
      <c r="G517" s="248">
        <f t="shared" si="111"/>
        <v>8.6162770858213555E-3</v>
      </c>
      <c r="H517" s="248">
        <f t="shared" si="112"/>
        <v>1.2421625458417074E-2</v>
      </c>
      <c r="I517" s="249">
        <f t="shared" si="113"/>
        <v>0.46354079759719391</v>
      </c>
      <c r="J517" s="249">
        <f t="shared" si="114"/>
        <v>0.46154226518653663</v>
      </c>
      <c r="K517" s="249">
        <f t="shared" si="115"/>
        <v>2.8235011414153854E-2</v>
      </c>
      <c r="L517" s="250">
        <f t="shared" si="105"/>
        <v>146.35407975971967</v>
      </c>
      <c r="M517" s="250">
        <f t="shared" si="106"/>
        <v>146.15422651865401</v>
      </c>
      <c r="N517" s="250">
        <f t="shared" si="107"/>
        <v>102.82350114141533</v>
      </c>
      <c r="O517" s="248">
        <f t="shared" si="108"/>
        <v>1.3674133538670308E-3</v>
      </c>
      <c r="P517" s="247">
        <f t="shared" si="109"/>
        <v>0.4233524256136294</v>
      </c>
      <c r="Q517" s="251">
        <f t="shared" si="116"/>
        <v>1.4635407975971939</v>
      </c>
      <c r="R517" s="251">
        <f t="shared" si="117"/>
        <v>1.6258412592468956</v>
      </c>
      <c r="S517" s="251">
        <f t="shared" si="118"/>
        <v>-9.9825527693202187E-2</v>
      </c>
      <c r="T517" s="252">
        <f>C517*'1. Share_Price_Analysis'!$E$11+T516*(1-'1. Share_Price_Analysis'!$E$11)</f>
        <v>256.11375426839095</v>
      </c>
      <c r="U517" s="253">
        <f t="shared" si="119"/>
        <v>272.46026270300678</v>
      </c>
    </row>
    <row r="518" spans="2:21" x14ac:dyDescent="0.2">
      <c r="B518" s="245">
        <v>45649</v>
      </c>
      <c r="C518" s="246">
        <v>262.87</v>
      </c>
      <c r="D518" s="246">
        <v>594.69000000000005</v>
      </c>
      <c r="E518" s="246">
        <v>42.534999999999997</v>
      </c>
      <c r="F518" s="248">
        <f t="shared" si="110"/>
        <v>-9.8810473910226904E-4</v>
      </c>
      <c r="G518" s="248">
        <f t="shared" si="111"/>
        <v>5.9883278355747915E-3</v>
      </c>
      <c r="H518" s="248">
        <f t="shared" si="112"/>
        <v>-5.9593362935266292E-3</v>
      </c>
      <c r="I518" s="249">
        <f t="shared" si="113"/>
        <v>0.46209466599921867</v>
      </c>
      <c r="J518" s="249">
        <f t="shared" si="114"/>
        <v>0.4702944594160221</v>
      </c>
      <c r="K518" s="249">
        <f t="shared" si="115"/>
        <v>2.2107413192358649E-2</v>
      </c>
      <c r="L518" s="250">
        <f t="shared" si="105"/>
        <v>146.20946659992214</v>
      </c>
      <c r="M518" s="250">
        <f t="shared" si="106"/>
        <v>147.02944594160257</v>
      </c>
      <c r="N518" s="250">
        <f t="shared" si="107"/>
        <v>102.21074131923584</v>
      </c>
      <c r="O518" s="248">
        <f t="shared" si="108"/>
        <v>-5.5769736220458999E-3</v>
      </c>
      <c r="P518" s="247">
        <f t="shared" si="109"/>
        <v>0.43047066005777546</v>
      </c>
      <c r="Q518" s="251">
        <f t="shared" si="116"/>
        <v>1.4620946659992187</v>
      </c>
      <c r="R518" s="251">
        <f t="shared" si="117"/>
        <v>1.6258412592468956</v>
      </c>
      <c r="S518" s="251">
        <f t="shared" si="118"/>
        <v>-0.1007149943553074</v>
      </c>
      <c r="T518" s="252">
        <f>C518*'1. Share_Price_Analysis'!$E$11+T517*(1-'1. Share_Price_Analysis'!$E$11)</f>
        <v>256.18098059407862</v>
      </c>
      <c r="U518" s="253">
        <f t="shared" si="119"/>
        <v>272.08417396955554</v>
      </c>
    </row>
    <row r="519" spans="2:21" x14ac:dyDescent="0.2">
      <c r="B519" s="245">
        <v>45650</v>
      </c>
      <c r="C519" s="246">
        <v>264.31</v>
      </c>
      <c r="D519" s="246">
        <v>601.29999999999995</v>
      </c>
      <c r="E519" s="246">
        <v>42.765000000000001</v>
      </c>
      <c r="F519" s="248">
        <f t="shared" si="110"/>
        <v>5.4779929242592118E-3</v>
      </c>
      <c r="G519" s="248">
        <f t="shared" si="111"/>
        <v>1.1115034723973682E-2</v>
      </c>
      <c r="H519" s="248">
        <f t="shared" si="112"/>
        <v>5.4073116257200571E-3</v>
      </c>
      <c r="I519" s="249">
        <f t="shared" si="113"/>
        <v>0.4701040102341596</v>
      </c>
      <c r="J519" s="249">
        <f t="shared" si="114"/>
        <v>0.48663683338689734</v>
      </c>
      <c r="K519" s="249">
        <f t="shared" si="115"/>
        <v>2.7634266490448312E-2</v>
      </c>
      <c r="L519" s="250">
        <f t="shared" si="105"/>
        <v>147.01040102341622</v>
      </c>
      <c r="M519" s="250">
        <f t="shared" si="106"/>
        <v>148.66368333869011</v>
      </c>
      <c r="N519" s="250">
        <f t="shared" si="107"/>
        <v>102.7634266490448</v>
      </c>
      <c r="O519" s="248">
        <f t="shared" si="108"/>
        <v>-1.1120956229149881E-2</v>
      </c>
      <c r="P519" s="247">
        <f t="shared" si="109"/>
        <v>0.43057122380204715</v>
      </c>
      <c r="Q519" s="251">
        <f t="shared" si="116"/>
        <v>1.4701040102341596</v>
      </c>
      <c r="R519" s="251">
        <f t="shared" si="117"/>
        <v>1.6258412592468956</v>
      </c>
      <c r="S519" s="251">
        <f t="shared" si="118"/>
        <v>-9.5788717457493289E-2</v>
      </c>
      <c r="T519" s="252">
        <f>C519*'1. Share_Price_Analysis'!$E$11+T518*(1-'1. Share_Price_Analysis'!$E$11)</f>
        <v>256.26186635931168</v>
      </c>
      <c r="U519" s="253">
        <f t="shared" si="119"/>
        <v>271.77930440212202</v>
      </c>
    </row>
    <row r="520" spans="2:21" x14ac:dyDescent="0.2">
      <c r="B520" s="245">
        <v>45652</v>
      </c>
      <c r="C520" s="246">
        <v>264.55</v>
      </c>
      <c r="D520" s="246">
        <v>601.34</v>
      </c>
      <c r="E520" s="246">
        <v>42.7</v>
      </c>
      <c r="F520" s="248">
        <f t="shared" si="110"/>
        <v>9.0802466800354864E-4</v>
      </c>
      <c r="G520" s="248">
        <f t="shared" si="111"/>
        <v>6.6522534508672848E-5</v>
      </c>
      <c r="H520" s="248">
        <f t="shared" si="112"/>
        <v>-1.5199345258972707E-3</v>
      </c>
      <c r="I520" s="249">
        <f t="shared" si="113"/>
        <v>0.47143890093998309</v>
      </c>
      <c r="J520" s="249">
        <f t="shared" si="114"/>
        <v>0.48673572823694822</v>
      </c>
      <c r="K520" s="249">
        <f t="shared" si="115"/>
        <v>2.6072329688814344E-2</v>
      </c>
      <c r="L520" s="250">
        <f t="shared" si="105"/>
        <v>147.14389009399858</v>
      </c>
      <c r="M520" s="250">
        <f t="shared" si="106"/>
        <v>148.6735728236952</v>
      </c>
      <c r="N520" s="250">
        <f t="shared" si="107"/>
        <v>102.60723296888142</v>
      </c>
      <c r="O520" s="248">
        <f t="shared" si="108"/>
        <v>-1.0288867756682585E-2</v>
      </c>
      <c r="P520" s="247">
        <f t="shared" si="109"/>
        <v>0.4340498796865897</v>
      </c>
      <c r="Q520" s="251">
        <f t="shared" si="116"/>
        <v>1.4714389009399831</v>
      </c>
      <c r="R520" s="251">
        <f t="shared" si="117"/>
        <v>1.6258412592468956</v>
      </c>
      <c r="S520" s="251">
        <f t="shared" si="118"/>
        <v>-9.496767130785766E-2</v>
      </c>
      <c r="T520" s="252">
        <f>C520*'1. Share_Price_Analysis'!$E$11+T519*(1-'1. Share_Price_Analysis'!$E$11)</f>
        <v>256.3443353507613</v>
      </c>
      <c r="U520" s="253">
        <f t="shared" si="119"/>
        <v>271.49580226870546</v>
      </c>
    </row>
    <row r="521" spans="2:21" x14ac:dyDescent="0.2">
      <c r="B521" s="245">
        <v>45653</v>
      </c>
      <c r="C521" s="246">
        <v>262.36</v>
      </c>
      <c r="D521" s="246">
        <v>595.01</v>
      </c>
      <c r="E521" s="246">
        <v>42.47</v>
      </c>
      <c r="F521" s="248">
        <f t="shared" si="110"/>
        <v>-8.2782082782082433E-3</v>
      </c>
      <c r="G521" s="248">
        <f t="shared" si="111"/>
        <v>-1.0526490837130531E-2</v>
      </c>
      <c r="H521" s="248">
        <f t="shared" si="112"/>
        <v>-5.3864168618268371E-3</v>
      </c>
      <c r="I521" s="249">
        <f t="shared" si="113"/>
        <v>0.45925802324934417</v>
      </c>
      <c r="J521" s="249">
        <f t="shared" si="114"/>
        <v>0.47108561821642736</v>
      </c>
      <c r="K521" s="249">
        <f t="shared" si="115"/>
        <v>2.054547639072446E-2</v>
      </c>
      <c r="L521" s="250">
        <f t="shared" si="105"/>
        <v>145.92580232493466</v>
      </c>
      <c r="M521" s="250">
        <f t="shared" si="106"/>
        <v>147.10856182164315</v>
      </c>
      <c r="N521" s="250">
        <f t="shared" si="107"/>
        <v>102.05454763907244</v>
      </c>
      <c r="O521" s="248">
        <f t="shared" si="108"/>
        <v>-8.0400452703923708E-3</v>
      </c>
      <c r="P521" s="247">
        <f t="shared" si="109"/>
        <v>0.4298804482580989</v>
      </c>
      <c r="Q521" s="251">
        <f t="shared" si="116"/>
        <v>1.4592580232493442</v>
      </c>
      <c r="R521" s="251">
        <f t="shared" si="117"/>
        <v>1.6258412592468956</v>
      </c>
      <c r="S521" s="251">
        <f t="shared" si="118"/>
        <v>-0.10245971742328297</v>
      </c>
      <c r="T521" s="252">
        <f>C521*'1. Share_Price_Analysis'!$E$11+T520*(1-'1. Share_Price_Analysis'!$E$11)</f>
        <v>256.40419271045522</v>
      </c>
      <c r="U521" s="253">
        <f t="shared" si="119"/>
        <v>271.13753551306996</v>
      </c>
    </row>
    <row r="522" spans="2:21" x14ac:dyDescent="0.2">
      <c r="B522" s="245">
        <v>45656</v>
      </c>
      <c r="C522" s="246">
        <v>258.16000000000003</v>
      </c>
      <c r="D522" s="246">
        <v>588.22</v>
      </c>
      <c r="E522" s="246">
        <v>41.9</v>
      </c>
      <c r="F522" s="248">
        <f t="shared" si="110"/>
        <v>-1.6008537886872953E-2</v>
      </c>
      <c r="G522" s="248">
        <f t="shared" si="111"/>
        <v>-1.141157291474082E-2</v>
      </c>
      <c r="H522" s="248">
        <f t="shared" si="112"/>
        <v>-1.3421238521309165E-2</v>
      </c>
      <c r="I522" s="249">
        <f t="shared" si="113"/>
        <v>0.43589743589743368</v>
      </c>
      <c r="J522" s="249">
        <f t="shared" si="114"/>
        <v>0.45429821742032406</v>
      </c>
      <c r="K522" s="249">
        <f t="shared" si="115"/>
        <v>6.8484921302414126E-3</v>
      </c>
      <c r="L522" s="250">
        <f t="shared" si="105"/>
        <v>143.58974358974362</v>
      </c>
      <c r="M522" s="250">
        <f t="shared" si="106"/>
        <v>145.42982174203277</v>
      </c>
      <c r="N522" s="250">
        <f t="shared" si="107"/>
        <v>100.68484921302414</v>
      </c>
      <c r="O522" s="248">
        <f t="shared" si="108"/>
        <v>-1.2652687944244456E-2</v>
      </c>
      <c r="P522" s="247">
        <f t="shared" si="109"/>
        <v>0.42613059176304802</v>
      </c>
      <c r="Q522" s="251">
        <f t="shared" si="116"/>
        <v>1.4358974358974337</v>
      </c>
      <c r="R522" s="251">
        <f t="shared" si="117"/>
        <v>1.6258412592468956</v>
      </c>
      <c r="S522" s="251">
        <f t="shared" si="118"/>
        <v>-0.11682802504190704</v>
      </c>
      <c r="T522" s="252">
        <f>C522*'1. Share_Price_Analysis'!$E$11+T521*(1-'1. Share_Price_Analysis'!$E$11)</f>
        <v>256.42166342975418</v>
      </c>
      <c r="U522" s="253">
        <f t="shared" si="119"/>
        <v>270.62861255177313</v>
      </c>
    </row>
    <row r="523" spans="2:21" x14ac:dyDescent="0.2">
      <c r="B523" s="245">
        <v>45657</v>
      </c>
      <c r="C523" s="246">
        <v>257.23</v>
      </c>
      <c r="D523" s="246">
        <v>586.08000000000004</v>
      </c>
      <c r="E523" s="246">
        <v>42.07</v>
      </c>
      <c r="F523" s="248">
        <f t="shared" si="110"/>
        <v>-3.6024171056708854E-3</v>
      </c>
      <c r="G523" s="248">
        <f t="shared" si="111"/>
        <v>-3.6380945904592732E-3</v>
      </c>
      <c r="H523" s="248">
        <f t="shared" si="112"/>
        <v>4.0572792362769672E-3</v>
      </c>
      <c r="I523" s="249">
        <f t="shared" si="113"/>
        <v>0.43072473441236769</v>
      </c>
      <c r="J523" s="249">
        <f t="shared" si="114"/>
        <v>0.44900734294261269</v>
      </c>
      <c r="K523" s="249">
        <f t="shared" si="115"/>
        <v>1.0933557611438216E-2</v>
      </c>
      <c r="L523" s="250">
        <f t="shared" si="105"/>
        <v>143.07247344123701</v>
      </c>
      <c r="M523" s="250">
        <f t="shared" si="106"/>
        <v>144.90073429426161</v>
      </c>
      <c r="N523" s="250">
        <f t="shared" si="107"/>
        <v>101.09335576114383</v>
      </c>
      <c r="O523" s="248">
        <f t="shared" si="108"/>
        <v>-1.2617333251822682E-2</v>
      </c>
      <c r="P523" s="247">
        <f t="shared" si="109"/>
        <v>0.41525100600358167</v>
      </c>
      <c r="Q523" s="251">
        <f t="shared" si="116"/>
        <v>1.4307247344123677</v>
      </c>
      <c r="R523" s="251">
        <f t="shared" si="117"/>
        <v>1.6258412592468956</v>
      </c>
      <c r="S523" s="251">
        <f t="shared" si="118"/>
        <v>-0.12000957887174524</v>
      </c>
      <c r="T523" s="252">
        <f>C523*'1. Share_Price_Analysis'!$E$11+T522*(1-'1. Share_Price_Analysis'!$E$11)</f>
        <v>256.42970657970687</v>
      </c>
      <c r="U523" s="253">
        <f t="shared" si="119"/>
        <v>270.10317676542905</v>
      </c>
    </row>
    <row r="524" spans="2:21" x14ac:dyDescent="0.2">
      <c r="B524" s="245">
        <v>45659</v>
      </c>
      <c r="C524" s="246">
        <v>255.57</v>
      </c>
      <c r="D524" s="246">
        <v>584.64</v>
      </c>
      <c r="E524" s="246">
        <v>41.604999999999997</v>
      </c>
      <c r="F524" s="248">
        <f t="shared" si="110"/>
        <v>-6.4533685806477115E-3</v>
      </c>
      <c r="G524" s="248">
        <f t="shared" si="111"/>
        <v>-2.4570024570025328E-3</v>
      </c>
      <c r="H524" s="248">
        <f t="shared" si="112"/>
        <v>-1.1053006893273154E-2</v>
      </c>
      <c r="I524" s="249">
        <f t="shared" si="113"/>
        <v>0.42149174036375547</v>
      </c>
      <c r="J524" s="249">
        <f t="shared" si="114"/>
        <v>0.44544712834078792</v>
      </c>
      <c r="K524" s="249">
        <f t="shared" si="115"/>
        <v>-2.4029796948221716E-4</v>
      </c>
      <c r="L524" s="250">
        <f t="shared" si="105"/>
        <v>142.14917403637577</v>
      </c>
      <c r="M524" s="250">
        <f t="shared" si="106"/>
        <v>144.54471283407915</v>
      </c>
      <c r="N524" s="250">
        <f t="shared" si="107"/>
        <v>99.975970203051773</v>
      </c>
      <c r="O524" s="248">
        <f t="shared" si="108"/>
        <v>-1.6572994962832377E-2</v>
      </c>
      <c r="P524" s="247">
        <f t="shared" si="109"/>
        <v>0.42183340404368908</v>
      </c>
      <c r="Q524" s="251">
        <f t="shared" si="116"/>
        <v>1.4214917403637555</v>
      </c>
      <c r="R524" s="251">
        <f t="shared" si="117"/>
        <v>1.6258412592468956</v>
      </c>
      <c r="S524" s="251">
        <f t="shared" si="118"/>
        <v>-0.12568848140672517</v>
      </c>
      <c r="T524" s="252">
        <f>C524*'1. Share_Price_Analysis'!$E$11+T523*(1-'1. Share_Price_Analysis'!$E$11)</f>
        <v>256.42115228538142</v>
      </c>
      <c r="U524" s="253">
        <f t="shared" si="119"/>
        <v>269.53324826482395</v>
      </c>
    </row>
    <row r="525" spans="2:21" x14ac:dyDescent="0.2">
      <c r="B525" s="245">
        <v>45660</v>
      </c>
      <c r="C525" s="246">
        <v>257.13</v>
      </c>
      <c r="D525" s="246">
        <v>591.95000000000005</v>
      </c>
      <c r="E525" s="246">
        <v>41.594999999999999</v>
      </c>
      <c r="F525" s="248">
        <f t="shared" si="110"/>
        <v>6.1040028172321126E-3</v>
      </c>
      <c r="G525" s="248">
        <f t="shared" si="111"/>
        <v>1.2503420908593466E-2</v>
      </c>
      <c r="H525" s="248">
        <f t="shared" si="112"/>
        <v>-2.4035572647518322E-4</v>
      </c>
      <c r="I525" s="249">
        <f t="shared" si="113"/>
        <v>0.43016852995160804</v>
      </c>
      <c r="J525" s="249">
        <f t="shared" si="114"/>
        <v>0.46352016218755043</v>
      </c>
      <c r="K525" s="249">
        <f t="shared" si="115"/>
        <v>-4.8059593896432329E-4</v>
      </c>
      <c r="L525" s="250">
        <f t="shared" si="105"/>
        <v>143.01685299516103</v>
      </c>
      <c r="M525" s="250">
        <f t="shared" si="106"/>
        <v>146.35201621875541</v>
      </c>
      <c r="N525" s="250">
        <f t="shared" si="107"/>
        <v>99.95194040610356</v>
      </c>
      <c r="O525" s="248">
        <f t="shared" si="108"/>
        <v>-2.278863872028325E-2</v>
      </c>
      <c r="P525" s="247">
        <f t="shared" si="109"/>
        <v>0.43085619362750727</v>
      </c>
      <c r="Q525" s="251">
        <f t="shared" si="116"/>
        <v>1.430168529951608</v>
      </c>
      <c r="R525" s="251">
        <f t="shared" si="117"/>
        <v>1.6258412592468956</v>
      </c>
      <c r="S525" s="251">
        <f t="shared" si="118"/>
        <v>-0.12035168143409336</v>
      </c>
      <c r="T525" s="252">
        <f>C525*'1. Share_Price_Analysis'!$E$11+T524*(1-'1. Share_Price_Analysis'!$E$11)</f>
        <v>256.42820549647217</v>
      </c>
      <c r="U525" s="253">
        <f t="shared" si="119"/>
        <v>269.04684637208572</v>
      </c>
    </row>
    <row r="526" spans="2:21" x14ac:dyDescent="0.2">
      <c r="B526" s="245">
        <v>45663</v>
      </c>
      <c r="C526" s="246">
        <v>257.38</v>
      </c>
      <c r="D526" s="246">
        <v>595.36</v>
      </c>
      <c r="E526" s="246">
        <v>41.875</v>
      </c>
      <c r="F526" s="248">
        <f t="shared" si="110"/>
        <v>9.7227083576401085E-4</v>
      </c>
      <c r="G526" s="248">
        <f t="shared" si="111"/>
        <v>5.7606216741277194E-3</v>
      </c>
      <c r="H526" s="248">
        <f t="shared" si="112"/>
        <v>6.7315783147012809E-3</v>
      </c>
      <c r="I526" s="249">
        <f t="shared" si="113"/>
        <v>0.43155904110350751</v>
      </c>
      <c r="J526" s="249">
        <f t="shared" si="114"/>
        <v>0.47195094815437089</v>
      </c>
      <c r="K526" s="249">
        <f t="shared" si="115"/>
        <v>6.2477472065360917E-3</v>
      </c>
      <c r="L526" s="250">
        <f t="shared" si="105"/>
        <v>143.15590411035097</v>
      </c>
      <c r="M526" s="250">
        <f t="shared" si="106"/>
        <v>147.1950948154375</v>
      </c>
      <c r="N526" s="250">
        <f t="shared" si="107"/>
        <v>100.6247747206536</v>
      </c>
      <c r="O526" s="248">
        <f t="shared" si="108"/>
        <v>-2.7441068672505287E-2</v>
      </c>
      <c r="P526" s="247">
        <f t="shared" si="109"/>
        <v>0.4226705551169545</v>
      </c>
      <c r="Q526" s="251">
        <f t="shared" si="116"/>
        <v>1.4315590411035075</v>
      </c>
      <c r="R526" s="251">
        <f t="shared" si="117"/>
        <v>1.6258412592468956</v>
      </c>
      <c r="S526" s="251">
        <f t="shared" si="118"/>
        <v>-0.11949642502822289</v>
      </c>
      <c r="T526" s="252">
        <f>C526*'1. Share_Price_Analysis'!$E$11+T525*(1-'1. Share_Price_Analysis'!$E$11)</f>
        <v>256.43767608854711</v>
      </c>
      <c r="U526" s="253">
        <f t="shared" si="119"/>
        <v>268.58932298494517</v>
      </c>
    </row>
    <row r="527" spans="2:21" x14ac:dyDescent="0.2">
      <c r="B527" s="245">
        <v>45664</v>
      </c>
      <c r="C527" s="246">
        <v>251.98</v>
      </c>
      <c r="D527" s="246">
        <v>588.63</v>
      </c>
      <c r="E527" s="246">
        <v>41.85</v>
      </c>
      <c r="F527" s="248">
        <f t="shared" si="110"/>
        <v>-2.0980651177247678E-2</v>
      </c>
      <c r="G527" s="248">
        <f t="shared" si="111"/>
        <v>-1.1304084923407731E-2</v>
      </c>
      <c r="H527" s="248">
        <f t="shared" si="112"/>
        <v>-5.9701492537311829E-4</v>
      </c>
      <c r="I527" s="249">
        <f t="shared" si="113"/>
        <v>0.40152400022247958</v>
      </c>
      <c r="J527" s="249">
        <f t="shared" si="114"/>
        <v>0.45531188963334324</v>
      </c>
      <c r="K527" s="249">
        <f t="shared" si="115"/>
        <v>5.6470022828307709E-3</v>
      </c>
      <c r="L527" s="250">
        <f t="shared" si="105"/>
        <v>140.15240002224817</v>
      </c>
      <c r="M527" s="250">
        <f t="shared" si="106"/>
        <v>145.53118896333473</v>
      </c>
      <c r="N527" s="250">
        <f t="shared" si="107"/>
        <v>100.56470022828307</v>
      </c>
      <c r="O527" s="248">
        <f t="shared" si="108"/>
        <v>-3.6959699012982794E-2</v>
      </c>
      <c r="P527" s="247">
        <f t="shared" si="109"/>
        <v>0.3936540327182434</v>
      </c>
      <c r="Q527" s="251">
        <f t="shared" si="116"/>
        <v>1.4015240002224796</v>
      </c>
      <c r="R527" s="251">
        <f t="shared" si="117"/>
        <v>1.6258412592468956</v>
      </c>
      <c r="S527" s="251">
        <f t="shared" si="118"/>
        <v>-0.13796996339502532</v>
      </c>
      <c r="T527" s="252">
        <f>C527*'1. Share_Price_Analysis'!$E$11+T526*(1-'1. Share_Price_Analysis'!$E$11)</f>
        <v>256.39332110259141</v>
      </c>
      <c r="U527" s="253">
        <f t="shared" si="119"/>
        <v>267.93797698553556</v>
      </c>
    </row>
    <row r="528" spans="2:21" x14ac:dyDescent="0.2">
      <c r="B528" s="245">
        <v>45665</v>
      </c>
      <c r="C528" s="246">
        <v>255.28</v>
      </c>
      <c r="D528" s="246">
        <v>589.49</v>
      </c>
      <c r="E528" s="246">
        <v>42.08</v>
      </c>
      <c r="F528" s="248">
        <f t="shared" si="110"/>
        <v>1.3096277482339991E-2</v>
      </c>
      <c r="G528" s="248">
        <f t="shared" si="111"/>
        <v>1.4610196558109134E-3</v>
      </c>
      <c r="H528" s="248">
        <f t="shared" si="112"/>
        <v>5.4958183990441167E-3</v>
      </c>
      <c r="I528" s="249">
        <f t="shared" si="113"/>
        <v>0.41987874742755227</v>
      </c>
      <c r="J528" s="249">
        <f t="shared" si="114"/>
        <v>0.45743812890943292</v>
      </c>
      <c r="K528" s="249">
        <f t="shared" si="115"/>
        <v>1.1173855580920211E-2</v>
      </c>
      <c r="L528" s="250">
        <f t="shared" si="105"/>
        <v>141.98787474275545</v>
      </c>
      <c r="M528" s="250">
        <f t="shared" si="106"/>
        <v>145.7438128909437</v>
      </c>
      <c r="N528" s="250">
        <f t="shared" si="107"/>
        <v>101.11738555809202</v>
      </c>
      <c r="O528" s="248">
        <f t="shared" si="108"/>
        <v>-2.5770823980010404E-2</v>
      </c>
      <c r="P528" s="247">
        <f t="shared" si="109"/>
        <v>0.40418854739062726</v>
      </c>
      <c r="Q528" s="251">
        <f t="shared" si="116"/>
        <v>1.4198787474275523</v>
      </c>
      <c r="R528" s="251">
        <f t="shared" si="117"/>
        <v>1.6258412592468956</v>
      </c>
      <c r="S528" s="251">
        <f t="shared" si="118"/>
        <v>-0.12668057883753492</v>
      </c>
      <c r="T528" s="252">
        <f>C528*'1. Share_Price_Analysis'!$E$11+T527*(1-'1. Share_Price_Analysis'!$E$11)</f>
        <v>256.38224328067508</v>
      </c>
      <c r="U528" s="253">
        <f t="shared" si="119"/>
        <v>267.4415857312008</v>
      </c>
    </row>
    <row r="529" spans="2:21" x14ac:dyDescent="0.2">
      <c r="B529" s="245">
        <v>45667</v>
      </c>
      <c r="C529" s="246">
        <v>251.69</v>
      </c>
      <c r="D529" s="246">
        <v>580.49</v>
      </c>
      <c r="E529" s="246">
        <v>41.65</v>
      </c>
      <c r="F529" s="248">
        <f t="shared" si="110"/>
        <v>-1.4062989658414349E-2</v>
      </c>
      <c r="G529" s="248">
        <f t="shared" si="111"/>
        <v>-1.526743456207913E-2</v>
      </c>
      <c r="H529" s="248">
        <f t="shared" si="112"/>
        <v>-1.0218631178707249E-2</v>
      </c>
      <c r="I529" s="249">
        <f t="shared" si="113"/>
        <v>0.39991100728627638</v>
      </c>
      <c r="J529" s="249">
        <f t="shared" si="114"/>
        <v>0.43518678764802909</v>
      </c>
      <c r="K529" s="249">
        <f t="shared" si="115"/>
        <v>8.4104289318731595E-4</v>
      </c>
      <c r="L529" s="250">
        <f t="shared" si="105"/>
        <v>139.99110072862783</v>
      </c>
      <c r="M529" s="250">
        <f t="shared" si="106"/>
        <v>143.5186787648033</v>
      </c>
      <c r="N529" s="250">
        <f t="shared" si="107"/>
        <v>100.08410428931876</v>
      </c>
      <c r="O529" s="248">
        <f t="shared" si="108"/>
        <v>-2.4579225969298624E-2</v>
      </c>
      <c r="P529" s="247">
        <f t="shared" si="109"/>
        <v>0.39873461148183442</v>
      </c>
      <c r="Q529" s="251">
        <f t="shared" si="116"/>
        <v>1.3999110072862764</v>
      </c>
      <c r="R529" s="251">
        <f t="shared" si="117"/>
        <v>1.6258412592468956</v>
      </c>
      <c r="S529" s="251">
        <f t="shared" si="118"/>
        <v>-0.13896206082583495</v>
      </c>
      <c r="T529" s="252">
        <f>C529*'1. Share_Price_Analysis'!$E$11+T528*(1-'1. Share_Price_Analysis'!$E$11)</f>
        <v>256.33555429280767</v>
      </c>
      <c r="U529" s="253">
        <f t="shared" si="119"/>
        <v>266.82387648683999</v>
      </c>
    </row>
    <row r="530" spans="2:21" x14ac:dyDescent="0.2">
      <c r="B530" s="245">
        <v>45670</v>
      </c>
      <c r="C530" s="246">
        <v>256.02999999999997</v>
      </c>
      <c r="D530" s="246">
        <v>581.39</v>
      </c>
      <c r="E530" s="246">
        <v>42.58</v>
      </c>
      <c r="F530" s="248">
        <f t="shared" si="110"/>
        <v>1.7243434383567013E-2</v>
      </c>
      <c r="G530" s="248">
        <f t="shared" si="111"/>
        <v>1.5504143051559005E-3</v>
      </c>
      <c r="H530" s="248">
        <f t="shared" si="112"/>
        <v>2.2328931572628941E-2</v>
      </c>
      <c r="I530" s="249">
        <f t="shared" si="113"/>
        <v>0.42405028088325047</v>
      </c>
      <c r="J530" s="249">
        <f t="shared" si="114"/>
        <v>0.43741192177416943</v>
      </c>
      <c r="K530" s="249">
        <f t="shared" si="115"/>
        <v>2.318875405502796E-2</v>
      </c>
      <c r="L530" s="250">
        <f t="shared" si="105"/>
        <v>142.40502808832528</v>
      </c>
      <c r="M530" s="250">
        <f t="shared" si="106"/>
        <v>143.74119217741733</v>
      </c>
      <c r="N530" s="250">
        <f t="shared" si="107"/>
        <v>102.31887540550282</v>
      </c>
      <c r="O530" s="248">
        <f t="shared" si="108"/>
        <v>-9.2956240925197164E-3</v>
      </c>
      <c r="P530" s="247">
        <f t="shared" si="109"/>
        <v>0.39177671298629613</v>
      </c>
      <c r="Q530" s="251">
        <f t="shared" si="116"/>
        <v>1.4240502808832505</v>
      </c>
      <c r="R530" s="251">
        <f t="shared" si="117"/>
        <v>1.6258412592468956</v>
      </c>
      <c r="S530" s="251">
        <f t="shared" si="118"/>
        <v>-0.12411480961992349</v>
      </c>
      <c r="T530" s="252">
        <f>C530*'1. Share_Price_Analysis'!$E$11+T529*(1-'1. Share_Price_Analysis'!$E$11)</f>
        <v>256.33251395158572</v>
      </c>
      <c r="U530" s="253">
        <f t="shared" si="119"/>
        <v>266.40058721284629</v>
      </c>
    </row>
    <row r="531" spans="2:21" x14ac:dyDescent="0.2">
      <c r="B531" s="245">
        <v>45671</v>
      </c>
      <c r="C531" s="246">
        <v>260.07</v>
      </c>
      <c r="D531" s="246">
        <v>582.19000000000005</v>
      </c>
      <c r="E531" s="246">
        <v>43.11</v>
      </c>
      <c r="F531" s="248">
        <f t="shared" si="110"/>
        <v>1.5779400851462899E-2</v>
      </c>
      <c r="G531" s="248">
        <f t="shared" si="111"/>
        <v>1.3760126593165278E-3</v>
      </c>
      <c r="H531" s="248">
        <f t="shared" si="112"/>
        <v>1.2447158290277205E-2</v>
      </c>
      <c r="I531" s="249">
        <f t="shared" si="113"/>
        <v>0.4465209410979456</v>
      </c>
      <c r="J531" s="249">
        <f t="shared" si="114"/>
        <v>0.43938981877518324</v>
      </c>
      <c r="K531" s="249">
        <f t="shared" si="115"/>
        <v>3.5924546437582361E-2</v>
      </c>
      <c r="L531" s="250">
        <f t="shared" si="105"/>
        <v>144.65209410979475</v>
      </c>
      <c r="M531" s="250">
        <f t="shared" si="106"/>
        <v>143.93898187751873</v>
      </c>
      <c r="N531" s="250">
        <f t="shared" si="107"/>
        <v>103.59245464375826</v>
      </c>
      <c r="O531" s="248">
        <f t="shared" si="108"/>
        <v>4.9542675859903795E-3</v>
      </c>
      <c r="P531" s="247">
        <f t="shared" si="109"/>
        <v>0.39635743363003995</v>
      </c>
      <c r="Q531" s="251">
        <f t="shared" si="116"/>
        <v>1.4465209410979456</v>
      </c>
      <c r="R531" s="251">
        <f t="shared" si="117"/>
        <v>1.6258412592468956</v>
      </c>
      <c r="S531" s="251">
        <f t="shared" si="118"/>
        <v>-0.1102938661010564</v>
      </c>
      <c r="T531" s="252">
        <f>C531*'1. Share_Price_Analysis'!$E$11+T530*(1-'1. Share_Price_Analysis'!$E$11)</f>
        <v>256.36970286749033</v>
      </c>
      <c r="U531" s="253">
        <f t="shared" si="119"/>
        <v>266.1523288907739</v>
      </c>
    </row>
    <row r="532" spans="2:21" x14ac:dyDescent="0.2">
      <c r="B532" s="245">
        <v>45672</v>
      </c>
      <c r="C532" s="246">
        <v>268.19</v>
      </c>
      <c r="D532" s="246">
        <v>592.78</v>
      </c>
      <c r="E532" s="246">
        <v>43.52</v>
      </c>
      <c r="F532" s="248">
        <f t="shared" si="110"/>
        <v>3.1222363209905124E-2</v>
      </c>
      <c r="G532" s="248">
        <f t="shared" si="111"/>
        <v>1.8189937992751259E-2</v>
      </c>
      <c r="H532" s="248">
        <f t="shared" si="112"/>
        <v>9.5105543957318961E-3</v>
      </c>
      <c r="I532" s="249">
        <f t="shared" si="113"/>
        <v>0.49168474331163936</v>
      </c>
      <c r="J532" s="249">
        <f t="shared" si="114"/>
        <v>0.4655722303261014</v>
      </c>
      <c r="K532" s="249">
        <f t="shared" si="115"/>
        <v>4.5776763186350822E-2</v>
      </c>
      <c r="L532" s="250">
        <f t="shared" si="105"/>
        <v>149.16847433116413</v>
      </c>
      <c r="M532" s="250">
        <f t="shared" si="106"/>
        <v>146.55722303261055</v>
      </c>
      <c r="N532" s="250">
        <f t="shared" si="107"/>
        <v>104.5776763186351</v>
      </c>
      <c r="O532" s="248">
        <f t="shared" si="108"/>
        <v>1.7817281499477922E-2</v>
      </c>
      <c r="P532" s="247">
        <f t="shared" si="109"/>
        <v>0.4263892599474699</v>
      </c>
      <c r="Q532" s="251">
        <f t="shared" si="116"/>
        <v>1.4916847433116394</v>
      </c>
      <c r="R532" s="251">
        <f t="shared" si="117"/>
        <v>1.6258412592468956</v>
      </c>
      <c r="S532" s="251">
        <f t="shared" si="118"/>
        <v>-8.2515138038383173E-2</v>
      </c>
      <c r="T532" s="252">
        <f>C532*'1. Share_Price_Analysis'!$E$11+T531*(1-'1. Share_Price_Analysis'!$E$11)</f>
        <v>256.48731776433124</v>
      </c>
      <c r="U532" s="253">
        <f t="shared" si="119"/>
        <v>266.23223756172393</v>
      </c>
    </row>
    <row r="533" spans="2:21" x14ac:dyDescent="0.2">
      <c r="B533" s="245">
        <v>45673</v>
      </c>
      <c r="C533" s="246">
        <v>269.17</v>
      </c>
      <c r="D533" s="246">
        <v>591.64</v>
      </c>
      <c r="E533" s="246">
        <v>43.88</v>
      </c>
      <c r="F533" s="248">
        <f t="shared" si="110"/>
        <v>3.6541258063313986E-3</v>
      </c>
      <c r="G533" s="248">
        <f t="shared" si="111"/>
        <v>-1.9231418064037387E-3</v>
      </c>
      <c r="H533" s="248">
        <f t="shared" si="112"/>
        <v>8.2720588235294379E-3</v>
      </c>
      <c r="I533" s="249">
        <f t="shared" si="113"/>
        <v>0.49713554702708529</v>
      </c>
      <c r="J533" s="249">
        <f t="shared" si="114"/>
        <v>0.4627537270996569</v>
      </c>
      <c r="K533" s="249">
        <f t="shared" si="115"/>
        <v>5.4427490087708641E-2</v>
      </c>
      <c r="L533" s="250">
        <f t="shared" si="105"/>
        <v>149.71355470270873</v>
      </c>
      <c r="M533" s="250">
        <f t="shared" si="106"/>
        <v>146.27537270996612</v>
      </c>
      <c r="N533" s="250">
        <f t="shared" si="107"/>
        <v>105.44274900877089</v>
      </c>
      <c r="O533" s="248">
        <f t="shared" si="108"/>
        <v>2.3504858877099188E-2</v>
      </c>
      <c r="P533" s="247">
        <f t="shared" si="109"/>
        <v>0.41985633066390515</v>
      </c>
      <c r="Q533" s="251">
        <f t="shared" si="116"/>
        <v>1.4971355470270853</v>
      </c>
      <c r="R533" s="251">
        <f t="shared" si="117"/>
        <v>1.6258412592468956</v>
      </c>
      <c r="S533" s="251">
        <f t="shared" si="118"/>
        <v>-7.9162532927370743E-2</v>
      </c>
      <c r="T533" s="252">
        <f>C533*'1. Share_Price_Analysis'!$E$11+T532*(1-'1. Share_Price_Analysis'!$E$11)</f>
        <v>256.61351360747221</v>
      </c>
      <c r="U533" s="253">
        <f t="shared" si="119"/>
        <v>266.34744393185241</v>
      </c>
    </row>
    <row r="534" spans="2:21" x14ac:dyDescent="0.2">
      <c r="B534" s="245">
        <v>45674</v>
      </c>
      <c r="C534" s="246">
        <v>270.10000000000002</v>
      </c>
      <c r="D534" s="246">
        <v>597.58000000000004</v>
      </c>
      <c r="E534" s="246">
        <v>44.164999999999999</v>
      </c>
      <c r="F534" s="248">
        <f t="shared" si="110"/>
        <v>3.4550655719434165E-3</v>
      </c>
      <c r="G534" s="248">
        <f t="shared" si="111"/>
        <v>1.0039889121763235E-2</v>
      </c>
      <c r="H534" s="248">
        <f t="shared" si="112"/>
        <v>6.4949863263445984E-3</v>
      </c>
      <c r="I534" s="249">
        <f t="shared" si="113"/>
        <v>0.50230824851215128</v>
      </c>
      <c r="J534" s="249">
        <f t="shared" si="114"/>
        <v>0.47743961233218335</v>
      </c>
      <c r="K534" s="249">
        <f t="shared" si="115"/>
        <v>6.1275982217950054E-2</v>
      </c>
      <c r="L534" s="250">
        <f t="shared" si="105"/>
        <v>150.23082485121532</v>
      </c>
      <c r="M534" s="250">
        <f t="shared" si="106"/>
        <v>147.74396123321878</v>
      </c>
      <c r="N534" s="250">
        <f t="shared" si="107"/>
        <v>106.12759822179503</v>
      </c>
      <c r="O534" s="248">
        <f t="shared" si="108"/>
        <v>1.6832252210100096E-2</v>
      </c>
      <c r="P534" s="247">
        <f t="shared" si="109"/>
        <v>0.41556793302011075</v>
      </c>
      <c r="Q534" s="251">
        <f t="shared" si="116"/>
        <v>1.5023082485121513</v>
      </c>
      <c r="R534" s="251">
        <f t="shared" si="117"/>
        <v>1.6258412592468956</v>
      </c>
      <c r="S534" s="251">
        <f t="shared" si="118"/>
        <v>-7.5980979097532542E-2</v>
      </c>
      <c r="T534" s="252">
        <f>C534*'1. Share_Price_Analysis'!$E$11+T533*(1-'1. Share_Price_Analysis'!$E$11)</f>
        <v>256.74770750192522</v>
      </c>
      <c r="U534" s="253">
        <f t="shared" si="119"/>
        <v>266.49460299334839</v>
      </c>
    </row>
    <row r="535" spans="2:21" x14ac:dyDescent="0.2">
      <c r="B535" s="245">
        <v>45678</v>
      </c>
      <c r="C535" s="246">
        <v>275.52999999999997</v>
      </c>
      <c r="D535" s="246">
        <v>603.04999999999995</v>
      </c>
      <c r="E535" s="246">
        <v>44.73</v>
      </c>
      <c r="F535" s="248">
        <f t="shared" si="110"/>
        <v>2.0103665309144647E-2</v>
      </c>
      <c r="G535" s="248">
        <f t="shared" si="111"/>
        <v>9.1535861307270316E-3</v>
      </c>
      <c r="H535" s="248">
        <f t="shared" si="112"/>
        <v>1.279293558247474E-2</v>
      </c>
      <c r="I535" s="249">
        <f t="shared" si="113"/>
        <v>0.53251015073140695</v>
      </c>
      <c r="J535" s="249">
        <f t="shared" si="114"/>
        <v>0.49096348307661386</v>
      </c>
      <c r="K535" s="249">
        <f t="shared" si="115"/>
        <v>7.4852817493691992E-2</v>
      </c>
      <c r="L535" s="250">
        <f t="shared" si="105"/>
        <v>153.25101507314088</v>
      </c>
      <c r="M535" s="250">
        <f t="shared" si="106"/>
        <v>149.09634830766186</v>
      </c>
      <c r="N535" s="250">
        <f t="shared" si="107"/>
        <v>107.48528174936919</v>
      </c>
      <c r="O535" s="248">
        <f t="shared" si="108"/>
        <v>2.786565071940017E-2</v>
      </c>
      <c r="P535" s="247">
        <f t="shared" si="109"/>
        <v>0.42578604790269425</v>
      </c>
      <c r="Q535" s="251">
        <f t="shared" si="116"/>
        <v>1.532510150731407</v>
      </c>
      <c r="R535" s="251">
        <f t="shared" si="117"/>
        <v>1.6258412592468956</v>
      </c>
      <c r="S535" s="251">
        <f t="shared" si="118"/>
        <v>-5.7404809962025682E-2</v>
      </c>
      <c r="T535" s="252">
        <f>C535*'1. Share_Price_Analysis'!$E$11+T534*(1-'1. Share_Price_Analysis'!$E$11)</f>
        <v>256.93459598449317</v>
      </c>
      <c r="U535" s="253">
        <f t="shared" si="119"/>
        <v>266.84893228772688</v>
      </c>
    </row>
    <row r="536" spans="2:21" x14ac:dyDescent="0.2">
      <c r="B536" s="245">
        <v>45679</v>
      </c>
      <c r="C536" s="246">
        <v>274.38</v>
      </c>
      <c r="D536" s="246">
        <v>606.44000000000005</v>
      </c>
      <c r="E536" s="246">
        <v>44.37</v>
      </c>
      <c r="F536" s="248">
        <f t="shared" si="110"/>
        <v>-4.1737741806698869E-3</v>
      </c>
      <c r="G536" s="248">
        <f t="shared" si="111"/>
        <v>5.621424425835464E-3</v>
      </c>
      <c r="H536" s="248">
        <f t="shared" si="112"/>
        <v>-8.0482897384305252E-3</v>
      </c>
      <c r="I536" s="249">
        <f t="shared" si="113"/>
        <v>0.52611379943266967</v>
      </c>
      <c r="J536" s="249">
        <f t="shared" si="114"/>
        <v>0.49934482161840954</v>
      </c>
      <c r="K536" s="249">
        <f t="shared" si="115"/>
        <v>6.6202090592334395E-2</v>
      </c>
      <c r="L536" s="250">
        <f t="shared" si="105"/>
        <v>152.61137994326714</v>
      </c>
      <c r="M536" s="250">
        <f t="shared" si="106"/>
        <v>149.93448216184143</v>
      </c>
      <c r="N536" s="250">
        <f t="shared" si="107"/>
        <v>106.62020905923345</v>
      </c>
      <c r="O536" s="248">
        <f t="shared" si="108"/>
        <v>1.7853783484819363E-2</v>
      </c>
      <c r="P536" s="247">
        <f t="shared" si="109"/>
        <v>0.4313550994678963</v>
      </c>
      <c r="Q536" s="251">
        <f t="shared" si="116"/>
        <v>1.5261137994326697</v>
      </c>
      <c r="R536" s="251">
        <f t="shared" si="117"/>
        <v>1.6258412592468956</v>
      </c>
      <c r="S536" s="251">
        <f t="shared" si="118"/>
        <v>-6.1338989429029822E-2</v>
      </c>
      <c r="T536" s="252">
        <f>C536*'1. Share_Price_Analysis'!$E$11+T535*(1-'1. Share_Price_Analysis'!$E$11)</f>
        <v>257.10818209410019</v>
      </c>
      <c r="U536" s="253">
        <f t="shared" si="119"/>
        <v>267.14426827644348</v>
      </c>
    </row>
    <row r="537" spans="2:21" x14ac:dyDescent="0.2">
      <c r="B537" s="245">
        <v>45680</v>
      </c>
      <c r="C537" s="246">
        <v>274.83</v>
      </c>
      <c r="D537" s="246">
        <v>609.75</v>
      </c>
      <c r="E537" s="246">
        <v>44.615000000000002</v>
      </c>
      <c r="F537" s="248">
        <f t="shared" si="110"/>
        <v>1.6400612289524386E-3</v>
      </c>
      <c r="G537" s="248">
        <f t="shared" si="111"/>
        <v>5.4580832398918311E-3</v>
      </c>
      <c r="H537" s="248">
        <f t="shared" si="112"/>
        <v>5.5217489294570044E-3</v>
      </c>
      <c r="I537" s="249">
        <f t="shared" si="113"/>
        <v>0.52861671950608846</v>
      </c>
      <c r="J537" s="249">
        <f t="shared" si="114"/>
        <v>0.50752837046010368</v>
      </c>
      <c r="K537" s="249">
        <f t="shared" si="115"/>
        <v>7.2089390844647383E-2</v>
      </c>
      <c r="L537" s="250">
        <f t="shared" si="105"/>
        <v>152.86167195060904</v>
      </c>
      <c r="M537" s="250">
        <f t="shared" si="106"/>
        <v>150.75283704601082</v>
      </c>
      <c r="N537" s="250">
        <f t="shared" si="107"/>
        <v>107.20893908446473</v>
      </c>
      <c r="O537" s="248">
        <f t="shared" si="108"/>
        <v>1.398869133026559E-2</v>
      </c>
      <c r="P537" s="247">
        <f t="shared" si="109"/>
        <v>0.42582953675324142</v>
      </c>
      <c r="Q537" s="251">
        <f t="shared" si="116"/>
        <v>1.5286167195060885</v>
      </c>
      <c r="R537" s="251">
        <f t="shared" si="117"/>
        <v>1.6258412592468956</v>
      </c>
      <c r="S537" s="251">
        <f t="shared" si="118"/>
        <v>-5.9799527898463101E-2</v>
      </c>
      <c r="T537" s="252">
        <f>C537*'1. Share_Price_Analysis'!$E$11+T536*(1-'1. Share_Price_Analysis'!$E$11)</f>
        <v>257.28451859067633</v>
      </c>
      <c r="U537" s="253">
        <f t="shared" si="119"/>
        <v>267.44566952050451</v>
      </c>
    </row>
    <row r="538" spans="2:21" x14ac:dyDescent="0.2">
      <c r="B538" s="245">
        <v>45681</v>
      </c>
      <c r="C538" s="246">
        <v>277.54000000000002</v>
      </c>
      <c r="D538" s="246">
        <v>607.97</v>
      </c>
      <c r="E538" s="246">
        <v>44.5</v>
      </c>
      <c r="F538" s="248">
        <f t="shared" si="110"/>
        <v>9.8606411236037417E-3</v>
      </c>
      <c r="G538" s="248">
        <f t="shared" si="111"/>
        <v>-2.9192291922919278E-3</v>
      </c>
      <c r="H538" s="248">
        <f t="shared" si="112"/>
        <v>-2.5776084276588618E-3</v>
      </c>
      <c r="I538" s="249">
        <f t="shared" si="113"/>
        <v>0.54368986039267853</v>
      </c>
      <c r="J538" s="249">
        <f t="shared" si="114"/>
        <v>0.50312754963284823</v>
      </c>
      <c r="K538" s="249">
        <f t="shared" si="115"/>
        <v>6.9325964195602552E-2</v>
      </c>
      <c r="L538" s="250">
        <f t="shared" si="105"/>
        <v>154.36898603926807</v>
      </c>
      <c r="M538" s="250">
        <f t="shared" si="106"/>
        <v>150.3127549632853</v>
      </c>
      <c r="N538" s="250">
        <f t="shared" si="107"/>
        <v>106.93259641956026</v>
      </c>
      <c r="O538" s="248">
        <f t="shared" si="108"/>
        <v>2.6985275314618473E-2</v>
      </c>
      <c r="P538" s="247">
        <f t="shared" si="109"/>
        <v>0.4436101919155353</v>
      </c>
      <c r="Q538" s="251">
        <f t="shared" si="116"/>
        <v>1.5436898603926785</v>
      </c>
      <c r="R538" s="251">
        <f t="shared" si="117"/>
        <v>1.6258412592468956</v>
      </c>
      <c r="S538" s="251">
        <f t="shared" si="118"/>
        <v>-5.0528548458827038E-2</v>
      </c>
      <c r="T538" s="252">
        <f>C538*'1. Share_Price_Analysis'!$E$11+T537*(1-'1. Share_Price_Analysis'!$E$11)</f>
        <v>257.48606566937605</v>
      </c>
      <c r="U538" s="253">
        <f t="shared" si="119"/>
        <v>267.84152561773965</v>
      </c>
    </row>
    <row r="539" spans="2:21" x14ac:dyDescent="0.2">
      <c r="B539" s="245">
        <v>45684</v>
      </c>
      <c r="C539" s="246">
        <v>274.99</v>
      </c>
      <c r="D539" s="246">
        <v>599.37</v>
      </c>
      <c r="E539" s="246">
        <v>44.524999999999999</v>
      </c>
      <c r="F539" s="248">
        <f t="shared" si="110"/>
        <v>-9.1878648122794004E-3</v>
      </c>
      <c r="G539" s="248">
        <f t="shared" si="111"/>
        <v>-1.4145434807638524E-2</v>
      </c>
      <c r="H539" s="248">
        <f t="shared" si="112"/>
        <v>5.6179775280895683E-4</v>
      </c>
      <c r="I539" s="249">
        <f t="shared" si="113"/>
        <v>0.52950664664330405</v>
      </c>
      <c r="J539" s="249">
        <f t="shared" si="114"/>
        <v>0.48186515687195142</v>
      </c>
      <c r="K539" s="249">
        <f t="shared" si="115"/>
        <v>6.9926709119307873E-2</v>
      </c>
      <c r="L539" s="250">
        <f t="shared" si="105"/>
        <v>152.95066466433062</v>
      </c>
      <c r="M539" s="250">
        <f t="shared" si="106"/>
        <v>148.18651568719559</v>
      </c>
      <c r="N539" s="250">
        <f t="shared" si="107"/>
        <v>106.99267091193079</v>
      </c>
      <c r="O539" s="248">
        <f t="shared" si="108"/>
        <v>3.2149679443113754E-2</v>
      </c>
      <c r="P539" s="247">
        <f t="shared" si="109"/>
        <v>0.42954338237082768</v>
      </c>
      <c r="Q539" s="251">
        <f t="shared" si="116"/>
        <v>1.529506646643304</v>
      </c>
      <c r="R539" s="251">
        <f t="shared" si="117"/>
        <v>1.6258412592468956</v>
      </c>
      <c r="S539" s="251">
        <f t="shared" si="118"/>
        <v>-5.9252163798706015E-2</v>
      </c>
      <c r="T539" s="252">
        <f>C539*'1. Share_Price_Analysis'!$E$11+T538*(1-'1. Share_Price_Analysis'!$E$11)</f>
        <v>257.66023417017828</v>
      </c>
      <c r="U539" s="253">
        <f t="shared" si="119"/>
        <v>268.12185794645575</v>
      </c>
    </row>
    <row r="540" spans="2:21" x14ac:dyDescent="0.2">
      <c r="B540" s="245">
        <v>45685</v>
      </c>
      <c r="C540" s="246">
        <v>275.10000000000002</v>
      </c>
      <c r="D540" s="246">
        <v>604.52</v>
      </c>
      <c r="E540" s="246">
        <v>44.38</v>
      </c>
      <c r="F540" s="248">
        <f t="shared" si="110"/>
        <v>4.0001454598348474E-4</v>
      </c>
      <c r="G540" s="248">
        <f t="shared" si="111"/>
        <v>8.5923553064051195E-3</v>
      </c>
      <c r="H540" s="248">
        <f t="shared" si="112"/>
        <v>-3.2565974171813172E-3</v>
      </c>
      <c r="I540" s="249">
        <f t="shared" si="113"/>
        <v>0.53011847155013969</v>
      </c>
      <c r="J540" s="249">
        <f t="shared" si="114"/>
        <v>0.49459786881597689</v>
      </c>
      <c r="K540" s="249">
        <f t="shared" si="115"/>
        <v>6.6442388561816612E-2</v>
      </c>
      <c r="L540" s="250">
        <f t="shared" si="105"/>
        <v>153.01184715501421</v>
      </c>
      <c r="M540" s="250">
        <f t="shared" si="106"/>
        <v>149.45978688159812</v>
      </c>
      <c r="N540" s="250">
        <f t="shared" si="107"/>
        <v>106.64423885618166</v>
      </c>
      <c r="O540" s="248">
        <f t="shared" si="108"/>
        <v>2.37659931646379E-2</v>
      </c>
      <c r="P540" s="247">
        <f t="shared" si="109"/>
        <v>0.43478774658763109</v>
      </c>
      <c r="Q540" s="251">
        <f t="shared" si="116"/>
        <v>1.5301184715501397</v>
      </c>
      <c r="R540" s="251">
        <f t="shared" si="117"/>
        <v>1.6258412592468956</v>
      </c>
      <c r="S540" s="251">
        <f t="shared" si="118"/>
        <v>-5.8875850980123046E-2</v>
      </c>
      <c r="T540" s="252">
        <f>C540*'1. Share_Price_Analysis'!$E$11+T539*(1-'1. Share_Price_Analysis'!$E$11)</f>
        <v>257.83376417843522</v>
      </c>
      <c r="U540" s="253">
        <f t="shared" si="119"/>
        <v>268.39551057600653</v>
      </c>
    </row>
    <row r="541" spans="2:21" x14ac:dyDescent="0.2">
      <c r="B541" s="245">
        <v>45686</v>
      </c>
      <c r="C541" s="246">
        <v>272.2</v>
      </c>
      <c r="D541" s="246">
        <v>601.80999999999995</v>
      </c>
      <c r="E541" s="246">
        <v>44.3</v>
      </c>
      <c r="F541" s="248">
        <f t="shared" si="110"/>
        <v>-1.0541621228644216E-2</v>
      </c>
      <c r="G541" s="248">
        <f t="shared" si="111"/>
        <v>-4.4828955204129217E-3</v>
      </c>
      <c r="H541" s="248">
        <f t="shared" si="112"/>
        <v>-1.8026137899955774E-3</v>
      </c>
      <c r="I541" s="249">
        <f t="shared" si="113"/>
        <v>0.51398854218810608</v>
      </c>
      <c r="J541" s="249">
        <f t="shared" si="114"/>
        <v>0.48789774272504305</v>
      </c>
      <c r="K541" s="249">
        <f t="shared" si="115"/>
        <v>6.4520004805959319E-2</v>
      </c>
      <c r="L541" s="250">
        <f t="shared" si="105"/>
        <v>151.39885421881084</v>
      </c>
      <c r="M541" s="250">
        <f t="shared" si="106"/>
        <v>148.78977427250473</v>
      </c>
      <c r="N541" s="250">
        <f t="shared" si="107"/>
        <v>106.45200048059593</v>
      </c>
      <c r="O541" s="248">
        <f t="shared" si="108"/>
        <v>1.7535344475540615E-2</v>
      </c>
      <c r="P541" s="247">
        <f t="shared" si="109"/>
        <v>0.42222648268979768</v>
      </c>
      <c r="Q541" s="251">
        <f t="shared" si="116"/>
        <v>1.5139885421881061</v>
      </c>
      <c r="R541" s="251">
        <f t="shared" si="117"/>
        <v>1.6258412592468956</v>
      </c>
      <c r="S541" s="251">
        <f t="shared" si="118"/>
        <v>-6.8796825288220731E-2</v>
      </c>
      <c r="T541" s="252">
        <f>C541*'1. Share_Price_Analysis'!$E$11+T540*(1-'1. Share_Price_Analysis'!$E$11)</f>
        <v>257.9767117985503</v>
      </c>
      <c r="U541" s="253">
        <f t="shared" si="119"/>
        <v>268.54470623969257</v>
      </c>
    </row>
    <row r="542" spans="2:21" x14ac:dyDescent="0.2">
      <c r="B542" s="245">
        <v>45687</v>
      </c>
      <c r="C542" s="246">
        <v>276.36</v>
      </c>
      <c r="D542" s="246">
        <v>605.04</v>
      </c>
      <c r="E542" s="246">
        <v>44.72</v>
      </c>
      <c r="F542" s="248">
        <f t="shared" si="110"/>
        <v>1.5282880235121254E-2</v>
      </c>
      <c r="G542" s="248">
        <f t="shared" si="111"/>
        <v>5.3671424535983725E-3</v>
      </c>
      <c r="H542" s="248">
        <f t="shared" si="112"/>
        <v>9.4808126410834692E-3</v>
      </c>
      <c r="I542" s="249">
        <f t="shared" si="113"/>
        <v>0.53712664775571262</v>
      </c>
      <c r="J542" s="249">
        <f t="shared" si="114"/>
        <v>0.49588350186663588</v>
      </c>
      <c r="K542" s="249">
        <f t="shared" si="115"/>
        <v>7.4612519524209997E-2</v>
      </c>
      <c r="L542" s="250">
        <f t="shared" si="105"/>
        <v>153.71266477557151</v>
      </c>
      <c r="M542" s="250">
        <f t="shared" si="106"/>
        <v>149.588350186664</v>
      </c>
      <c r="N542" s="250">
        <f t="shared" si="107"/>
        <v>107.46125195242099</v>
      </c>
      <c r="O542" s="248">
        <f t="shared" si="108"/>
        <v>2.7571094832994358E-2</v>
      </c>
      <c r="P542" s="247">
        <f t="shared" si="109"/>
        <v>0.4304008373513859</v>
      </c>
      <c r="Q542" s="251">
        <f t="shared" si="116"/>
        <v>1.5371266477557126</v>
      </c>
      <c r="R542" s="251">
        <f t="shared" si="117"/>
        <v>1.6258412592468956</v>
      </c>
      <c r="S542" s="251">
        <f t="shared" si="118"/>
        <v>-5.4565358694536048E-2</v>
      </c>
      <c r="T542" s="252">
        <f>C542*'1. Share_Price_Analysis'!$E$11+T541*(1-'1. Share_Price_Analysis'!$E$11)</f>
        <v>258.159630089112</v>
      </c>
      <c r="U542" s="253">
        <f t="shared" si="119"/>
        <v>268.85118834793991</v>
      </c>
    </row>
    <row r="543" spans="2:21" x14ac:dyDescent="0.2">
      <c r="B543" s="245">
        <v>45688</v>
      </c>
      <c r="C543" s="246">
        <v>274.14999999999998</v>
      </c>
      <c r="D543" s="246">
        <v>601.82000000000005</v>
      </c>
      <c r="E543" s="246">
        <v>44.395000000000003</v>
      </c>
      <c r="F543" s="248">
        <f t="shared" si="110"/>
        <v>-7.996815747575714E-3</v>
      </c>
      <c r="G543" s="248">
        <f t="shared" si="111"/>
        <v>-5.3219621843182408E-3</v>
      </c>
      <c r="H543" s="248">
        <f t="shared" si="112"/>
        <v>-7.2674418604650182E-3</v>
      </c>
      <c r="I543" s="249">
        <f t="shared" si="113"/>
        <v>0.5248345291729215</v>
      </c>
      <c r="J543" s="249">
        <f t="shared" si="114"/>
        <v>0.4879224664375561</v>
      </c>
      <c r="K543" s="249">
        <f t="shared" si="115"/>
        <v>6.6802835516039938E-2</v>
      </c>
      <c r="L543" s="250">
        <f t="shared" si="105"/>
        <v>152.4834529172924</v>
      </c>
      <c r="M543" s="250">
        <f t="shared" si="106"/>
        <v>148.79224664375604</v>
      </c>
      <c r="N543" s="250">
        <f t="shared" si="107"/>
        <v>106.68028355160399</v>
      </c>
      <c r="O543" s="248">
        <f t="shared" si="108"/>
        <v>2.4807786405525389E-2</v>
      </c>
      <c r="P543" s="247">
        <f t="shared" si="109"/>
        <v>0.4293499027262333</v>
      </c>
      <c r="Q543" s="251">
        <f t="shared" si="116"/>
        <v>1.5248345291729215</v>
      </c>
      <c r="R543" s="251">
        <f t="shared" si="117"/>
        <v>1.6258412592468956</v>
      </c>
      <c r="S543" s="251">
        <f t="shared" si="118"/>
        <v>-6.2125825322431161E-2</v>
      </c>
      <c r="T543" s="252">
        <f>C543*'1. Share_Price_Analysis'!$E$11+T542*(1-'1. Share_Price_Analysis'!$E$11)</f>
        <v>258.31873824742934</v>
      </c>
      <c r="U543" s="253">
        <f t="shared" si="119"/>
        <v>269.05898488331485</v>
      </c>
    </row>
    <row r="544" spans="2:21" x14ac:dyDescent="0.2">
      <c r="B544" s="245">
        <v>45691</v>
      </c>
      <c r="C544" s="246">
        <v>271.16000000000003</v>
      </c>
      <c r="D544" s="246">
        <v>597.77</v>
      </c>
      <c r="E544" s="246">
        <v>44.44</v>
      </c>
      <c r="F544" s="248">
        <f t="shared" si="110"/>
        <v>-1.0906438081342174E-2</v>
      </c>
      <c r="G544" s="248">
        <f t="shared" si="111"/>
        <v>-6.7295869196770663E-3</v>
      </c>
      <c r="H544" s="248">
        <f t="shared" si="112"/>
        <v>1.0136276607723982E-3</v>
      </c>
      <c r="I544" s="249">
        <f t="shared" si="113"/>
        <v>0.50820401579620444</v>
      </c>
      <c r="J544" s="249">
        <f t="shared" si="114"/>
        <v>0.47790936286992425</v>
      </c>
      <c r="K544" s="249">
        <f t="shared" si="115"/>
        <v>6.7884176378709471E-2</v>
      </c>
      <c r="L544" s="250">
        <f t="shared" si="105"/>
        <v>150.82040157962069</v>
      </c>
      <c r="M544" s="250">
        <f t="shared" si="106"/>
        <v>147.79093628699286</v>
      </c>
      <c r="N544" s="250">
        <f t="shared" si="107"/>
        <v>106.78841763787095</v>
      </c>
      <c r="O544" s="248">
        <f t="shared" si="108"/>
        <v>2.0498315855751459E-2</v>
      </c>
      <c r="P544" s="247">
        <f t="shared" si="109"/>
        <v>0.41232921056163496</v>
      </c>
      <c r="Q544" s="251">
        <f t="shared" si="116"/>
        <v>1.5082040157962044</v>
      </c>
      <c r="R544" s="251">
        <f t="shared" si="117"/>
        <v>1.6258412592468956</v>
      </c>
      <c r="S544" s="251">
        <f t="shared" si="118"/>
        <v>-7.2354691936641902E-2</v>
      </c>
      <c r="T544" s="252">
        <f>C544*'1. Share_Price_Analysis'!$E$11+T543*(1-'1. Share_Price_Analysis'!$E$11)</f>
        <v>258.44651199621114</v>
      </c>
      <c r="U544" s="253">
        <f t="shared" si="119"/>
        <v>269.14137763298879</v>
      </c>
    </row>
    <row r="545" spans="2:21" x14ac:dyDescent="0.2">
      <c r="B545" s="245">
        <v>45692</v>
      </c>
      <c r="C545" s="246">
        <v>272.07</v>
      </c>
      <c r="D545" s="246">
        <v>601.78</v>
      </c>
      <c r="E545" s="246">
        <v>44.57</v>
      </c>
      <c r="F545" s="248">
        <f t="shared" si="110"/>
        <v>3.3559522053399071E-3</v>
      </c>
      <c r="G545" s="248">
        <f t="shared" si="111"/>
        <v>6.7082657209294183E-3</v>
      </c>
      <c r="H545" s="248">
        <f t="shared" si="112"/>
        <v>2.9252925292528875E-3</v>
      </c>
      <c r="I545" s="249">
        <f t="shared" si="113"/>
        <v>0.51326547638911824</v>
      </c>
      <c r="J545" s="249">
        <f t="shared" si="114"/>
        <v>0.48782357158750522</v>
      </c>
      <c r="K545" s="249">
        <f t="shared" si="115"/>
        <v>7.1008049981977406E-2</v>
      </c>
      <c r="L545" s="250">
        <f t="shared" si="105"/>
        <v>151.32654763891207</v>
      </c>
      <c r="M545" s="250">
        <f t="shared" si="106"/>
        <v>148.78235715875095</v>
      </c>
      <c r="N545" s="250">
        <f t="shared" si="107"/>
        <v>107.10080499819776</v>
      </c>
      <c r="O545" s="248">
        <f t="shared" si="108"/>
        <v>1.7100081815793811E-2</v>
      </c>
      <c r="P545" s="247">
        <f t="shared" si="109"/>
        <v>0.41293566973150475</v>
      </c>
      <c r="Q545" s="251">
        <f t="shared" si="116"/>
        <v>1.5132654763891182</v>
      </c>
      <c r="R545" s="251">
        <f t="shared" si="117"/>
        <v>1.6258412592468956</v>
      </c>
      <c r="S545" s="251">
        <f t="shared" si="118"/>
        <v>-6.9241558619273502E-2</v>
      </c>
      <c r="T545" s="252">
        <f>C545*'1. Share_Price_Analysis'!$E$11+T544*(1-'1. Share_Price_Analysis'!$E$11)</f>
        <v>258.5820690907762</v>
      </c>
      <c r="U545" s="253">
        <f t="shared" si="119"/>
        <v>269.25622556895001</v>
      </c>
    </row>
    <row r="546" spans="2:21" x14ac:dyDescent="0.2">
      <c r="B546" s="245">
        <v>45693</v>
      </c>
      <c r="C546" s="246">
        <v>274.33</v>
      </c>
      <c r="D546" s="246">
        <v>604.22</v>
      </c>
      <c r="E546" s="246">
        <v>44.534999999999997</v>
      </c>
      <c r="F546" s="248">
        <f t="shared" si="110"/>
        <v>8.3066857793949733E-3</v>
      </c>
      <c r="G546" s="248">
        <f t="shared" si="111"/>
        <v>4.0546379075410144E-3</v>
      </c>
      <c r="H546" s="248">
        <f t="shared" si="112"/>
        <v>-7.8528157953783317E-4</v>
      </c>
      <c r="I546" s="249">
        <f t="shared" si="113"/>
        <v>0.52583569720228907</v>
      </c>
      <c r="J546" s="249">
        <f t="shared" si="114"/>
        <v>0.49385615744059708</v>
      </c>
      <c r="K546" s="249">
        <f t="shared" si="115"/>
        <v>7.0167007088789868E-2</v>
      </c>
      <c r="L546" s="250">
        <f t="shared" si="105"/>
        <v>152.58356972022915</v>
      </c>
      <c r="M546" s="250">
        <f t="shared" si="106"/>
        <v>149.38561574406012</v>
      </c>
      <c r="N546" s="250">
        <f t="shared" si="107"/>
        <v>107.01670070887899</v>
      </c>
      <c r="O546" s="248">
        <f t="shared" si="108"/>
        <v>2.1407375537737305E-2</v>
      </c>
      <c r="P546" s="247">
        <f t="shared" si="109"/>
        <v>0.42579213066292287</v>
      </c>
      <c r="Q546" s="251">
        <f t="shared" si="116"/>
        <v>1.5258356972022891</v>
      </c>
      <c r="R546" s="251">
        <f t="shared" si="117"/>
        <v>1.6258412592468956</v>
      </c>
      <c r="S546" s="251">
        <f t="shared" si="118"/>
        <v>-6.1510040710204383E-2</v>
      </c>
      <c r="T546" s="252">
        <f>C546*'1. Share_Price_Analysis'!$E$11+T545*(1-'1. Share_Price_Analysis'!$E$11)</f>
        <v>258.73876492071872</v>
      </c>
      <c r="U546" s="253">
        <f t="shared" si="119"/>
        <v>269.45519711526572</v>
      </c>
    </row>
    <row r="547" spans="2:21" x14ac:dyDescent="0.2">
      <c r="B547" s="245">
        <v>45694</v>
      </c>
      <c r="C547" s="246">
        <v>277.20999999999998</v>
      </c>
      <c r="D547" s="246">
        <v>606.32000000000005</v>
      </c>
      <c r="E547" s="246">
        <v>44.69</v>
      </c>
      <c r="F547" s="248">
        <f t="shared" si="110"/>
        <v>1.0498304961178206E-2</v>
      </c>
      <c r="G547" s="248">
        <f t="shared" si="111"/>
        <v>3.4755552613285889E-3</v>
      </c>
      <c r="H547" s="248">
        <f t="shared" si="112"/>
        <v>3.48040866734034E-3</v>
      </c>
      <c r="I547" s="249">
        <f t="shared" si="113"/>
        <v>0.5418543856721707</v>
      </c>
      <c r="J547" s="249">
        <f t="shared" si="114"/>
        <v>0.49904813706825779</v>
      </c>
      <c r="K547" s="249">
        <f t="shared" si="115"/>
        <v>7.3891625615763346E-2</v>
      </c>
      <c r="L547" s="250">
        <f t="shared" si="105"/>
        <v>154.18543856721732</v>
      </c>
      <c r="M547" s="250">
        <f t="shared" si="106"/>
        <v>149.90481370682622</v>
      </c>
      <c r="N547" s="250">
        <f t="shared" si="107"/>
        <v>107.38916256157634</v>
      </c>
      <c r="O547" s="248">
        <f t="shared" si="108"/>
        <v>2.8555619759903506E-2</v>
      </c>
      <c r="P547" s="247">
        <f t="shared" si="109"/>
        <v>0.43576348757546191</v>
      </c>
      <c r="Q547" s="251">
        <f t="shared" si="116"/>
        <v>1.5418543856721707</v>
      </c>
      <c r="R547" s="251">
        <f t="shared" si="117"/>
        <v>1.6258412592468956</v>
      </c>
      <c r="S547" s="251">
        <f t="shared" si="118"/>
        <v>-5.1657486914576389E-2</v>
      </c>
      <c r="T547" s="252">
        <f>C547*'1. Share_Price_Analysis'!$E$11+T546*(1-'1. Share_Price_Analysis'!$E$11)</f>
        <v>258.9225583045922</v>
      </c>
      <c r="U547" s="253">
        <f t="shared" si="119"/>
        <v>269.75930703231415</v>
      </c>
    </row>
    <row r="548" spans="2:21" x14ac:dyDescent="0.2">
      <c r="B548" s="245">
        <v>45695</v>
      </c>
      <c r="C548" s="246">
        <v>272.92</v>
      </c>
      <c r="D548" s="246">
        <v>600.77</v>
      </c>
      <c r="E548" s="246">
        <v>44.145000000000003</v>
      </c>
      <c r="F548" s="248">
        <f t="shared" si="110"/>
        <v>-1.5475632192200717E-2</v>
      </c>
      <c r="G548" s="248">
        <f t="shared" si="111"/>
        <v>-9.1535822667899724E-3</v>
      </c>
      <c r="H548" s="248">
        <f t="shared" si="112"/>
        <v>-1.2195121951219412E-2</v>
      </c>
      <c r="I548" s="249">
        <f t="shared" si="113"/>
        <v>0.51799321430557654</v>
      </c>
      <c r="J548" s="249">
        <f t="shared" si="114"/>
        <v>0.4853264766237253</v>
      </c>
      <c r="K548" s="249">
        <f t="shared" si="115"/>
        <v>6.0795386278985841E-2</v>
      </c>
      <c r="L548" s="250">
        <f t="shared" si="105"/>
        <v>151.79932143055791</v>
      </c>
      <c r="M548" s="250">
        <f t="shared" si="106"/>
        <v>148.53264766237297</v>
      </c>
      <c r="N548" s="250">
        <f t="shared" si="107"/>
        <v>106.0795386278986</v>
      </c>
      <c r="O548" s="248">
        <f t="shared" si="108"/>
        <v>2.1992968008020419E-2</v>
      </c>
      <c r="P548" s="247">
        <f t="shared" si="109"/>
        <v>0.43099530214807058</v>
      </c>
      <c r="Q548" s="251">
        <f t="shared" si="116"/>
        <v>1.5179932143055765</v>
      </c>
      <c r="R548" s="251">
        <f t="shared" si="117"/>
        <v>1.6258412592468956</v>
      </c>
      <c r="S548" s="251">
        <f t="shared" si="118"/>
        <v>-6.6333686839313732E-2</v>
      </c>
      <c r="T548" s="252">
        <f>C548*'1. Share_Price_Analysis'!$E$11+T547*(1-'1. Share_Price_Analysis'!$E$11)</f>
        <v>259.06183633141217</v>
      </c>
      <c r="U548" s="253">
        <f t="shared" si="119"/>
        <v>269.88325577614495</v>
      </c>
    </row>
    <row r="549" spans="2:21" x14ac:dyDescent="0.2">
      <c r="B549" s="245">
        <v>45698</v>
      </c>
      <c r="C549" s="246">
        <v>268.56</v>
      </c>
      <c r="D549" s="246">
        <v>604.85</v>
      </c>
      <c r="E549" s="246">
        <v>44.37</v>
      </c>
      <c r="F549" s="248">
        <f t="shared" si="110"/>
        <v>-1.5975377399970792E-2</v>
      </c>
      <c r="G549" s="248">
        <f t="shared" si="111"/>
        <v>6.7912845182016568E-3</v>
      </c>
      <c r="H549" s="248">
        <f t="shared" si="112"/>
        <v>5.0968399592250524E-3</v>
      </c>
      <c r="I549" s="249">
        <f t="shared" si="113"/>
        <v>0.49374269981645025</v>
      </c>
      <c r="J549" s="249">
        <f t="shared" si="114"/>
        <v>0.49541375132889498</v>
      </c>
      <c r="K549" s="249">
        <f t="shared" si="115"/>
        <v>6.6202090592334173E-2</v>
      </c>
      <c r="L549" s="250">
        <f t="shared" si="105"/>
        <v>149.37426998164526</v>
      </c>
      <c r="M549" s="250">
        <f t="shared" si="106"/>
        <v>149.54137513288995</v>
      </c>
      <c r="N549" s="250">
        <f t="shared" si="107"/>
        <v>106.62020905923345</v>
      </c>
      <c r="O549" s="248">
        <f t="shared" si="108"/>
        <v>-1.1174509469100702E-3</v>
      </c>
      <c r="P549" s="247">
        <f t="shared" si="109"/>
        <v>0.4009939700892855</v>
      </c>
      <c r="Q549" s="251">
        <f t="shared" si="116"/>
        <v>1.4937426998164502</v>
      </c>
      <c r="R549" s="251">
        <f t="shared" si="117"/>
        <v>1.6258412592468956</v>
      </c>
      <c r="S549" s="251">
        <f t="shared" si="118"/>
        <v>-8.1249358557694995E-2</v>
      </c>
      <c r="T549" s="252">
        <f>C549*'1. Share_Price_Analysis'!$E$11+T548*(1-'1. Share_Price_Analysis'!$E$11)</f>
        <v>259.15634542264189</v>
      </c>
      <c r="U549" s="253">
        <f t="shared" si="119"/>
        <v>269.83136339276678</v>
      </c>
    </row>
    <row r="550" spans="2:21" x14ac:dyDescent="0.2">
      <c r="B550" s="245">
        <v>45699</v>
      </c>
      <c r="C550" s="246">
        <v>267.77</v>
      </c>
      <c r="D550" s="246">
        <v>605.30999999999995</v>
      </c>
      <c r="E550" s="246">
        <v>44.63</v>
      </c>
      <c r="F550" s="248">
        <f t="shared" si="110"/>
        <v>-2.9416145367888724E-3</v>
      </c>
      <c r="G550" s="248">
        <f t="shared" si="111"/>
        <v>7.6051913697594564E-4</v>
      </c>
      <c r="H550" s="248">
        <f t="shared" si="112"/>
        <v>5.8598151904440954E-3</v>
      </c>
      <c r="I550" s="249">
        <f t="shared" si="113"/>
        <v>0.48934868457644787</v>
      </c>
      <c r="J550" s="249">
        <f t="shared" si="114"/>
        <v>0.49655104210447765</v>
      </c>
      <c r="K550" s="249">
        <f t="shared" si="115"/>
        <v>7.2449837798870487E-2</v>
      </c>
      <c r="L550" s="250">
        <f t="shared" si="105"/>
        <v>148.93486845764502</v>
      </c>
      <c r="M550" s="250">
        <f t="shared" si="106"/>
        <v>149.6551042104482</v>
      </c>
      <c r="N550" s="250">
        <f t="shared" si="107"/>
        <v>107.24498377988706</v>
      </c>
      <c r="O550" s="248">
        <f t="shared" si="108"/>
        <v>-4.812637407877296E-3</v>
      </c>
      <c r="P550" s="247">
        <f t="shared" si="109"/>
        <v>0.38873505508960071</v>
      </c>
      <c r="Q550" s="251">
        <f t="shared" si="116"/>
        <v>1.4893486845764479</v>
      </c>
      <c r="R550" s="251">
        <f t="shared" si="117"/>
        <v>1.6258412592468956</v>
      </c>
      <c r="S550" s="251">
        <f t="shared" si="118"/>
        <v>-8.3951968800245802E-2</v>
      </c>
      <c r="T550" s="252">
        <f>C550*'1. Share_Price_Analysis'!$E$11+T549*(1-'1. Share_Price_Analysis'!$E$11)</f>
        <v>259.24205342838678</v>
      </c>
      <c r="U550" s="253">
        <f t="shared" si="119"/>
        <v>269.75052561265829</v>
      </c>
    </row>
    <row r="551" spans="2:21" x14ac:dyDescent="0.2">
      <c r="B551" s="245">
        <v>45700</v>
      </c>
      <c r="C551" s="246">
        <v>263.81</v>
      </c>
      <c r="D551" s="246">
        <v>603.36</v>
      </c>
      <c r="E551" s="246">
        <v>44.31</v>
      </c>
      <c r="F551" s="248">
        <f t="shared" si="110"/>
        <v>-1.4788811293274029E-2</v>
      </c>
      <c r="G551" s="248">
        <f t="shared" si="111"/>
        <v>-3.221489815135925E-3</v>
      </c>
      <c r="H551" s="248">
        <f t="shared" si="112"/>
        <v>-7.1700649787138637E-3</v>
      </c>
      <c r="I551" s="249">
        <f t="shared" si="113"/>
        <v>0.46732298793036087</v>
      </c>
      <c r="J551" s="249">
        <f t="shared" si="114"/>
        <v>0.49172991816450695</v>
      </c>
      <c r="K551" s="249">
        <f t="shared" si="115"/>
        <v>6.4760302775441536E-2</v>
      </c>
      <c r="L551" s="250">
        <f t="shared" si="105"/>
        <v>146.73229879303634</v>
      </c>
      <c r="M551" s="250">
        <f t="shared" si="106"/>
        <v>149.17299181645117</v>
      </c>
      <c r="N551" s="250">
        <f t="shared" si="107"/>
        <v>106.47603027754415</v>
      </c>
      <c r="O551" s="248">
        <f t="shared" si="108"/>
        <v>-1.6361494086126194E-2</v>
      </c>
      <c r="P551" s="247">
        <f t="shared" si="109"/>
        <v>0.37807822484138942</v>
      </c>
      <c r="Q551" s="251">
        <f t="shared" si="116"/>
        <v>1.4673229879303609</v>
      </c>
      <c r="R551" s="251">
        <f t="shared" si="117"/>
        <v>1.6258412592468956</v>
      </c>
      <c r="S551" s="251">
        <f t="shared" si="118"/>
        <v>-9.7499230269234127E-2</v>
      </c>
      <c r="T551" s="252">
        <f>C551*'1. Share_Price_Analysis'!$E$11+T550*(1-'1. Share_Price_Analysis'!$E$11)</f>
        <v>259.28750563307949</v>
      </c>
      <c r="U551" s="253">
        <f t="shared" si="119"/>
        <v>269.51756382392665</v>
      </c>
    </row>
    <row r="552" spans="2:21" x14ac:dyDescent="0.2">
      <c r="B552" s="245">
        <v>45701</v>
      </c>
      <c r="C552" s="246">
        <v>269.33</v>
      </c>
      <c r="D552" s="246">
        <v>609.73</v>
      </c>
      <c r="E552" s="246">
        <v>45.08</v>
      </c>
      <c r="F552" s="248">
        <f t="shared" si="110"/>
        <v>2.09241499564079E-2</v>
      </c>
      <c r="G552" s="248">
        <f t="shared" si="111"/>
        <v>1.0557544417926223E-2</v>
      </c>
      <c r="H552" s="248">
        <f t="shared" si="112"/>
        <v>1.7377567140600236E-2</v>
      </c>
      <c r="I552" s="249">
        <f t="shared" si="113"/>
        <v>0.49802547416430021</v>
      </c>
      <c r="J552" s="249">
        <f t="shared" si="114"/>
        <v>0.50747892303507824</v>
      </c>
      <c r="K552" s="249">
        <f t="shared" si="115"/>
        <v>8.3263246425567594E-2</v>
      </c>
      <c r="L552" s="250">
        <f t="shared" si="105"/>
        <v>149.80254741643029</v>
      </c>
      <c r="M552" s="250">
        <f t="shared" si="106"/>
        <v>150.74789230350828</v>
      </c>
      <c r="N552" s="250">
        <f t="shared" si="107"/>
        <v>108.32632464255676</v>
      </c>
      <c r="O552" s="248">
        <f t="shared" si="108"/>
        <v>-6.2710322023905585E-3</v>
      </c>
      <c r="P552" s="247">
        <f t="shared" si="109"/>
        <v>0.38288221178676496</v>
      </c>
      <c r="Q552" s="251">
        <f t="shared" si="116"/>
        <v>1.4980254741643002</v>
      </c>
      <c r="R552" s="251">
        <f t="shared" si="117"/>
        <v>1.6258412592468956</v>
      </c>
      <c r="S552" s="251">
        <f t="shared" si="118"/>
        <v>-7.8615168827614101E-2</v>
      </c>
      <c r="T552" s="252">
        <f>C552*'1. Share_Price_Analysis'!$E$11+T551*(1-'1. Share_Price_Analysis'!$E$11)</f>
        <v>259.38743095016332</v>
      </c>
      <c r="U552" s="253">
        <f t="shared" si="119"/>
        <v>269.51020837985112</v>
      </c>
    </row>
    <row r="553" spans="2:21" x14ac:dyDescent="0.2">
      <c r="B553" s="245">
        <v>45702</v>
      </c>
      <c r="C553" s="246">
        <v>270.45999999999998</v>
      </c>
      <c r="D553" s="246">
        <v>609.70000000000005</v>
      </c>
      <c r="E553" s="246">
        <v>44.924999999999997</v>
      </c>
      <c r="F553" s="248">
        <f t="shared" si="110"/>
        <v>4.1955964801545509E-3</v>
      </c>
      <c r="G553" s="248">
        <f t="shared" si="111"/>
        <v>-4.9202105850132405E-5</v>
      </c>
      <c r="H553" s="248">
        <f t="shared" si="112"/>
        <v>-3.4383318544809471E-3</v>
      </c>
      <c r="I553" s="249">
        <f t="shared" si="113"/>
        <v>0.50431058457088573</v>
      </c>
      <c r="J553" s="249">
        <f t="shared" si="114"/>
        <v>0.5074047518975402</v>
      </c>
      <c r="K553" s="249">
        <f t="shared" si="115"/>
        <v>7.9538627898594116E-2</v>
      </c>
      <c r="L553" s="250">
        <f t="shared" si="105"/>
        <v>150.43105845708882</v>
      </c>
      <c r="M553" s="250">
        <f t="shared" si="106"/>
        <v>150.74047518975448</v>
      </c>
      <c r="N553" s="250">
        <f t="shared" si="107"/>
        <v>107.95386278985941</v>
      </c>
      <c r="O553" s="248">
        <f t="shared" si="108"/>
        <v>-2.052645331494074E-3</v>
      </c>
      <c r="P553" s="247">
        <f t="shared" si="109"/>
        <v>0.3934754585846949</v>
      </c>
      <c r="Q553" s="251">
        <f t="shared" si="116"/>
        <v>1.5043105845708857</v>
      </c>
      <c r="R553" s="251">
        <f t="shared" si="117"/>
        <v>1.6258412592468956</v>
      </c>
      <c r="S553" s="251">
        <f t="shared" si="118"/>
        <v>-7.4749409873079431E-2</v>
      </c>
      <c r="T553" s="252">
        <f>C553*'1. Share_Price_Analysis'!$E$11+T552*(1-'1. Share_Price_Analysis'!$E$11)</f>
        <v>259.49760576657957</v>
      </c>
      <c r="U553" s="253">
        <f t="shared" si="119"/>
        <v>269.54745511005308</v>
      </c>
    </row>
    <row r="554" spans="2:21" x14ac:dyDescent="0.2">
      <c r="B554" s="245">
        <v>45706</v>
      </c>
      <c r="C554" s="246">
        <v>272.76</v>
      </c>
      <c r="D554" s="246">
        <v>611.49</v>
      </c>
      <c r="E554" s="246">
        <v>45.494999999999997</v>
      </c>
      <c r="F554" s="248">
        <f t="shared" si="110"/>
        <v>8.5040301708201316E-3</v>
      </c>
      <c r="G554" s="248">
        <f t="shared" si="111"/>
        <v>2.9358701000492538E-3</v>
      </c>
      <c r="H554" s="248">
        <f t="shared" si="112"/>
        <v>1.2687813021702743E-2</v>
      </c>
      <c r="I554" s="249">
        <f t="shared" si="113"/>
        <v>0.51710328716836051</v>
      </c>
      <c r="J554" s="249">
        <f t="shared" si="114"/>
        <v>0.51183029643730826</v>
      </c>
      <c r="K554" s="249">
        <f t="shared" si="115"/>
        <v>9.3235612159076942E-2</v>
      </c>
      <c r="L554" s="250">
        <f t="shared" si="105"/>
        <v>151.71032871683633</v>
      </c>
      <c r="M554" s="250">
        <f t="shared" si="106"/>
        <v>151.18302964373129</v>
      </c>
      <c r="N554" s="250">
        <f t="shared" si="107"/>
        <v>109.32356121590772</v>
      </c>
      <c r="O554" s="248">
        <f t="shared" si="108"/>
        <v>3.4878191973519712E-3</v>
      </c>
      <c r="P554" s="247">
        <f t="shared" si="109"/>
        <v>0.38771850303354971</v>
      </c>
      <c r="Q554" s="251">
        <f t="shared" si="116"/>
        <v>1.5171032871683605</v>
      </c>
      <c r="R554" s="251">
        <f t="shared" si="117"/>
        <v>1.6258412592468956</v>
      </c>
      <c r="S554" s="251">
        <f t="shared" si="118"/>
        <v>-6.6881050939071041E-2</v>
      </c>
      <c r="T554" s="252">
        <f>C554*'1. Share_Price_Analysis'!$E$11+T553*(1-'1. Share_Price_Analysis'!$E$11)</f>
        <v>259.62956988830518</v>
      </c>
      <c r="U554" s="253">
        <f t="shared" si="119"/>
        <v>269.67343726260003</v>
      </c>
    </row>
    <row r="555" spans="2:21" x14ac:dyDescent="0.2">
      <c r="B555" s="245">
        <v>45707</v>
      </c>
      <c r="C555" s="246">
        <v>264.97000000000003</v>
      </c>
      <c r="D555" s="246">
        <v>612.92999999999995</v>
      </c>
      <c r="E555" s="246">
        <v>44.96</v>
      </c>
      <c r="F555" s="248">
        <f t="shared" si="110"/>
        <v>-2.8559906144595804E-2</v>
      </c>
      <c r="G555" s="248">
        <f t="shared" si="111"/>
        <v>2.3549035961338838E-3</v>
      </c>
      <c r="H555" s="248">
        <f t="shared" si="112"/>
        <v>-1.1759534014726847E-2</v>
      </c>
      <c r="I555" s="249">
        <f t="shared" si="113"/>
        <v>0.47377495967517436</v>
      </c>
      <c r="J555" s="249">
        <f t="shared" si="114"/>
        <v>0.51539051103913258</v>
      </c>
      <c r="K555" s="249">
        <f t="shared" si="115"/>
        <v>8.0379670791781654E-2</v>
      </c>
      <c r="L555" s="250">
        <f t="shared" si="105"/>
        <v>147.37749596751769</v>
      </c>
      <c r="M555" s="250">
        <f t="shared" si="106"/>
        <v>151.53905110391375</v>
      </c>
      <c r="N555" s="250">
        <f t="shared" si="107"/>
        <v>108.03796707917819</v>
      </c>
      <c r="O555" s="248">
        <f t="shared" si="108"/>
        <v>-2.7461932129574707E-2</v>
      </c>
      <c r="P555" s="247">
        <f t="shared" si="109"/>
        <v>0.36412688938795346</v>
      </c>
      <c r="Q555" s="251">
        <f t="shared" si="116"/>
        <v>1.4737749596751744</v>
      </c>
      <c r="R555" s="251">
        <f t="shared" si="117"/>
        <v>1.6258412592468956</v>
      </c>
      <c r="S555" s="251">
        <f t="shared" si="118"/>
        <v>-9.3530840545995031E-2</v>
      </c>
      <c r="T555" s="252">
        <f>C555*'1. Share_Price_Analysis'!$E$11+T554*(1-'1. Share_Price_Analysis'!$E$11)</f>
        <v>259.68270849638179</v>
      </c>
      <c r="U555" s="253">
        <f t="shared" si="119"/>
        <v>269.48898874249807</v>
      </c>
    </row>
    <row r="556" spans="2:21" x14ac:dyDescent="0.2">
      <c r="B556" s="245">
        <v>45708</v>
      </c>
      <c r="C556" s="246">
        <v>258.58999999999997</v>
      </c>
      <c r="D556" s="246">
        <v>610.38</v>
      </c>
      <c r="E556" s="246">
        <v>44.854999999999997</v>
      </c>
      <c r="F556" s="248">
        <f t="shared" si="110"/>
        <v>-2.4078197531796297E-2</v>
      </c>
      <c r="G556" s="248">
        <f t="shared" si="111"/>
        <v>-4.1603445744211598E-3</v>
      </c>
      <c r="H556" s="248">
        <f t="shared" si="112"/>
        <v>-2.3354092526691739E-3</v>
      </c>
      <c r="I556" s="249">
        <f t="shared" si="113"/>
        <v>0.43828911507870028</v>
      </c>
      <c r="J556" s="249">
        <f t="shared" si="114"/>
        <v>0.50908596434840159</v>
      </c>
      <c r="K556" s="249">
        <f t="shared" si="115"/>
        <v>7.7856542112218818E-2</v>
      </c>
      <c r="L556" s="250">
        <f t="shared" si="105"/>
        <v>143.82891150787029</v>
      </c>
      <c r="M556" s="250">
        <f t="shared" si="106"/>
        <v>150.90859643484066</v>
      </c>
      <c r="N556" s="250">
        <f t="shared" si="107"/>
        <v>107.78565421122191</v>
      </c>
      <c r="O556" s="248">
        <f t="shared" si="108"/>
        <v>-4.6913728536511989E-2</v>
      </c>
      <c r="P556" s="247">
        <f t="shared" si="109"/>
        <v>0.33439753704158126</v>
      </c>
      <c r="Q556" s="251">
        <f t="shared" si="116"/>
        <v>1.4382891150787003</v>
      </c>
      <c r="R556" s="251">
        <f t="shared" si="117"/>
        <v>1.6258412592468956</v>
      </c>
      <c r="S556" s="251">
        <f t="shared" si="118"/>
        <v>-0.11535698402381001</v>
      </c>
      <c r="T556" s="252">
        <f>C556*'1. Share_Price_Analysis'!$E$11+T555*(1-'1. Share_Price_Analysis'!$E$11)</f>
        <v>259.67183577502476</v>
      </c>
      <c r="U556" s="253">
        <f t="shared" si="119"/>
        <v>269.06157741926285</v>
      </c>
    </row>
    <row r="557" spans="2:21" x14ac:dyDescent="0.2">
      <c r="B557" s="245">
        <v>45709</v>
      </c>
      <c r="C557" s="246">
        <v>252.86</v>
      </c>
      <c r="D557" s="246">
        <v>599.94000000000005</v>
      </c>
      <c r="E557" s="246">
        <v>44.034999999999997</v>
      </c>
      <c r="F557" s="248">
        <f t="shared" si="110"/>
        <v>-2.2158629490699466E-2</v>
      </c>
      <c r="G557" s="248">
        <f t="shared" si="111"/>
        <v>-1.7104099085815339E-2</v>
      </c>
      <c r="H557" s="248">
        <f t="shared" si="112"/>
        <v>-1.8281128079366882E-2</v>
      </c>
      <c r="I557" s="249">
        <f t="shared" si="113"/>
        <v>0.40641859947716541</v>
      </c>
      <c r="J557" s="249">
        <f t="shared" si="114"/>
        <v>0.48327440848517322</v>
      </c>
      <c r="K557" s="249">
        <f t="shared" si="115"/>
        <v>5.8152108614681897E-2</v>
      </c>
      <c r="L557" s="250">
        <f t="shared" si="105"/>
        <v>140.6418599477168</v>
      </c>
      <c r="M557" s="250">
        <f t="shared" si="106"/>
        <v>148.32744084851782</v>
      </c>
      <c r="N557" s="250">
        <f t="shared" si="107"/>
        <v>105.81521086146822</v>
      </c>
      <c r="O557" s="248">
        <f t="shared" si="108"/>
        <v>-5.1814963278776216E-2</v>
      </c>
      <c r="P557" s="247">
        <f t="shared" si="109"/>
        <v>0.32912705841358592</v>
      </c>
      <c r="Q557" s="251">
        <f t="shared" si="116"/>
        <v>1.4064185994771654</v>
      </c>
      <c r="R557" s="251">
        <f t="shared" si="117"/>
        <v>1.6258412592468956</v>
      </c>
      <c r="S557" s="251">
        <f t="shared" si="118"/>
        <v>-0.13495946084636135</v>
      </c>
      <c r="T557" s="252">
        <f>C557*'1. Share_Price_Analysis'!$E$11+T556*(1-'1. Share_Price_Analysis'!$E$11)</f>
        <v>259.60405631457672</v>
      </c>
      <c r="U557" s="253">
        <f t="shared" si="119"/>
        <v>268.42622144203688</v>
      </c>
    </row>
    <row r="558" spans="2:21" x14ac:dyDescent="0.2">
      <c r="B558" s="245">
        <v>45712</v>
      </c>
      <c r="C558" s="246">
        <v>251.56</v>
      </c>
      <c r="D558" s="246">
        <v>597.21</v>
      </c>
      <c r="E558" s="246">
        <v>43.984999999999999</v>
      </c>
      <c r="F558" s="248">
        <f t="shared" si="110"/>
        <v>-5.1411848453690734E-3</v>
      </c>
      <c r="G558" s="248">
        <f t="shared" si="111"/>
        <v>-4.5504550455045534E-3</v>
      </c>
      <c r="H558" s="248">
        <f t="shared" si="112"/>
        <v>-1.1354604292039827E-3</v>
      </c>
      <c r="I558" s="249">
        <f t="shared" si="113"/>
        <v>0.39918794148728831</v>
      </c>
      <c r="J558" s="249">
        <f t="shared" si="114"/>
        <v>0.47652483496921416</v>
      </c>
      <c r="K558" s="249">
        <f t="shared" si="115"/>
        <v>5.6950618767271255E-2</v>
      </c>
      <c r="L558" s="250">
        <f t="shared" si="105"/>
        <v>139.91879414872906</v>
      </c>
      <c r="M558" s="250">
        <f t="shared" si="106"/>
        <v>147.65248349692192</v>
      </c>
      <c r="N558" s="250">
        <f t="shared" si="107"/>
        <v>105.69506187672712</v>
      </c>
      <c r="O558" s="248">
        <f t="shared" si="108"/>
        <v>-5.2377644893144226E-2</v>
      </c>
      <c r="P558" s="247">
        <f t="shared" si="109"/>
        <v>0.3237968895076393</v>
      </c>
      <c r="Q558" s="251">
        <f t="shared" si="116"/>
        <v>1.3991879414872883</v>
      </c>
      <c r="R558" s="251">
        <f t="shared" si="117"/>
        <v>1.6258412592468956</v>
      </c>
      <c r="S558" s="251">
        <f t="shared" si="118"/>
        <v>-0.13940679415688784</v>
      </c>
      <c r="T558" s="252">
        <f>C558*'1. Share_Price_Analysis'!$E$11+T557*(1-'1. Share_Price_Analysis'!$E$11)</f>
        <v>259.52401595323767</v>
      </c>
      <c r="U558" s="253">
        <f t="shared" si="119"/>
        <v>267.76480099332957</v>
      </c>
    </row>
    <row r="559" spans="2:21" x14ac:dyDescent="0.2">
      <c r="B559" s="245">
        <v>45713</v>
      </c>
      <c r="C559" s="246">
        <v>249.79</v>
      </c>
      <c r="D559" s="246">
        <v>594.24</v>
      </c>
      <c r="E559" s="246">
        <v>44.325000000000003</v>
      </c>
      <c r="F559" s="248">
        <f t="shared" si="110"/>
        <v>-7.0360947686437525E-3</v>
      </c>
      <c r="G559" s="248">
        <f t="shared" si="111"/>
        <v>-4.9731250313960196E-3</v>
      </c>
      <c r="H559" s="248">
        <f t="shared" si="112"/>
        <v>7.7299079231556433E-3</v>
      </c>
      <c r="I559" s="249">
        <f t="shared" si="113"/>
        <v>0.38934312253184022</v>
      </c>
      <c r="J559" s="249">
        <f t="shared" si="114"/>
        <v>0.46918189235295094</v>
      </c>
      <c r="K559" s="249">
        <f t="shared" si="115"/>
        <v>6.512074972966464E-2</v>
      </c>
      <c r="L559" s="250">
        <f t="shared" si="105"/>
        <v>138.93431225318426</v>
      </c>
      <c r="M559" s="250">
        <f t="shared" si="106"/>
        <v>146.91818923529556</v>
      </c>
      <c r="N559" s="250">
        <f t="shared" si="107"/>
        <v>106.51207497296649</v>
      </c>
      <c r="O559" s="248">
        <f t="shared" si="108"/>
        <v>-5.4342331767542995E-2</v>
      </c>
      <c r="P559" s="247">
        <f t="shared" si="109"/>
        <v>0.30439964002622766</v>
      </c>
      <c r="Q559" s="251">
        <f t="shared" si="116"/>
        <v>1.3893431225318402</v>
      </c>
      <c r="R559" s="251">
        <f t="shared" si="117"/>
        <v>1.6258412592468956</v>
      </c>
      <c r="S559" s="251">
        <f t="shared" si="118"/>
        <v>-0.14546200951045085</v>
      </c>
      <c r="T559" s="252">
        <f>C559*'1. Share_Price_Analysis'!$E$11+T558*(1-'1. Share_Price_Analysis'!$E$11)</f>
        <v>259.42716007310594</v>
      </c>
      <c r="U559" s="253">
        <f t="shared" si="119"/>
        <v>267.05990683672843</v>
      </c>
    </row>
    <row r="560" spans="2:21" x14ac:dyDescent="0.2">
      <c r="B560" s="245">
        <v>45714</v>
      </c>
      <c r="C560" s="246">
        <v>250.53</v>
      </c>
      <c r="D560" s="246">
        <v>594.54</v>
      </c>
      <c r="E560" s="246">
        <v>44.305</v>
      </c>
      <c r="F560" s="248">
        <f t="shared" si="110"/>
        <v>2.9624884903318716E-3</v>
      </c>
      <c r="G560" s="248">
        <f t="shared" si="111"/>
        <v>5.0484652665572227E-4</v>
      </c>
      <c r="H560" s="248">
        <f t="shared" si="112"/>
        <v>-4.5121263395386801E-4</v>
      </c>
      <c r="I560" s="249">
        <f t="shared" si="113"/>
        <v>0.39345903554146244</v>
      </c>
      <c r="J560" s="249">
        <f t="shared" si="114"/>
        <v>0.46992360372833075</v>
      </c>
      <c r="K560" s="249">
        <f t="shared" si="115"/>
        <v>6.4640153790700206E-2</v>
      </c>
      <c r="L560" s="250">
        <f t="shared" si="105"/>
        <v>139.3459035541465</v>
      </c>
      <c r="M560" s="250">
        <f t="shared" si="106"/>
        <v>146.99236037283356</v>
      </c>
      <c r="N560" s="250">
        <f t="shared" si="107"/>
        <v>106.46401537907005</v>
      </c>
      <c r="O560" s="248">
        <f t="shared" si="108"/>
        <v>-5.2019416514520023E-2</v>
      </c>
      <c r="P560" s="247">
        <f t="shared" si="109"/>
        <v>0.30885448062426302</v>
      </c>
      <c r="Q560" s="251">
        <f t="shared" si="116"/>
        <v>1.3934590355414624</v>
      </c>
      <c r="R560" s="251">
        <f t="shared" si="117"/>
        <v>1.6258412592468956</v>
      </c>
      <c r="S560" s="251">
        <f t="shared" si="118"/>
        <v>-0.14293045054907438</v>
      </c>
      <c r="T560" s="252">
        <f>C560*'1. Share_Price_Analysis'!$E$11+T559*(1-'1. Share_Price_Analysis'!$E$11)</f>
        <v>259.33863111715465</v>
      </c>
      <c r="U560" s="253">
        <f t="shared" si="119"/>
        <v>266.41167519607239</v>
      </c>
    </row>
    <row r="561" spans="2:21" x14ac:dyDescent="0.2">
      <c r="B561" s="245">
        <v>45715</v>
      </c>
      <c r="C561" s="246">
        <v>245.12</v>
      </c>
      <c r="D561" s="246">
        <v>585.04999999999995</v>
      </c>
      <c r="E561" s="246">
        <v>44.005000000000003</v>
      </c>
      <c r="F561" s="248">
        <f t="shared" si="110"/>
        <v>-2.1594220253063456E-2</v>
      </c>
      <c r="G561" s="248">
        <f t="shared" si="111"/>
        <v>-1.5961920139940133E-2</v>
      </c>
      <c r="H561" s="248">
        <f t="shared" si="112"/>
        <v>-6.7712447804987308E-3</v>
      </c>
      <c r="I561" s="249">
        <f t="shared" si="113"/>
        <v>0.36336837421435875</v>
      </c>
      <c r="J561" s="249">
        <f t="shared" si="114"/>
        <v>0.44646080055380621</v>
      </c>
      <c r="K561" s="249">
        <f t="shared" si="115"/>
        <v>5.7431214706235467E-2</v>
      </c>
      <c r="L561" s="250">
        <f t="shared" si="105"/>
        <v>136.33683742143612</v>
      </c>
      <c r="M561" s="250">
        <f t="shared" si="106"/>
        <v>144.64608005538108</v>
      </c>
      <c r="N561" s="250">
        <f t="shared" si="107"/>
        <v>105.74312147062356</v>
      </c>
      <c r="O561" s="248">
        <f t="shared" si="108"/>
        <v>-5.744533575167321E-2</v>
      </c>
      <c r="P561" s="247">
        <f t="shared" si="109"/>
        <v>0.28932109744189427</v>
      </c>
      <c r="Q561" s="251">
        <f t="shared" si="116"/>
        <v>1.3633683742143587</v>
      </c>
      <c r="R561" s="251">
        <f t="shared" si="117"/>
        <v>1.6258412592468956</v>
      </c>
      <c r="S561" s="251">
        <f t="shared" si="118"/>
        <v>-0.16143819917211144</v>
      </c>
      <c r="T561" s="252">
        <f>C561*'1. Share_Price_Analysis'!$E$11+T560*(1-'1. Share_Price_Analysis'!$E$11)</f>
        <v>259.19715220056605</v>
      </c>
      <c r="U561" s="253">
        <f t="shared" si="119"/>
        <v>265.57670754132448</v>
      </c>
    </row>
    <row r="562" spans="2:21" x14ac:dyDescent="0.2">
      <c r="B562" s="245">
        <v>45716</v>
      </c>
      <c r="C562" s="246">
        <v>247.31</v>
      </c>
      <c r="D562" s="246">
        <v>594.17999999999995</v>
      </c>
      <c r="E562" s="246">
        <v>44.38</v>
      </c>
      <c r="F562" s="248">
        <f t="shared" si="110"/>
        <v>8.9343994778068314E-3</v>
      </c>
      <c r="G562" s="248">
        <f t="shared" si="111"/>
        <v>1.5605503803093779E-2</v>
      </c>
      <c r="H562" s="248">
        <f t="shared" si="112"/>
        <v>8.521758891035125E-3</v>
      </c>
      <c r="I562" s="249">
        <f t="shared" si="113"/>
        <v>0.37554925190499788</v>
      </c>
      <c r="J562" s="249">
        <f t="shared" si="114"/>
        <v>0.46903355007787462</v>
      </c>
      <c r="K562" s="249">
        <f t="shared" si="115"/>
        <v>6.644238856181639E-2</v>
      </c>
      <c r="L562" s="250">
        <f t="shared" si="105"/>
        <v>137.55492519050003</v>
      </c>
      <c r="M562" s="250">
        <f t="shared" si="106"/>
        <v>146.90335500778795</v>
      </c>
      <c r="N562" s="250">
        <f t="shared" si="107"/>
        <v>106.64423885618166</v>
      </c>
      <c r="O562" s="248">
        <f t="shared" si="108"/>
        <v>-6.3636598475181883E-2</v>
      </c>
      <c r="P562" s="247">
        <f t="shared" si="109"/>
        <v>0.28984862816643764</v>
      </c>
      <c r="Q562" s="251">
        <f t="shared" si="116"/>
        <v>1.3755492519049979</v>
      </c>
      <c r="R562" s="251">
        <f t="shared" si="117"/>
        <v>1.6258412592468956</v>
      </c>
      <c r="S562" s="251">
        <f t="shared" si="118"/>
        <v>-0.15394615305668602</v>
      </c>
      <c r="T562" s="252">
        <f>C562*'1. Share_Price_Analysis'!$E$11+T561*(1-'1. Share_Price_Analysis'!$E$11)</f>
        <v>259.07887207916741</v>
      </c>
      <c r="U562" s="253">
        <f t="shared" si="119"/>
        <v>264.86036606911568</v>
      </c>
    </row>
    <row r="563" spans="2:21" x14ac:dyDescent="0.2">
      <c r="B563" s="245">
        <v>45719</v>
      </c>
      <c r="C563" s="246">
        <v>239.77</v>
      </c>
      <c r="D563" s="246">
        <v>583.77</v>
      </c>
      <c r="E563" s="246">
        <v>43.49</v>
      </c>
      <c r="F563" s="248">
        <f t="shared" si="110"/>
        <v>-3.0488051433423591E-2</v>
      </c>
      <c r="G563" s="248">
        <f t="shared" si="111"/>
        <v>-1.7519943451479336E-2</v>
      </c>
      <c r="H563" s="248">
        <f t="shared" si="112"/>
        <v>-2.0054078413699883E-2</v>
      </c>
      <c r="I563" s="249">
        <f t="shared" si="113"/>
        <v>0.33361143556371098</v>
      </c>
      <c r="J563" s="249">
        <f t="shared" si="114"/>
        <v>0.4432961653521843</v>
      </c>
      <c r="K563" s="249">
        <f t="shared" si="115"/>
        <v>4.5055869277904392E-2</v>
      </c>
      <c r="L563" s="250">
        <f t="shared" si="105"/>
        <v>133.36114355637133</v>
      </c>
      <c r="M563" s="250">
        <f t="shared" si="106"/>
        <v>144.32961653521892</v>
      </c>
      <c r="N563" s="250">
        <f t="shared" si="107"/>
        <v>104.50558692779046</v>
      </c>
      <c r="O563" s="248">
        <f t="shared" si="108"/>
        <v>-7.5995996124405107E-2</v>
      </c>
      <c r="P563" s="247">
        <f t="shared" si="109"/>
        <v>0.27611496645168643</v>
      </c>
      <c r="Q563" s="251">
        <f t="shared" si="116"/>
        <v>1.333611435563711</v>
      </c>
      <c r="R563" s="251">
        <f t="shared" si="117"/>
        <v>1.6258412592468956</v>
      </c>
      <c r="S563" s="251">
        <f t="shared" si="118"/>
        <v>-0.17974068625773965</v>
      </c>
      <c r="T563" s="252">
        <f>C563*'1. Share_Price_Analysis'!$E$11+T562*(1-'1. Share_Price_Analysis'!$E$11)</f>
        <v>258.88674399877766</v>
      </c>
      <c r="U563" s="253">
        <f t="shared" si="119"/>
        <v>263.87643014483666</v>
      </c>
    </row>
    <row r="564" spans="2:21" x14ac:dyDescent="0.2">
      <c r="B564" s="245">
        <v>45720</v>
      </c>
      <c r="C564" s="246">
        <v>234.86</v>
      </c>
      <c r="D564" s="246">
        <v>576.86</v>
      </c>
      <c r="E564" s="246">
        <v>42.9</v>
      </c>
      <c r="F564" s="248">
        <f t="shared" si="110"/>
        <v>-2.0477958043124689E-2</v>
      </c>
      <c r="G564" s="248">
        <f t="shared" si="111"/>
        <v>-1.1836853555338478E-2</v>
      </c>
      <c r="H564" s="248">
        <f t="shared" si="112"/>
        <v>-1.3566337088986025E-2</v>
      </c>
      <c r="I564" s="249">
        <f t="shared" si="113"/>
        <v>0.30630179654040601</v>
      </c>
      <c r="J564" s="249">
        <f t="shared" si="114"/>
        <v>0.42621208000592881</v>
      </c>
      <c r="K564" s="249">
        <f t="shared" si="115"/>
        <v>3.0878289078457133E-2</v>
      </c>
      <c r="L564" s="250">
        <f t="shared" si="105"/>
        <v>130.63017965404086</v>
      </c>
      <c r="M564" s="250">
        <f t="shared" si="106"/>
        <v>142.62120800059336</v>
      </c>
      <c r="N564" s="250">
        <f t="shared" si="107"/>
        <v>103.08782890784572</v>
      </c>
      <c r="O564" s="248">
        <f t="shared" si="108"/>
        <v>-8.4076053727594524E-2</v>
      </c>
      <c r="P564" s="247">
        <f t="shared" si="109"/>
        <v>0.26717364249484854</v>
      </c>
      <c r="Q564" s="251">
        <f t="shared" si="116"/>
        <v>1.306301796540406</v>
      </c>
      <c r="R564" s="251">
        <f t="shared" si="117"/>
        <v>1.6258412592468956</v>
      </c>
      <c r="S564" s="251">
        <f t="shared" si="118"/>
        <v>-0.19653792206903586</v>
      </c>
      <c r="T564" s="252">
        <f>C564*'1. Share_Price_Analysis'!$E$11+T563*(1-'1. Share_Price_Analysis'!$E$11)</f>
        <v>258.64767191918781</v>
      </c>
      <c r="U564" s="253">
        <f t="shared" si="119"/>
        <v>262.73853092347053</v>
      </c>
    </row>
    <row r="565" spans="2:21" x14ac:dyDescent="0.2">
      <c r="B565" s="245">
        <v>45721</v>
      </c>
      <c r="C565" s="246">
        <v>240.35</v>
      </c>
      <c r="D565" s="246">
        <v>583.05999999999995</v>
      </c>
      <c r="E565" s="246">
        <v>44.02</v>
      </c>
      <c r="F565" s="248">
        <f t="shared" si="110"/>
        <v>2.3375628033722062E-2</v>
      </c>
      <c r="G565" s="248">
        <f t="shared" si="111"/>
        <v>1.0747841764032762E-2</v>
      </c>
      <c r="H565" s="248">
        <f t="shared" si="112"/>
        <v>2.6107226107226156E-2</v>
      </c>
      <c r="I565" s="249">
        <f t="shared" si="113"/>
        <v>0.33683742143611739</v>
      </c>
      <c r="J565" s="249">
        <f t="shared" si="114"/>
        <v>0.44154078176378464</v>
      </c>
      <c r="K565" s="249">
        <f t="shared" si="115"/>
        <v>5.7791661660458793E-2</v>
      </c>
      <c r="L565" s="250">
        <f t="shared" si="105"/>
        <v>133.68374214361199</v>
      </c>
      <c r="M565" s="250">
        <f t="shared" si="106"/>
        <v>144.15407817637896</v>
      </c>
      <c r="N565" s="250">
        <f t="shared" si="107"/>
        <v>105.7791661660459</v>
      </c>
      <c r="O565" s="248">
        <f t="shared" si="108"/>
        <v>-7.2632950556943965E-2</v>
      </c>
      <c r="P565" s="247">
        <f t="shared" si="109"/>
        <v>0.263800301977829</v>
      </c>
      <c r="Q565" s="251">
        <f t="shared" si="116"/>
        <v>1.3368374214361174</v>
      </c>
      <c r="R565" s="251">
        <f t="shared" si="117"/>
        <v>1.6258412592468956</v>
      </c>
      <c r="S565" s="251">
        <f t="shared" si="118"/>
        <v>-0.17775649139612026</v>
      </c>
      <c r="T565" s="252">
        <f>C565*'1. Share_Price_Analysis'!$E$11+T564*(1-'1. Share_Price_Analysis'!$E$11)</f>
        <v>258.46560553193223</v>
      </c>
      <c r="U565" s="253">
        <f t="shared" si="119"/>
        <v>261.86054931862856</v>
      </c>
    </row>
    <row r="566" spans="2:21" x14ac:dyDescent="0.2">
      <c r="B566" s="245">
        <v>45722</v>
      </c>
      <c r="C566" s="246">
        <v>235.17</v>
      </c>
      <c r="D566" s="246">
        <v>572.71</v>
      </c>
      <c r="E566" s="246">
        <v>43.79</v>
      </c>
      <c r="F566" s="248">
        <f t="shared" si="110"/>
        <v>-2.1551903474100298E-2</v>
      </c>
      <c r="G566" s="248">
        <f t="shared" si="111"/>
        <v>-1.7751174836208805E-2</v>
      </c>
      <c r="H566" s="248">
        <f t="shared" si="112"/>
        <v>-5.2248977737392455E-3</v>
      </c>
      <c r="I566" s="249">
        <f t="shared" si="113"/>
        <v>0.30802603036876097</v>
      </c>
      <c r="J566" s="249">
        <f t="shared" si="114"/>
        <v>0.41595173931317064</v>
      </c>
      <c r="K566" s="249">
        <f t="shared" si="115"/>
        <v>5.2264808362369131E-2</v>
      </c>
      <c r="L566" s="250">
        <f t="shared" si="105"/>
        <v>130.80260303687638</v>
      </c>
      <c r="M566" s="250">
        <f t="shared" si="106"/>
        <v>141.59517393131753</v>
      </c>
      <c r="N566" s="250">
        <f t="shared" si="107"/>
        <v>105.22648083623693</v>
      </c>
      <c r="O566" s="248">
        <f t="shared" si="108"/>
        <v>-7.6221318811868999E-2</v>
      </c>
      <c r="P566" s="247">
        <f t="shared" si="109"/>
        <v>0.24305785005243208</v>
      </c>
      <c r="Q566" s="251">
        <f t="shared" si="116"/>
        <v>1.308026030368761</v>
      </c>
      <c r="R566" s="251">
        <f t="shared" si="117"/>
        <v>1.6258412592468956</v>
      </c>
      <c r="S566" s="251">
        <f t="shared" si="118"/>
        <v>-0.19547740412575676</v>
      </c>
      <c r="T566" s="252">
        <f>C566*'1. Share_Price_Analysis'!$E$11+T565*(1-'1. Share_Price_Analysis'!$E$11)</f>
        <v>258.23380846196278</v>
      </c>
      <c r="U566" s="253">
        <f t="shared" si="119"/>
        <v>260.81386111005492</v>
      </c>
    </row>
    <row r="567" spans="2:21" x14ac:dyDescent="0.2">
      <c r="B567" s="245">
        <v>45723</v>
      </c>
      <c r="C567" s="246">
        <v>220.9</v>
      </c>
      <c r="D567" s="246">
        <v>575.91999999999996</v>
      </c>
      <c r="E567" s="246">
        <v>43.91</v>
      </c>
      <c r="F567" s="248">
        <f t="shared" si="110"/>
        <v>-6.0679508440702357E-2</v>
      </c>
      <c r="G567" s="248">
        <f t="shared" si="111"/>
        <v>5.6049309423615856E-3</v>
      </c>
      <c r="H567" s="248">
        <f t="shared" si="112"/>
        <v>2.7403516784654247E-3</v>
      </c>
      <c r="I567" s="249">
        <f t="shared" si="113"/>
        <v>0.2286556538183413</v>
      </c>
      <c r="J567" s="249">
        <f t="shared" si="114"/>
        <v>0.42388805102973781</v>
      </c>
      <c r="K567" s="249">
        <f t="shared" si="115"/>
        <v>5.514838399615507E-2</v>
      </c>
      <c r="L567" s="250">
        <f t="shared" si="105"/>
        <v>122.86556538183437</v>
      </c>
      <c r="M567" s="250">
        <f t="shared" si="106"/>
        <v>142.38880510297426</v>
      </c>
      <c r="N567" s="250">
        <f t="shared" si="107"/>
        <v>105.51483839961551</v>
      </c>
      <c r="O567" s="248">
        <f t="shared" si="108"/>
        <v>-0.13711218172679163</v>
      </c>
      <c r="P567" s="247">
        <f t="shared" si="109"/>
        <v>0.16443873909474571</v>
      </c>
      <c r="Q567" s="251">
        <f t="shared" si="116"/>
        <v>1.2286556538183413</v>
      </c>
      <c r="R567" s="251">
        <f t="shared" si="117"/>
        <v>1.6258412592468956</v>
      </c>
      <c r="S567" s="251">
        <f t="shared" si="118"/>
        <v>-0.24429543977284363</v>
      </c>
      <c r="T567" s="252">
        <f>C567*'1. Share_Price_Analysis'!$E$11+T566*(1-'1. Share_Price_Analysis'!$E$11)</f>
        <v>257.86232778074924</v>
      </c>
      <c r="U567" s="253">
        <f t="shared" si="119"/>
        <v>259.24861165475863</v>
      </c>
    </row>
    <row r="568" spans="2:21" x14ac:dyDescent="0.2">
      <c r="B568" s="245">
        <v>45726</v>
      </c>
      <c r="C568" s="246">
        <v>221.34</v>
      </c>
      <c r="D568" s="246">
        <v>560.58000000000004</v>
      </c>
      <c r="E568" s="246">
        <v>42.994999999999997</v>
      </c>
      <c r="F568" s="248">
        <f t="shared" si="110"/>
        <v>1.9918515165233686E-3</v>
      </c>
      <c r="G568" s="248">
        <f t="shared" si="111"/>
        <v>-2.6635643839421963E-2</v>
      </c>
      <c r="H568" s="248">
        <f t="shared" si="112"/>
        <v>-2.0838077886586204E-2</v>
      </c>
      <c r="I568" s="249">
        <f t="shared" si="113"/>
        <v>0.23110295344568432</v>
      </c>
      <c r="J568" s="249">
        <f t="shared" si="114"/>
        <v>0.38596187603530097</v>
      </c>
      <c r="K568" s="249">
        <f t="shared" si="115"/>
        <v>3.316111978853753E-2</v>
      </c>
      <c r="L568" s="250">
        <f t="shared" si="105"/>
        <v>123.11029534456867</v>
      </c>
      <c r="M568" s="250">
        <f t="shared" si="106"/>
        <v>138.59618760353055</v>
      </c>
      <c r="N568" s="250">
        <f t="shared" si="107"/>
        <v>103.31611197885377</v>
      </c>
      <c r="O568" s="248">
        <f t="shared" si="108"/>
        <v>-0.11173389778412079</v>
      </c>
      <c r="P568" s="247">
        <f t="shared" si="109"/>
        <v>0.19158854303156558</v>
      </c>
      <c r="Q568" s="251">
        <f t="shared" si="116"/>
        <v>1.2311029534456843</v>
      </c>
      <c r="R568" s="251">
        <f t="shared" si="117"/>
        <v>1.6258412592468956</v>
      </c>
      <c r="S568" s="251">
        <f t="shared" si="118"/>
        <v>-0.24279018849851164</v>
      </c>
      <c r="T568" s="252">
        <f>C568*'1. Share_Price_Analysis'!$E$11+T567*(1-'1. Share_Price_Analysis'!$E$11)</f>
        <v>257.49892153417466</v>
      </c>
      <c r="U568" s="253">
        <f t="shared" si="119"/>
        <v>257.76199943300338</v>
      </c>
    </row>
    <row r="569" spans="2:21" x14ac:dyDescent="0.2">
      <c r="B569" s="245">
        <v>45727</v>
      </c>
      <c r="C569" s="246">
        <v>224.71</v>
      </c>
      <c r="D569" s="246">
        <v>555.91999999999996</v>
      </c>
      <c r="E569" s="246">
        <v>42.664999999999999</v>
      </c>
      <c r="F569" s="248">
        <f t="shared" si="110"/>
        <v>1.522544501671641E-2</v>
      </c>
      <c r="G569" s="248">
        <f t="shared" si="111"/>
        <v>-8.3128188661744096E-3</v>
      </c>
      <c r="H569" s="248">
        <f t="shared" si="112"/>
        <v>-7.6753110826840443E-3</v>
      </c>
      <c r="I569" s="249">
        <f t="shared" si="113"/>
        <v>0.2498470437732887</v>
      </c>
      <c r="J569" s="249">
        <f t="shared" si="114"/>
        <v>0.3744406260043962</v>
      </c>
      <c r="K569" s="249">
        <f t="shared" si="115"/>
        <v>2.5231286795626362E-2</v>
      </c>
      <c r="L569" s="250">
        <f t="shared" si="105"/>
        <v>124.98470437732911</v>
      </c>
      <c r="M569" s="250">
        <f t="shared" si="106"/>
        <v>137.44406260044008</v>
      </c>
      <c r="N569" s="250">
        <f t="shared" si="107"/>
        <v>102.52312867956266</v>
      </c>
      <c r="O569" s="248">
        <f t="shared" si="108"/>
        <v>-9.0650392511541611E-2</v>
      </c>
      <c r="P569" s="247">
        <f t="shared" si="109"/>
        <v>0.2190878876508946</v>
      </c>
      <c r="Q569" s="251">
        <f t="shared" si="116"/>
        <v>1.2498470437732887</v>
      </c>
      <c r="R569" s="251">
        <f t="shared" si="117"/>
        <v>1.6258412592468956</v>
      </c>
      <c r="S569" s="251">
        <f t="shared" si="118"/>
        <v>-0.23126133214737754</v>
      </c>
      <c r="T569" s="252">
        <f>C569*'1. Share_Price_Analysis'!$E$11+T568*(1-'1. Share_Price_Analysis'!$E$11)</f>
        <v>257.17266360846151</v>
      </c>
      <c r="U569" s="253">
        <f t="shared" si="119"/>
        <v>256.46584259249346</v>
      </c>
    </row>
    <row r="570" spans="2:21" x14ac:dyDescent="0.2">
      <c r="B570" s="245">
        <v>45728</v>
      </c>
      <c r="C570" s="246">
        <v>227.17</v>
      </c>
      <c r="D570" s="246">
        <v>558.87</v>
      </c>
      <c r="E570" s="246">
        <v>42.465000000000003</v>
      </c>
      <c r="F570" s="248">
        <f t="shared" si="110"/>
        <v>1.0947443371456478E-2</v>
      </c>
      <c r="G570" s="248">
        <f t="shared" si="111"/>
        <v>5.3065189235861343E-3</v>
      </c>
      <c r="H570" s="248">
        <f t="shared" si="112"/>
        <v>-4.6876831126214658E-3</v>
      </c>
      <c r="I570" s="249">
        <f t="shared" si="113"/>
        <v>0.26352967350797907</v>
      </c>
      <c r="J570" s="249">
        <f t="shared" si="114"/>
        <v>0.38173412119563421</v>
      </c>
      <c r="K570" s="249">
        <f t="shared" si="115"/>
        <v>2.0425327405983351E-2</v>
      </c>
      <c r="L570" s="250">
        <f t="shared" si="105"/>
        <v>126.35296735079815</v>
      </c>
      <c r="M570" s="250">
        <f t="shared" si="106"/>
        <v>138.17341211956386</v>
      </c>
      <c r="N570" s="250">
        <f t="shared" si="107"/>
        <v>102.04253274059833</v>
      </c>
      <c r="O570" s="248">
        <f t="shared" si="108"/>
        <v>-8.5547896570268622E-2</v>
      </c>
      <c r="P570" s="247">
        <f t="shared" si="109"/>
        <v>0.23823825180818448</v>
      </c>
      <c r="Q570" s="251">
        <f t="shared" si="116"/>
        <v>1.2635296735079791</v>
      </c>
      <c r="R570" s="251">
        <f t="shared" si="117"/>
        <v>1.6258412592468956</v>
      </c>
      <c r="S570" s="251">
        <f t="shared" si="118"/>
        <v>-0.22284560911361206</v>
      </c>
      <c r="T570" s="252">
        <f>C570*'1. Share_Price_Analysis'!$E$11+T569*(1-'1. Share_Price_Analysis'!$E$11)</f>
        <v>256.87412964220817</v>
      </c>
      <c r="U570" s="253">
        <f t="shared" si="119"/>
        <v>255.31698602023883</v>
      </c>
    </row>
    <row r="571" spans="2:21" x14ac:dyDescent="0.2">
      <c r="B571" s="245">
        <v>45729</v>
      </c>
      <c r="C571" s="246">
        <v>225.04</v>
      </c>
      <c r="D571" s="246">
        <v>551.41999999999996</v>
      </c>
      <c r="E571" s="246">
        <v>42.435000000000002</v>
      </c>
      <c r="F571" s="248">
        <f t="shared" si="110"/>
        <v>-9.3762380596029704E-3</v>
      </c>
      <c r="G571" s="248">
        <f t="shared" si="111"/>
        <v>-1.3330470413513096E-2</v>
      </c>
      <c r="H571" s="248">
        <f t="shared" si="112"/>
        <v>-7.0646414694452986E-4</v>
      </c>
      <c r="I571" s="249">
        <f t="shared" si="113"/>
        <v>0.25168251849379586</v>
      </c>
      <c r="J571" s="249">
        <f t="shared" si="114"/>
        <v>0.36331495537369429</v>
      </c>
      <c r="K571" s="249">
        <f t="shared" si="115"/>
        <v>1.9704433497536922E-2</v>
      </c>
      <c r="L571" s="250">
        <f t="shared" si="105"/>
        <v>125.16825184937983</v>
      </c>
      <c r="M571" s="250">
        <f t="shared" si="106"/>
        <v>136.33149553736988</v>
      </c>
      <c r="N571" s="250">
        <f t="shared" si="107"/>
        <v>101.97044334975369</v>
      </c>
      <c r="O571" s="248">
        <f t="shared" si="108"/>
        <v>-8.1883086839093067E-2</v>
      </c>
      <c r="P571" s="247">
        <f t="shared" si="109"/>
        <v>0.22749541668715256</v>
      </c>
      <c r="Q571" s="251">
        <f t="shared" si="116"/>
        <v>1.2516825184937959</v>
      </c>
      <c r="R571" s="251">
        <f t="shared" si="117"/>
        <v>1.6258412592468956</v>
      </c>
      <c r="S571" s="251">
        <f t="shared" si="118"/>
        <v>-0.23013239369162852</v>
      </c>
      <c r="T571" s="252">
        <f>C571*'1. Share_Price_Analysis'!$E$11+T570*(1-'1. Share_Price_Analysis'!$E$11)</f>
        <v>256.55737213333049</v>
      </c>
      <c r="U571" s="253">
        <f t="shared" si="119"/>
        <v>254.12965323513143</v>
      </c>
    </row>
    <row r="572" spans="2:21" x14ac:dyDescent="0.2">
      <c r="B572" s="245">
        <v>45730</v>
      </c>
      <c r="C572" s="246">
        <v>231.32</v>
      </c>
      <c r="D572" s="246">
        <v>562.80999999999995</v>
      </c>
      <c r="E572" s="246">
        <v>42.99</v>
      </c>
      <c r="F572" s="248">
        <f t="shared" si="110"/>
        <v>2.7906150017774634E-2</v>
      </c>
      <c r="G572" s="248">
        <f t="shared" si="111"/>
        <v>2.0655761488520552E-2</v>
      </c>
      <c r="H572" s="248">
        <f t="shared" si="112"/>
        <v>1.3078826440438229E-2</v>
      </c>
      <c r="I572" s="249">
        <f t="shared" si="113"/>
        <v>0.28661215862950962</v>
      </c>
      <c r="J572" s="249">
        <f t="shared" si="114"/>
        <v>0.39147526392562626</v>
      </c>
      <c r="K572" s="249">
        <f t="shared" si="115"/>
        <v>3.3040970803796643E-2</v>
      </c>
      <c r="L572" s="250">
        <f t="shared" si="105"/>
        <v>128.66121586295122</v>
      </c>
      <c r="M572" s="250">
        <f t="shared" si="106"/>
        <v>139.14752639256309</v>
      </c>
      <c r="N572" s="250">
        <f t="shared" si="107"/>
        <v>103.30409708037966</v>
      </c>
      <c r="O572" s="248">
        <f t="shared" si="108"/>
        <v>-7.5361099126029063E-2</v>
      </c>
      <c r="P572" s="247">
        <f t="shared" si="109"/>
        <v>0.24546092071102699</v>
      </c>
      <c r="Q572" s="251">
        <f t="shared" si="116"/>
        <v>1.2866121586295096</v>
      </c>
      <c r="R572" s="251">
        <f t="shared" si="117"/>
        <v>1.6258412592468956</v>
      </c>
      <c r="S572" s="251">
        <f t="shared" si="118"/>
        <v>-0.20864835277616212</v>
      </c>
      <c r="T572" s="252">
        <f>C572*'1. Share_Price_Analysis'!$E$11+T571*(1-'1. Share_Price_Analysis'!$E$11)</f>
        <v>256.30625400265058</v>
      </c>
      <c r="U572" s="253">
        <f t="shared" si="119"/>
        <v>253.23515702983215</v>
      </c>
    </row>
    <row r="573" spans="2:21" x14ac:dyDescent="0.2">
      <c r="B573" s="245">
        <v>45733</v>
      </c>
      <c r="C573" s="246">
        <v>235.08</v>
      </c>
      <c r="D573" s="246">
        <v>567.15</v>
      </c>
      <c r="E573" s="246">
        <v>43.53</v>
      </c>
      <c r="F573" s="248">
        <f t="shared" si="110"/>
        <v>1.6254539166522752E-2</v>
      </c>
      <c r="G573" s="248">
        <f t="shared" si="111"/>
        <v>7.7113057692650422E-3</v>
      </c>
      <c r="H573" s="248">
        <f t="shared" si="112"/>
        <v>1.2561060711793415E-2</v>
      </c>
      <c r="I573" s="249">
        <f t="shared" si="113"/>
        <v>0.3075254463540773</v>
      </c>
      <c r="J573" s="249">
        <f t="shared" si="114"/>
        <v>0.40220535515612554</v>
      </c>
      <c r="K573" s="249">
        <f t="shared" si="115"/>
        <v>4.6017061155833039E-2</v>
      </c>
      <c r="L573" s="250">
        <f t="shared" si="105"/>
        <v>130.75254463540799</v>
      </c>
      <c r="M573" s="250">
        <f t="shared" si="106"/>
        <v>140.22053551561299</v>
      </c>
      <c r="N573" s="250">
        <f t="shared" si="107"/>
        <v>104.60170611558333</v>
      </c>
      <c r="O573" s="248">
        <f t="shared" si="108"/>
        <v>-6.7522141784650547E-2</v>
      </c>
      <c r="P573" s="247">
        <f t="shared" si="109"/>
        <v>0.25000393866356396</v>
      </c>
      <c r="Q573" s="251">
        <f t="shared" si="116"/>
        <v>1.3075254463540773</v>
      </c>
      <c r="R573" s="251">
        <f t="shared" si="117"/>
        <v>1.6258412592468956</v>
      </c>
      <c r="S573" s="251">
        <f t="shared" si="118"/>
        <v>-0.19578529643187004</v>
      </c>
      <c r="T573" s="252">
        <f>C573*'1. Share_Price_Analysis'!$E$11+T572*(1-'1. Share_Price_Analysis'!$E$11)</f>
        <v>256.09504749516151</v>
      </c>
      <c r="U573" s="253">
        <f t="shared" si="119"/>
        <v>252.5231900874858</v>
      </c>
    </row>
    <row r="574" spans="2:21" x14ac:dyDescent="0.2">
      <c r="B574" s="245">
        <v>45734</v>
      </c>
      <c r="C574" s="246">
        <v>236.5</v>
      </c>
      <c r="D574" s="246">
        <v>561.02</v>
      </c>
      <c r="E574" s="246">
        <v>43.454999999999998</v>
      </c>
      <c r="F574" s="248">
        <f t="shared" si="110"/>
        <v>6.0404968521354796E-3</v>
      </c>
      <c r="G574" s="248">
        <f t="shared" si="111"/>
        <v>-1.0808428105439472E-2</v>
      </c>
      <c r="H574" s="248">
        <f t="shared" si="112"/>
        <v>-1.7229496898690799E-3</v>
      </c>
      <c r="I574" s="249">
        <f t="shared" si="113"/>
        <v>0.31542354969686603</v>
      </c>
      <c r="J574" s="249">
        <f t="shared" si="114"/>
        <v>0.38704971938585842</v>
      </c>
      <c r="K574" s="249">
        <f t="shared" si="115"/>
        <v>4.4214826384716854E-2</v>
      </c>
      <c r="L574" s="250">
        <f t="shared" si="105"/>
        <v>131.54235496968687</v>
      </c>
      <c r="M574" s="250">
        <f t="shared" si="106"/>
        <v>138.70497193858628</v>
      </c>
      <c r="N574" s="250">
        <f t="shared" si="107"/>
        <v>104.42148263847169</v>
      </c>
      <c r="O574" s="248">
        <f t="shared" si="108"/>
        <v>-5.1639222940549123E-2</v>
      </c>
      <c r="P574" s="247">
        <f t="shared" si="109"/>
        <v>0.25972502636371164</v>
      </c>
      <c r="Q574" s="251">
        <f t="shared" si="116"/>
        <v>1.315423549696866</v>
      </c>
      <c r="R574" s="251">
        <f t="shared" si="117"/>
        <v>1.6258412592468956</v>
      </c>
      <c r="S574" s="251">
        <f t="shared" si="118"/>
        <v>-0.19092744004652573</v>
      </c>
      <c r="T574" s="252">
        <f>C574*'1. Share_Price_Analysis'!$E$11+T573*(1-'1. Share_Price_Analysis'!$E$11)</f>
        <v>255.90007189819474</v>
      </c>
      <c r="U574" s="253">
        <f t="shared" si="119"/>
        <v>251.89482969189814</v>
      </c>
    </row>
    <row r="575" spans="2:21" x14ac:dyDescent="0.2">
      <c r="B575" s="245">
        <v>45735</v>
      </c>
      <c r="C575" s="246">
        <v>241.11</v>
      </c>
      <c r="D575" s="246">
        <v>567.13</v>
      </c>
      <c r="E575" s="246">
        <v>43.6</v>
      </c>
      <c r="F575" s="248">
        <f t="shared" si="110"/>
        <v>1.9492600422833073E-2</v>
      </c>
      <c r="G575" s="248">
        <f t="shared" si="111"/>
        <v>1.0890877330576476E-2</v>
      </c>
      <c r="H575" s="248">
        <f t="shared" si="112"/>
        <v>3.336785180071411E-3</v>
      </c>
      <c r="I575" s="249">
        <f t="shared" si="113"/>
        <v>0.34106457533789181</v>
      </c>
      <c r="J575" s="249">
        <f t="shared" si="114"/>
        <v>0.40215590773110033</v>
      </c>
      <c r="K575" s="249">
        <f t="shared" si="115"/>
        <v>4.7699146942208115E-2</v>
      </c>
      <c r="L575" s="250">
        <f t="shared" si="105"/>
        <v>134.10645753378944</v>
      </c>
      <c r="M575" s="250">
        <f t="shared" si="106"/>
        <v>140.21559077311048</v>
      </c>
      <c r="N575" s="250">
        <f t="shared" si="107"/>
        <v>104.76991469422083</v>
      </c>
      <c r="O575" s="248">
        <f t="shared" si="108"/>
        <v>-4.356957172620235E-2</v>
      </c>
      <c r="P575" s="247">
        <f t="shared" si="109"/>
        <v>0.28000922712583431</v>
      </c>
      <c r="Q575" s="251">
        <f t="shared" si="116"/>
        <v>1.3410645753378918</v>
      </c>
      <c r="R575" s="251">
        <f t="shared" si="117"/>
        <v>1.6258412592468956</v>
      </c>
      <c r="S575" s="251">
        <f t="shared" si="118"/>
        <v>-0.17515651192227399</v>
      </c>
      <c r="T575" s="252">
        <f>C575*'1. Share_Price_Analysis'!$E$11+T574*(1-'1. Share_Price_Analysis'!$E$11)</f>
        <v>255.75290700368535</v>
      </c>
      <c r="U575" s="253">
        <f t="shared" si="119"/>
        <v>251.47189519417665</v>
      </c>
    </row>
    <row r="576" spans="2:21" x14ac:dyDescent="0.2">
      <c r="B576" s="245">
        <v>45736</v>
      </c>
      <c r="C576" s="246">
        <v>238.72</v>
      </c>
      <c r="D576" s="246">
        <v>565.49</v>
      </c>
      <c r="E576" s="246">
        <v>43.325000000000003</v>
      </c>
      <c r="F576" s="248">
        <f t="shared" si="110"/>
        <v>-9.9124880759819956E-3</v>
      </c>
      <c r="G576" s="248">
        <f t="shared" si="111"/>
        <v>-2.8917532135489532E-3</v>
      </c>
      <c r="H576" s="248">
        <f t="shared" si="112"/>
        <v>-6.307339449541205E-3</v>
      </c>
      <c r="I576" s="249">
        <f t="shared" si="113"/>
        <v>0.32777128872573313</v>
      </c>
      <c r="J576" s="249">
        <f t="shared" si="114"/>
        <v>0.39810121887902228</v>
      </c>
      <c r="K576" s="249">
        <f t="shared" si="115"/>
        <v>4.1090952781448919E-2</v>
      </c>
      <c r="L576" s="250">
        <f t="shared" ref="L576:L639" si="120">(C576/$C$64)*100</f>
        <v>132.77712887257357</v>
      </c>
      <c r="M576" s="250">
        <f t="shared" ref="M576:M639" si="121">(D576/$D$64)*100</f>
        <v>139.81012188790268</v>
      </c>
      <c r="N576" s="250">
        <f t="shared" ref="N576:N639" si="122">(E576/$E$64)*100</f>
        <v>104.10909527814489</v>
      </c>
      <c r="O576" s="248">
        <f t="shared" ref="O576:O639" si="123">(1+I576)/(1+J576)-1</f>
        <v>-5.0303890164460796E-2</v>
      </c>
      <c r="P576" s="247">
        <f t="shared" ref="P576:P639" si="124">(1+I576)/(1+K576)-1</f>
        <v>0.27536531287527732</v>
      </c>
      <c r="Q576" s="251">
        <f t="shared" si="116"/>
        <v>1.3277712887257331</v>
      </c>
      <c r="R576" s="251">
        <f t="shared" si="117"/>
        <v>1.6258412592468956</v>
      </c>
      <c r="S576" s="251">
        <f t="shared" si="118"/>
        <v>-0.18333276316239577</v>
      </c>
      <c r="T576" s="252">
        <f>C576*'1. Share_Price_Analysis'!$E$11+T575*(1-'1. Share_Price_Analysis'!$E$11)</f>
        <v>255.58342534195714</v>
      </c>
      <c r="U576" s="253">
        <f t="shared" si="119"/>
        <v>250.97182087283642</v>
      </c>
    </row>
    <row r="577" spans="2:21" x14ac:dyDescent="0.2">
      <c r="B577" s="245">
        <v>45737</v>
      </c>
      <c r="C577" s="246">
        <v>234.08</v>
      </c>
      <c r="D577" s="246">
        <v>563.98</v>
      </c>
      <c r="E577" s="246">
        <v>42.895000000000003</v>
      </c>
      <c r="F577" s="248">
        <f t="shared" ref="F577:F640" si="125">C577/C576-1</f>
        <v>-1.943699731903481E-2</v>
      </c>
      <c r="G577" s="248">
        <f t="shared" ref="G577:G640" si="126">D577/D576 - 1</f>
        <v>-2.6702505791437181E-3</v>
      </c>
      <c r="H577" s="248">
        <f t="shared" ref="H577:H640" si="127">E577/E576 - 1</f>
        <v>-9.9249855741488924E-3</v>
      </c>
      <c r="I577" s="249">
        <f t="shared" ref="I577:I640" si="128">(1+F577)*(1+I576)-1</f>
        <v>0.30196340174647962</v>
      </c>
      <c r="J577" s="249">
        <f t="shared" ref="J577:J640" si="129">(1+G577)*(1+J576)-1</f>
        <v>0.39436793828960903</v>
      </c>
      <c r="K577" s="249">
        <f t="shared" ref="K577:K640" si="130">(1+H577)*(1+K576)-1</f>
        <v>3.0758140093716024E-2</v>
      </c>
      <c r="L577" s="250">
        <f t="shared" si="120"/>
        <v>130.19634017464821</v>
      </c>
      <c r="M577" s="250">
        <f t="shared" si="121"/>
        <v>139.43679382896136</v>
      </c>
      <c r="N577" s="250">
        <f t="shared" si="122"/>
        <v>103.07581400937163</v>
      </c>
      <c r="O577" s="248">
        <f t="shared" si="123"/>
        <v>-6.6269837397779474E-2</v>
      </c>
      <c r="P577" s="247">
        <f t="shared" si="124"/>
        <v>0.2631124131875453</v>
      </c>
      <c r="Q577" s="251">
        <f t="shared" ref="Q577:Q640" si="131">Q576*(1+F577)</f>
        <v>1.3019634017464796</v>
      </c>
      <c r="R577" s="251">
        <f t="shared" ref="R577:R640" si="132">MAX(Q577,R576)</f>
        <v>1.6258412592468956</v>
      </c>
      <c r="S577" s="251">
        <f t="shared" ref="S577:S640" si="133">Q577/R577-1</f>
        <v>-0.19920632205535194</v>
      </c>
      <c r="T577" s="252">
        <f>C577*'1. Share_Price_Analysis'!$E$11+T576*(1-'1. Share_Price_Analysis'!$E$11)</f>
        <v>255.36946091069387</v>
      </c>
      <c r="U577" s="253">
        <f t="shared" ref="U577:U640" si="134">C577*$L$5+U576*(1-$L$5)</f>
        <v>250.30939652488206</v>
      </c>
    </row>
    <row r="578" spans="2:21" x14ac:dyDescent="0.2">
      <c r="B578" s="245">
        <v>45740</v>
      </c>
      <c r="C578" s="246">
        <v>240.81</v>
      </c>
      <c r="D578" s="246">
        <v>574.08000000000004</v>
      </c>
      <c r="E578" s="246">
        <v>43.27</v>
      </c>
      <c r="F578" s="248">
        <f t="shared" si="125"/>
        <v>2.8750854408749138E-2</v>
      </c>
      <c r="G578" s="248">
        <f t="shared" si="126"/>
        <v>1.7908436469378453E-2</v>
      </c>
      <c r="H578" s="248">
        <f t="shared" si="127"/>
        <v>8.7422776547383396E-3</v>
      </c>
      <c r="I578" s="249">
        <f t="shared" si="128"/>
        <v>0.33939596195561239</v>
      </c>
      <c r="J578" s="249">
        <f t="shared" si="129"/>
        <v>0.4193388879274067</v>
      </c>
      <c r="K578" s="249">
        <f t="shared" si="130"/>
        <v>3.9769313949296947E-2</v>
      </c>
      <c r="L578" s="250">
        <f t="shared" si="120"/>
        <v>133.93959619556151</v>
      </c>
      <c r="M578" s="250">
        <f t="shared" si="121"/>
        <v>141.9338887927411</v>
      </c>
      <c r="N578" s="250">
        <f t="shared" si="122"/>
        <v>103.97693139492972</v>
      </c>
      <c r="O578" s="248">
        <f t="shared" si="123"/>
        <v>-5.6324058089136986E-2</v>
      </c>
      <c r="P578" s="247">
        <f t="shared" si="124"/>
        <v>0.28816646537515189</v>
      </c>
      <c r="Q578" s="251">
        <f t="shared" si="131"/>
        <v>1.3393959619556124</v>
      </c>
      <c r="R578" s="251">
        <f t="shared" si="132"/>
        <v>1.6258412592468956</v>
      </c>
      <c r="S578" s="251">
        <f t="shared" si="133"/>
        <v>-0.17618281960931859</v>
      </c>
      <c r="T578" s="252">
        <f>C578*'1. Share_Price_Analysis'!$E$11+T577*(1-'1. Share_Price_Analysis'!$E$11)</f>
        <v>255.22459065287603</v>
      </c>
      <c r="U578" s="253">
        <f t="shared" si="134"/>
        <v>249.93687117096511</v>
      </c>
    </row>
    <row r="579" spans="2:21" x14ac:dyDescent="0.2">
      <c r="B579" s="245">
        <v>45741</v>
      </c>
      <c r="C579" s="246">
        <v>240.98</v>
      </c>
      <c r="D579" s="246">
        <v>575.46</v>
      </c>
      <c r="E579" s="246">
        <v>43.26</v>
      </c>
      <c r="F579" s="248">
        <f t="shared" si="125"/>
        <v>7.0595074955348558E-4</v>
      </c>
      <c r="G579" s="248">
        <f t="shared" si="126"/>
        <v>2.4038461538462563E-3</v>
      </c>
      <c r="H579" s="248">
        <f t="shared" si="127"/>
        <v>-2.3110700254225236E-4</v>
      </c>
      <c r="I579" s="249">
        <f t="shared" si="128"/>
        <v>0.34034150953890396</v>
      </c>
      <c r="J579" s="249">
        <f t="shared" si="129"/>
        <v>0.42275076025415537</v>
      </c>
      <c r="K579" s="249">
        <f t="shared" si="130"/>
        <v>3.952901597981473E-2</v>
      </c>
      <c r="L579" s="250">
        <f t="shared" si="120"/>
        <v>134.03415095389065</v>
      </c>
      <c r="M579" s="250">
        <f t="shared" si="121"/>
        <v>142.27507602541598</v>
      </c>
      <c r="N579" s="250">
        <f t="shared" si="122"/>
        <v>103.95290159798149</v>
      </c>
      <c r="O579" s="248">
        <f t="shared" si="123"/>
        <v>-5.7922478776627151E-2</v>
      </c>
      <c r="P579" s="247">
        <f t="shared" si="124"/>
        <v>0.28937383077812062</v>
      </c>
      <c r="Q579" s="251">
        <f t="shared" si="131"/>
        <v>1.340341509538904</v>
      </c>
      <c r="R579" s="251">
        <f t="shared" si="132"/>
        <v>1.6258412592468956</v>
      </c>
      <c r="S579" s="251">
        <f t="shared" si="133"/>
        <v>-0.17560124525332665</v>
      </c>
      <c r="T579" s="252">
        <f>C579*'1. Share_Price_Analysis'!$E$11+T578*(1-'1. Share_Price_Analysis'!$E$11)</f>
        <v>255.08285343244941</v>
      </c>
      <c r="U579" s="253">
        <f t="shared" si="134"/>
        <v>249.58562132112334</v>
      </c>
    </row>
    <row r="580" spans="2:21" x14ac:dyDescent="0.2">
      <c r="B580" s="245">
        <v>45742</v>
      </c>
      <c r="C580" s="246">
        <v>237.06</v>
      </c>
      <c r="D580" s="246">
        <v>568.59</v>
      </c>
      <c r="E580" s="246">
        <v>43.34</v>
      </c>
      <c r="F580" s="248">
        <f t="shared" si="125"/>
        <v>-1.6266910117022082E-2</v>
      </c>
      <c r="G580" s="248">
        <f t="shared" si="126"/>
        <v>-1.1938275466583215E-2</v>
      </c>
      <c r="H580" s="248">
        <f t="shared" si="127"/>
        <v>1.8492834026815341E-3</v>
      </c>
      <c r="I580" s="249">
        <f t="shared" si="128"/>
        <v>0.31853829467712091</v>
      </c>
      <c r="J580" s="249">
        <f t="shared" si="129"/>
        <v>0.40576556975795053</v>
      </c>
      <c r="K580" s="249">
        <f t="shared" si="130"/>
        <v>4.1451399735672023E-2</v>
      </c>
      <c r="L580" s="250">
        <f t="shared" si="120"/>
        <v>131.85382946771233</v>
      </c>
      <c r="M580" s="250">
        <f t="shared" si="121"/>
        <v>140.57655697579548</v>
      </c>
      <c r="N580" s="250">
        <f t="shared" si="122"/>
        <v>104.14513997356723</v>
      </c>
      <c r="O580" s="248">
        <f t="shared" si="123"/>
        <v>-6.2049659599963558E-2</v>
      </c>
      <c r="P580" s="247">
        <f t="shared" si="124"/>
        <v>0.26605840177638207</v>
      </c>
      <c r="Q580" s="251">
        <f t="shared" si="131"/>
        <v>1.3185382946771209</v>
      </c>
      <c r="R580" s="251">
        <f t="shared" si="132"/>
        <v>1.6258412592468956</v>
      </c>
      <c r="S580" s="251">
        <f t="shared" si="133"/>
        <v>-0.18901166569737582</v>
      </c>
      <c r="T580" s="252">
        <f>C580*'1. Share_Price_Analysis'!$E$11+T579*(1-'1. Share_Price_Analysis'!$E$11)</f>
        <v>254.90352155749969</v>
      </c>
      <c r="U580" s="253">
        <f t="shared" si="134"/>
        <v>249.09442048500085</v>
      </c>
    </row>
    <row r="581" spans="2:21" x14ac:dyDescent="0.2">
      <c r="B581" s="245">
        <v>45743</v>
      </c>
      <c r="C581" s="246">
        <v>237.54</v>
      </c>
      <c r="D581" s="246">
        <v>567.08000000000004</v>
      </c>
      <c r="E581" s="246">
        <v>43.32</v>
      </c>
      <c r="F581" s="248">
        <f t="shared" si="125"/>
        <v>2.0248038471273322E-3</v>
      </c>
      <c r="G581" s="248">
        <f t="shared" si="126"/>
        <v>-2.6556921507588926E-3</v>
      </c>
      <c r="H581" s="248">
        <f t="shared" si="127"/>
        <v>-4.6146746654363024E-4</v>
      </c>
      <c r="I581" s="249">
        <f t="shared" si="128"/>
        <v>0.32120807608876789</v>
      </c>
      <c r="J581" s="249">
        <f t="shared" si="129"/>
        <v>0.40203228916853728</v>
      </c>
      <c r="K581" s="249">
        <f t="shared" si="130"/>
        <v>4.0970803796707589E-2</v>
      </c>
      <c r="L581" s="250">
        <f t="shared" si="120"/>
        <v>132.12080760887704</v>
      </c>
      <c r="M581" s="250">
        <f t="shared" si="121"/>
        <v>140.20322891685416</v>
      </c>
      <c r="N581" s="250">
        <f t="shared" si="122"/>
        <v>104.09708037967079</v>
      </c>
      <c r="O581" s="248">
        <f t="shared" si="123"/>
        <v>-5.764789705927631E-2</v>
      </c>
      <c r="P581" s="247">
        <f t="shared" si="124"/>
        <v>0.26920761972377871</v>
      </c>
      <c r="Q581" s="251">
        <f t="shared" si="131"/>
        <v>1.3212080760887679</v>
      </c>
      <c r="R581" s="251">
        <f t="shared" si="132"/>
        <v>1.6258412592468956</v>
      </c>
      <c r="S581" s="251">
        <f t="shared" si="133"/>
        <v>-0.18736957339810445</v>
      </c>
      <c r="T581" s="252">
        <f>C581*'1. Share_Price_Analysis'!$E$11+T580*(1-'1. Share_Price_Analysis'!$E$11)</f>
        <v>254.7307501987186</v>
      </c>
      <c r="U581" s="253">
        <f t="shared" si="134"/>
        <v>248.64130595617729</v>
      </c>
    </row>
    <row r="582" spans="2:21" x14ac:dyDescent="0.2">
      <c r="B582" s="245">
        <v>45744</v>
      </c>
      <c r="C582" s="246">
        <v>232.94</v>
      </c>
      <c r="D582" s="246">
        <v>555.66</v>
      </c>
      <c r="E582" s="246">
        <v>42.524999999999999</v>
      </c>
      <c r="F582" s="248">
        <f t="shared" si="125"/>
        <v>-1.9365159552075406E-2</v>
      </c>
      <c r="G582" s="248">
        <f t="shared" si="126"/>
        <v>-2.0138252098469533E-2</v>
      </c>
      <c r="H582" s="248">
        <f t="shared" si="127"/>
        <v>-1.835180055401664E-2</v>
      </c>
      <c r="I582" s="249">
        <f t="shared" si="128"/>
        <v>0.29562267089381833</v>
      </c>
      <c r="J582" s="249">
        <f t="shared" si="129"/>
        <v>0.37379780947906704</v>
      </c>
      <c r="K582" s="249">
        <f t="shared" si="130"/>
        <v>2.1867115222875988E-2</v>
      </c>
      <c r="L582" s="250">
        <f t="shared" si="120"/>
        <v>129.56226708938206</v>
      </c>
      <c r="M582" s="250">
        <f t="shared" si="121"/>
        <v>137.37978094790714</v>
      </c>
      <c r="N582" s="250">
        <f t="shared" si="122"/>
        <v>102.18671152228762</v>
      </c>
      <c r="O582" s="248">
        <f t="shared" si="123"/>
        <v>-5.6904398919439325E-2</v>
      </c>
      <c r="P582" s="247">
        <f t="shared" si="124"/>
        <v>0.26789741209279883</v>
      </c>
      <c r="Q582" s="251">
        <f t="shared" si="131"/>
        <v>1.2956226708938183</v>
      </c>
      <c r="R582" s="251">
        <f t="shared" si="132"/>
        <v>1.6258412592468956</v>
      </c>
      <c r="S582" s="251">
        <f t="shared" si="133"/>
        <v>-0.20310629126612123</v>
      </c>
      <c r="T582" s="252">
        <f>C582*'1. Share_Price_Analysis'!$E$11+T581*(1-'1. Share_Price_Analysis'!$E$11)</f>
        <v>254.51392681365672</v>
      </c>
      <c r="U582" s="253">
        <f t="shared" si="134"/>
        <v>248.02556846769974</v>
      </c>
    </row>
    <row r="583" spans="2:21" x14ac:dyDescent="0.2">
      <c r="B583" s="245">
        <v>45747</v>
      </c>
      <c r="C583" s="246">
        <v>233.3</v>
      </c>
      <c r="D583" s="246">
        <v>559.39</v>
      </c>
      <c r="E583" s="246">
        <v>42.99</v>
      </c>
      <c r="F583" s="248">
        <f t="shared" si="125"/>
        <v>1.5454623508199816E-3</v>
      </c>
      <c r="G583" s="248">
        <f t="shared" si="126"/>
        <v>6.712738005254959E-3</v>
      </c>
      <c r="H583" s="248">
        <f t="shared" si="127"/>
        <v>1.0934744268077612E-2</v>
      </c>
      <c r="I583" s="249">
        <f t="shared" si="128"/>
        <v>0.29762500695255345</v>
      </c>
      <c r="J583" s="249">
        <f t="shared" si="129"/>
        <v>0.3830197542462932</v>
      </c>
      <c r="K583" s="249">
        <f t="shared" si="130"/>
        <v>3.3040970803796421E-2</v>
      </c>
      <c r="L583" s="250">
        <f t="shared" si="120"/>
        <v>129.7625006952556</v>
      </c>
      <c r="M583" s="250">
        <f t="shared" si="121"/>
        <v>138.30197542462975</v>
      </c>
      <c r="N583" s="250">
        <f t="shared" si="122"/>
        <v>103.30409708037966</v>
      </c>
      <c r="O583" s="248">
        <f t="shared" si="123"/>
        <v>-6.1745139237203039E-2</v>
      </c>
      <c r="P583" s="247">
        <f t="shared" si="124"/>
        <v>0.25612153208491573</v>
      </c>
      <c r="Q583" s="251">
        <f t="shared" si="131"/>
        <v>1.2976250069525535</v>
      </c>
      <c r="R583" s="251">
        <f t="shared" si="132"/>
        <v>1.6258412592468956</v>
      </c>
      <c r="S583" s="251">
        <f t="shared" si="133"/>
        <v>-0.20187472204166779</v>
      </c>
      <c r="T583" s="252">
        <f>C583*'1. Share_Price_Analysis'!$E$11+T582*(1-'1. Share_Price_Analysis'!$E$11)</f>
        <v>254.30284296476461</v>
      </c>
      <c r="U583" s="253">
        <f t="shared" si="134"/>
        <v>247.44809519445664</v>
      </c>
    </row>
    <row r="584" spans="2:21" x14ac:dyDescent="0.2">
      <c r="B584" s="245">
        <v>45748</v>
      </c>
      <c r="C584" s="246">
        <v>237.27</v>
      </c>
      <c r="D584" s="246">
        <v>560.97</v>
      </c>
      <c r="E584" s="246">
        <v>43.15</v>
      </c>
      <c r="F584" s="248">
        <f t="shared" si="125"/>
        <v>1.7016716673810439E-2</v>
      </c>
      <c r="G584" s="248">
        <f t="shared" si="126"/>
        <v>2.8245052646633795E-3</v>
      </c>
      <c r="H584" s="248">
        <f t="shared" si="127"/>
        <v>3.7217957664572587E-3</v>
      </c>
      <c r="I584" s="249">
        <f t="shared" si="128"/>
        <v>0.31970632404471644</v>
      </c>
      <c r="J584" s="249">
        <f t="shared" si="129"/>
        <v>0.38692610082329537</v>
      </c>
      <c r="K584" s="249">
        <f t="shared" si="130"/>
        <v>3.6885738315510785E-2</v>
      </c>
      <c r="L584" s="250">
        <f t="shared" si="120"/>
        <v>131.9706324044719</v>
      </c>
      <c r="M584" s="250">
        <f t="shared" si="121"/>
        <v>138.69261008232996</v>
      </c>
      <c r="N584" s="250">
        <f t="shared" si="122"/>
        <v>103.68857383155112</v>
      </c>
      <c r="O584" s="248">
        <f t="shared" si="123"/>
        <v>-4.846673282641123E-2</v>
      </c>
      <c r="P584" s="247">
        <f t="shared" si="124"/>
        <v>0.27275964484637072</v>
      </c>
      <c r="Q584" s="251">
        <f t="shared" si="131"/>
        <v>1.3197063240447164</v>
      </c>
      <c r="R584" s="251">
        <f t="shared" si="132"/>
        <v>1.6258412592468956</v>
      </c>
      <c r="S584" s="251">
        <f t="shared" si="133"/>
        <v>-0.18829325031644462</v>
      </c>
      <c r="T584" s="252">
        <f>C584*'1. Share_Price_Analysis'!$E$11+T583*(1-'1. Share_Price_Analysis'!$E$11)</f>
        <v>254.13336194023961</v>
      </c>
      <c r="U584" s="253">
        <f t="shared" si="134"/>
        <v>247.04895420643874</v>
      </c>
    </row>
    <row r="585" spans="2:21" x14ac:dyDescent="0.2">
      <c r="B585" s="245">
        <v>45749</v>
      </c>
      <c r="C585" s="246">
        <v>240.1</v>
      </c>
      <c r="D585" s="246">
        <v>564.52</v>
      </c>
      <c r="E585" s="246">
        <v>43.505000000000003</v>
      </c>
      <c r="F585" s="248">
        <f t="shared" si="125"/>
        <v>1.1927340160998057E-2</v>
      </c>
      <c r="G585" s="248">
        <f t="shared" si="126"/>
        <v>6.328324152806708E-3</v>
      </c>
      <c r="H585" s="248">
        <f t="shared" si="127"/>
        <v>8.2271147161065983E-3</v>
      </c>
      <c r="I585" s="249">
        <f t="shared" si="128"/>
        <v>0.33544691028421814</v>
      </c>
      <c r="J585" s="249">
        <f t="shared" si="129"/>
        <v>0.39570301876529346</v>
      </c>
      <c r="K585" s="249">
        <f t="shared" si="130"/>
        <v>4.5416316232127274E-2</v>
      </c>
      <c r="L585" s="250">
        <f t="shared" si="120"/>
        <v>133.54469102842205</v>
      </c>
      <c r="M585" s="250">
        <f t="shared" si="121"/>
        <v>139.57030187652975</v>
      </c>
      <c r="N585" s="250">
        <f t="shared" si="122"/>
        <v>104.54163162321279</v>
      </c>
      <c r="O585" s="248">
        <f t="shared" si="123"/>
        <v>-4.3172585908985761E-2</v>
      </c>
      <c r="P585" s="247">
        <f t="shared" si="124"/>
        <v>0.27743071305545963</v>
      </c>
      <c r="Q585" s="251">
        <f t="shared" si="131"/>
        <v>1.3354469102842181</v>
      </c>
      <c r="R585" s="251">
        <f t="shared" si="132"/>
        <v>1.6258412592468956</v>
      </c>
      <c r="S585" s="251">
        <f t="shared" si="133"/>
        <v>-0.17861174780199063</v>
      </c>
      <c r="T585" s="252">
        <f>C585*'1. Share_Price_Analysis'!$E$11+T584*(1-'1. Share_Price_Analysis'!$E$11)</f>
        <v>253.99372649804818</v>
      </c>
      <c r="U585" s="253">
        <f t="shared" si="134"/>
        <v>246.77644619834311</v>
      </c>
    </row>
    <row r="586" spans="2:21" x14ac:dyDescent="0.2">
      <c r="B586" s="245">
        <v>45750</v>
      </c>
      <c r="C586" s="246">
        <v>237.18</v>
      </c>
      <c r="D586" s="246">
        <v>536.70000000000005</v>
      </c>
      <c r="E586" s="246">
        <v>41.54</v>
      </c>
      <c r="F586" s="248">
        <f t="shared" si="125"/>
        <v>-1.216159933361094E-2</v>
      </c>
      <c r="G586" s="248">
        <f t="shared" si="126"/>
        <v>-4.9280804931623234E-2</v>
      </c>
      <c r="H586" s="248">
        <f t="shared" si="127"/>
        <v>-4.5167222158372655E-2</v>
      </c>
      <c r="I586" s="249">
        <f t="shared" si="128"/>
        <v>0.31920574003003277</v>
      </c>
      <c r="J586" s="249">
        <f t="shared" si="129"/>
        <v>0.32692165055504341</v>
      </c>
      <c r="K586" s="249">
        <f t="shared" si="130"/>
        <v>-1.8022347711167397E-3</v>
      </c>
      <c r="L586" s="250">
        <f t="shared" si="120"/>
        <v>131.92057400300351</v>
      </c>
      <c r="M586" s="250">
        <f t="shared" si="121"/>
        <v>132.69216505550474</v>
      </c>
      <c r="N586" s="250">
        <f t="shared" si="122"/>
        <v>99.819776522888375</v>
      </c>
      <c r="O586" s="248">
        <f t="shared" si="123"/>
        <v>-5.8148953419994154E-3</v>
      </c>
      <c r="P586" s="247">
        <f t="shared" si="124"/>
        <v>0.32158755106764181</v>
      </c>
      <c r="Q586" s="251">
        <f t="shared" si="131"/>
        <v>1.3192057400300328</v>
      </c>
      <c r="R586" s="251">
        <f t="shared" si="132"/>
        <v>1.6258412592468956</v>
      </c>
      <c r="S586" s="251">
        <f t="shared" si="133"/>
        <v>-0.18860114262255789</v>
      </c>
      <c r="T586" s="252">
        <f>C586*'1. Share_Price_Analysis'!$E$11+T585*(1-'1. Share_Price_Analysis'!$E$11)</f>
        <v>253.8264257368736</v>
      </c>
      <c r="U586" s="253">
        <f t="shared" si="134"/>
        <v>246.4001149748787</v>
      </c>
    </row>
    <row r="587" spans="2:21" x14ac:dyDescent="0.2">
      <c r="B587" s="245">
        <v>45751</v>
      </c>
      <c r="C587" s="246">
        <v>230.74</v>
      </c>
      <c r="D587" s="246">
        <v>505.28</v>
      </c>
      <c r="E587" s="246">
        <v>38.94</v>
      </c>
      <c r="F587" s="248">
        <f t="shared" si="125"/>
        <v>-2.7152373724597334E-2</v>
      </c>
      <c r="G587" s="248">
        <f t="shared" si="126"/>
        <v>-5.8542947643003718E-2</v>
      </c>
      <c r="H587" s="248">
        <f t="shared" si="127"/>
        <v>-6.2590274434280224E-2</v>
      </c>
      <c r="I587" s="249">
        <f t="shared" si="128"/>
        <v>0.28338617275710343</v>
      </c>
      <c r="J587" s="249">
        <f t="shared" si="129"/>
        <v>0.24923974584023134</v>
      </c>
      <c r="K587" s="249">
        <f t="shared" si="130"/>
        <v>-6.4279706836477768E-2</v>
      </c>
      <c r="L587" s="250">
        <f t="shared" si="120"/>
        <v>128.33861727571056</v>
      </c>
      <c r="M587" s="250">
        <f t="shared" si="121"/>
        <v>124.92397458402351</v>
      </c>
      <c r="N587" s="250">
        <f t="shared" si="122"/>
        <v>93.572029316352271</v>
      </c>
      <c r="O587" s="248">
        <f t="shared" si="123"/>
        <v>2.7333766020953387E-2</v>
      </c>
      <c r="P587" s="247">
        <f t="shared" si="124"/>
        <v>0.37154893629396235</v>
      </c>
      <c r="Q587" s="251">
        <f t="shared" si="131"/>
        <v>1.2833861727571034</v>
      </c>
      <c r="R587" s="251">
        <f t="shared" si="132"/>
        <v>1.6258412592468956</v>
      </c>
      <c r="S587" s="251">
        <f t="shared" si="133"/>
        <v>-0.21063254763778139</v>
      </c>
      <c r="T587" s="252">
        <f>C587*'1. Share_Price_Analysis'!$E$11+T586*(1-'1. Share_Price_Analysis'!$E$11)</f>
        <v>253.59671005789974</v>
      </c>
      <c r="U587" s="253">
        <f t="shared" si="134"/>
        <v>245.78599281900114</v>
      </c>
    </row>
    <row r="588" spans="2:21" x14ac:dyDescent="0.2">
      <c r="B588" s="245">
        <v>45754</v>
      </c>
      <c r="C588" s="246">
        <v>228.53</v>
      </c>
      <c r="D588" s="246">
        <v>504.38</v>
      </c>
      <c r="E588" s="246">
        <v>38.314999999999998</v>
      </c>
      <c r="F588" s="248">
        <f t="shared" si="125"/>
        <v>-9.5778798647828678E-3</v>
      </c>
      <c r="G588" s="248">
        <f t="shared" si="126"/>
        <v>-1.7811906269790123E-3</v>
      </c>
      <c r="H588" s="248">
        <f t="shared" si="127"/>
        <v>-1.6050333846943987E-2</v>
      </c>
      <c r="I588" s="249">
        <f t="shared" si="128"/>
        <v>0.27109405417431232</v>
      </c>
      <c r="J588" s="249">
        <f t="shared" si="129"/>
        <v>0.247014611714091</v>
      </c>
      <c r="K588" s="249">
        <f t="shared" si="130"/>
        <v>-7.9298329929112565E-2</v>
      </c>
      <c r="L588" s="250">
        <f t="shared" si="120"/>
        <v>127.10940541743145</v>
      </c>
      <c r="M588" s="250">
        <f t="shared" si="121"/>
        <v>124.70146117140951</v>
      </c>
      <c r="N588" s="250">
        <f t="shared" si="122"/>
        <v>92.07016700708877</v>
      </c>
      <c r="O588" s="248">
        <f t="shared" si="123"/>
        <v>1.9309671461766431E-2</v>
      </c>
      <c r="P588" s="247">
        <f t="shared" si="124"/>
        <v>0.38057103130533831</v>
      </c>
      <c r="Q588" s="251">
        <f t="shared" si="131"/>
        <v>1.2710940541743123</v>
      </c>
      <c r="R588" s="251">
        <f t="shared" si="132"/>
        <v>1.6258412592468956</v>
      </c>
      <c r="S588" s="251">
        <f t="shared" si="133"/>
        <v>-0.2181930142656765</v>
      </c>
      <c r="T588" s="252">
        <f>C588*'1. Share_Price_Analysis'!$E$11+T587*(1-'1. Share_Price_Analysis'!$E$11)</f>
        <v>253.34729005732365</v>
      </c>
      <c r="U588" s="253">
        <f t="shared" si="134"/>
        <v>245.10928721825601</v>
      </c>
    </row>
    <row r="589" spans="2:21" x14ac:dyDescent="0.2">
      <c r="B589" s="245">
        <v>45755</v>
      </c>
      <c r="C589" s="246">
        <v>226.49</v>
      </c>
      <c r="D589" s="246">
        <v>496.48</v>
      </c>
      <c r="E589" s="246">
        <v>37.134999999999998</v>
      </c>
      <c r="F589" s="248">
        <f t="shared" si="125"/>
        <v>-8.9266179495033349E-3</v>
      </c>
      <c r="G589" s="248">
        <f t="shared" si="126"/>
        <v>-1.5662793925215079E-2</v>
      </c>
      <c r="H589" s="248">
        <f t="shared" si="127"/>
        <v>-3.079733785723604E-2</v>
      </c>
      <c r="I589" s="249">
        <f t="shared" si="128"/>
        <v>0.259747483174813</v>
      </c>
      <c r="J589" s="249">
        <f t="shared" si="129"/>
        <v>0.22748287882908103</v>
      </c>
      <c r="K589" s="249">
        <f t="shared" si="130"/>
        <v>-0.1076534903280072</v>
      </c>
      <c r="L589" s="250">
        <f t="shared" si="120"/>
        <v>125.97474831748153</v>
      </c>
      <c r="M589" s="250">
        <f t="shared" si="121"/>
        <v>122.7482878829085</v>
      </c>
      <c r="N589" s="250">
        <f t="shared" si="122"/>
        <v>89.234650967199315</v>
      </c>
      <c r="O589" s="248">
        <f t="shared" si="123"/>
        <v>2.6285176683286782E-2</v>
      </c>
      <c r="P589" s="247">
        <f t="shared" si="124"/>
        <v>0.41172455937309471</v>
      </c>
      <c r="Q589" s="251">
        <f t="shared" si="131"/>
        <v>1.259747483174813</v>
      </c>
      <c r="R589" s="251">
        <f t="shared" si="132"/>
        <v>1.6258412592468956</v>
      </c>
      <c r="S589" s="251">
        <f t="shared" si="133"/>
        <v>-0.22517190653757957</v>
      </c>
      <c r="T589" s="252">
        <f>C589*'1. Share_Price_Analysis'!$E$11+T588*(1-'1. Share_Price_Analysis'!$E$11)</f>
        <v>253.08005334033538</v>
      </c>
      <c r="U589" s="253">
        <f t="shared" si="134"/>
        <v>244.3791190920499</v>
      </c>
    </row>
    <row r="590" spans="2:21" x14ac:dyDescent="0.2">
      <c r="B590" s="245">
        <v>45756</v>
      </c>
      <c r="C590" s="246">
        <v>239.53</v>
      </c>
      <c r="D590" s="246">
        <v>548.62</v>
      </c>
      <c r="E590" s="246">
        <v>40.380000000000003</v>
      </c>
      <c r="F590" s="248">
        <f t="shared" si="125"/>
        <v>5.7574285840434447E-2</v>
      </c>
      <c r="G590" s="248">
        <f t="shared" si="126"/>
        <v>0.10501933612632941</v>
      </c>
      <c r="H590" s="248">
        <f t="shared" si="127"/>
        <v>8.738386966473688E-2</v>
      </c>
      <c r="I590" s="249">
        <f t="shared" si="128"/>
        <v>0.33227654485788749</v>
      </c>
      <c r="J590" s="249">
        <f t="shared" si="129"/>
        <v>0.35639231587014675</v>
      </c>
      <c r="K590" s="249">
        <f t="shared" si="130"/>
        <v>-2.9676799231046935E-2</v>
      </c>
      <c r="L590" s="250">
        <f t="shared" si="120"/>
        <v>133.227654485789</v>
      </c>
      <c r="M590" s="250">
        <f t="shared" si="121"/>
        <v>135.6392315870151</v>
      </c>
      <c r="N590" s="250">
        <f t="shared" si="122"/>
        <v>97.032320076895346</v>
      </c>
      <c r="O590" s="248">
        <f t="shared" si="123"/>
        <v>-1.7779348002859074E-2</v>
      </c>
      <c r="P590" s="247">
        <f t="shared" si="124"/>
        <v>0.37302348722786061</v>
      </c>
      <c r="Q590" s="251">
        <f t="shared" si="131"/>
        <v>1.3322765448578875</v>
      </c>
      <c r="R590" s="251">
        <f t="shared" si="132"/>
        <v>1.6258412592468956</v>
      </c>
      <c r="S590" s="251">
        <f t="shared" si="133"/>
        <v>-0.18056173240737539</v>
      </c>
      <c r="T590" s="252">
        <f>C590*'1. Share_Price_Analysis'!$E$11+T589*(1-'1. Share_Price_Analysis'!$E$11)</f>
        <v>252.94522693893902</v>
      </c>
      <c r="U590" s="253">
        <f t="shared" si="134"/>
        <v>244.18895755902835</v>
      </c>
    </row>
    <row r="591" spans="2:21" x14ac:dyDescent="0.2">
      <c r="B591" s="245">
        <v>45757</v>
      </c>
      <c r="C591" s="246">
        <v>235.58</v>
      </c>
      <c r="D591" s="246">
        <v>524.58000000000004</v>
      </c>
      <c r="E591" s="246">
        <v>39.090000000000003</v>
      </c>
      <c r="F591" s="248">
        <f t="shared" si="125"/>
        <v>-1.6490627478812581E-2</v>
      </c>
      <c r="G591" s="248">
        <f t="shared" si="126"/>
        <v>-4.3819036856111659E-2</v>
      </c>
      <c r="H591" s="248">
        <f t="shared" si="127"/>
        <v>-3.1946508172362553E-2</v>
      </c>
      <c r="I591" s="249">
        <f t="shared" si="128"/>
        <v>0.31030646865787648</v>
      </c>
      <c r="J591" s="249">
        <f t="shared" si="129"/>
        <v>0.29695651098968612</v>
      </c>
      <c r="K591" s="249">
        <f t="shared" si="130"/>
        <v>-6.0675237294245288E-2</v>
      </c>
      <c r="L591" s="250">
        <f t="shared" si="120"/>
        <v>131.03064686578787</v>
      </c>
      <c r="M591" s="250">
        <f t="shared" si="121"/>
        <v>129.69565109896902</v>
      </c>
      <c r="N591" s="250">
        <f t="shared" si="122"/>
        <v>93.932476270575521</v>
      </c>
      <c r="O591" s="248">
        <f t="shared" si="123"/>
        <v>1.0293296309529465E-2</v>
      </c>
      <c r="P591" s="247">
        <f t="shared" si="124"/>
        <v>0.39494509320024451</v>
      </c>
      <c r="Q591" s="251">
        <f t="shared" si="131"/>
        <v>1.3103064686578765</v>
      </c>
      <c r="R591" s="251">
        <f t="shared" si="132"/>
        <v>1.6258412592468956</v>
      </c>
      <c r="S591" s="251">
        <f t="shared" si="133"/>
        <v>-0.19407478362012887</v>
      </c>
      <c r="T591" s="252">
        <f>C591*'1. Share_Price_Analysis'!$E$11+T590*(1-'1. Share_Price_Analysis'!$E$11)</f>
        <v>252.77243861118839</v>
      </c>
      <c r="U591" s="253">
        <f t="shared" si="134"/>
        <v>243.85135138024293</v>
      </c>
    </row>
    <row r="592" spans="2:21" x14ac:dyDescent="0.2">
      <c r="B592" s="245">
        <v>45758</v>
      </c>
      <c r="C592" s="246">
        <v>242.3</v>
      </c>
      <c r="D592" s="246">
        <v>533.94000000000005</v>
      </c>
      <c r="E592" s="246">
        <v>40.25</v>
      </c>
      <c r="F592" s="248">
        <f t="shared" si="125"/>
        <v>2.8525341709822571E-2</v>
      </c>
      <c r="G592" s="248">
        <f t="shared" si="126"/>
        <v>1.7842845705135613E-2</v>
      </c>
      <c r="H592" s="248">
        <f t="shared" si="127"/>
        <v>2.9675108723458576E-2</v>
      </c>
      <c r="I592" s="249">
        <f t="shared" si="128"/>
        <v>0.34768340842093326</v>
      </c>
      <c r="J592" s="249">
        <f t="shared" si="129"/>
        <v>0.32009790590154608</v>
      </c>
      <c r="K592" s="249">
        <f t="shared" si="130"/>
        <v>-3.2800672834315092E-2</v>
      </c>
      <c r="L592" s="250">
        <f t="shared" si="120"/>
        <v>134.76834084209358</v>
      </c>
      <c r="M592" s="250">
        <f t="shared" si="121"/>
        <v>132.00979059015503</v>
      </c>
      <c r="N592" s="250">
        <f t="shared" si="122"/>
        <v>96.719932716568536</v>
      </c>
      <c r="O592" s="248">
        <f t="shared" si="123"/>
        <v>2.0896558047751812E-2</v>
      </c>
      <c r="P592" s="247">
        <f t="shared" si="124"/>
        <v>0.39338745444564394</v>
      </c>
      <c r="Q592" s="251">
        <f t="shared" si="131"/>
        <v>1.3476834084209333</v>
      </c>
      <c r="R592" s="251">
        <f t="shared" si="132"/>
        <v>1.6258412592468956</v>
      </c>
      <c r="S592" s="251">
        <f t="shared" si="133"/>
        <v>-0.17108549143033036</v>
      </c>
      <c r="T592" s="252">
        <f>C592*'1. Share_Price_Analysis'!$E$11+T591*(1-'1. Share_Price_Analysis'!$E$11)</f>
        <v>252.66823524192287</v>
      </c>
      <c r="U592" s="253">
        <f t="shared" si="134"/>
        <v>243.79051407121381</v>
      </c>
    </row>
    <row r="593" spans="2:21" x14ac:dyDescent="0.2">
      <c r="B593" s="245">
        <v>45761</v>
      </c>
      <c r="C593" s="246">
        <v>243.48</v>
      </c>
      <c r="D593" s="246">
        <v>539.12</v>
      </c>
      <c r="E593" s="246">
        <v>40.734999999999999</v>
      </c>
      <c r="F593" s="248">
        <f t="shared" si="125"/>
        <v>4.8699958728848358E-3</v>
      </c>
      <c r="G593" s="248">
        <f t="shared" si="126"/>
        <v>9.7014645840356462E-3</v>
      </c>
      <c r="H593" s="248">
        <f t="shared" si="127"/>
        <v>1.2049689440993827E-2</v>
      </c>
      <c r="I593" s="249">
        <f t="shared" si="128"/>
        <v>0.3542466210578985</v>
      </c>
      <c r="J593" s="249">
        <f t="shared" si="129"/>
        <v>0.3329047889831096</v>
      </c>
      <c r="K593" s="249">
        <f t="shared" si="130"/>
        <v>-2.1146221314430447E-2</v>
      </c>
      <c r="L593" s="250">
        <f t="shared" si="120"/>
        <v>135.42466210579011</v>
      </c>
      <c r="M593" s="250">
        <f t="shared" si="121"/>
        <v>133.29047889831136</v>
      </c>
      <c r="N593" s="250">
        <f t="shared" si="122"/>
        <v>97.885377868557001</v>
      </c>
      <c r="O593" s="248">
        <f t="shared" si="123"/>
        <v>1.6011520291011161E-2</v>
      </c>
      <c r="P593" s="247">
        <f t="shared" si="124"/>
        <v>0.38350247048789687</v>
      </c>
      <c r="Q593" s="251">
        <f t="shared" si="131"/>
        <v>1.3542466210578985</v>
      </c>
      <c r="R593" s="251">
        <f t="shared" si="132"/>
        <v>1.6258412592468956</v>
      </c>
      <c r="S593" s="251">
        <f t="shared" si="133"/>
        <v>-0.1670486811946218</v>
      </c>
      <c r="T593" s="252">
        <f>C593*'1. Share_Price_Analysis'!$E$11+T592*(1-'1. Share_Price_Analysis'!$E$11)</f>
        <v>252.57681001563512</v>
      </c>
      <c r="U593" s="253">
        <f t="shared" si="134"/>
        <v>243.77833704881328</v>
      </c>
    </row>
    <row r="594" spans="2:21" x14ac:dyDescent="0.2">
      <c r="B594" s="245">
        <v>45762</v>
      </c>
      <c r="C594" s="246">
        <v>244.53</v>
      </c>
      <c r="D594" s="246">
        <v>537.61</v>
      </c>
      <c r="E594" s="246">
        <v>40.414999999999999</v>
      </c>
      <c r="F594" s="248">
        <f t="shared" si="125"/>
        <v>4.3124691966487383E-3</v>
      </c>
      <c r="G594" s="248">
        <f t="shared" si="126"/>
        <v>-2.8008606618192822E-3</v>
      </c>
      <c r="H594" s="248">
        <f t="shared" si="127"/>
        <v>-7.8556523873818396E-3</v>
      </c>
      <c r="I594" s="249">
        <f t="shared" si="128"/>
        <v>0.36008676789587635</v>
      </c>
      <c r="J594" s="249">
        <f t="shared" si="129"/>
        <v>0.32917150839369635</v>
      </c>
      <c r="K594" s="249">
        <f t="shared" si="130"/>
        <v>-2.8835756337859508E-2</v>
      </c>
      <c r="L594" s="250">
        <f t="shared" si="120"/>
        <v>136.00867678958787</v>
      </c>
      <c r="M594" s="250">
        <f t="shared" si="121"/>
        <v>132.91715083937004</v>
      </c>
      <c r="N594" s="250">
        <f t="shared" si="122"/>
        <v>97.11642436621409</v>
      </c>
      <c r="O594" s="248">
        <f t="shared" si="123"/>
        <v>2.325904468080342E-2</v>
      </c>
      <c r="P594" s="247">
        <f t="shared" si="124"/>
        <v>0.40047039084465985</v>
      </c>
      <c r="Q594" s="251">
        <f t="shared" si="131"/>
        <v>1.3600867678958763</v>
      </c>
      <c r="R594" s="251">
        <f t="shared" si="132"/>
        <v>1.6258412592468956</v>
      </c>
      <c r="S594" s="251">
        <f t="shared" si="133"/>
        <v>-0.16345660428996567</v>
      </c>
      <c r="T594" s="252">
        <f>C594*'1. Share_Price_Analysis'!$E$11+T593*(1-'1. Share_Price_Analysis'!$E$11)</f>
        <v>252.49674225428555</v>
      </c>
      <c r="U594" s="253">
        <f t="shared" si="134"/>
        <v>243.80781402729122</v>
      </c>
    </row>
    <row r="595" spans="2:21" x14ac:dyDescent="0.2">
      <c r="B595" s="245">
        <v>45763</v>
      </c>
      <c r="C595" s="246">
        <v>240.55</v>
      </c>
      <c r="D595" s="246">
        <v>525.66</v>
      </c>
      <c r="E595" s="246">
        <v>40.1</v>
      </c>
      <c r="F595" s="248">
        <f t="shared" si="125"/>
        <v>-1.6276121539279376E-2</v>
      </c>
      <c r="G595" s="248">
        <f t="shared" si="126"/>
        <v>-2.2228009151615602E-2</v>
      </c>
      <c r="H595" s="248">
        <f t="shared" si="127"/>
        <v>-7.794135840653138E-3</v>
      </c>
      <c r="I595" s="249">
        <f t="shared" si="128"/>
        <v>0.33794983035763737</v>
      </c>
      <c r="J595" s="249">
        <f t="shared" si="129"/>
        <v>0.29962667194105452</v>
      </c>
      <c r="K595" s="249">
        <f t="shared" si="130"/>
        <v>-3.640514237654735E-2</v>
      </c>
      <c r="L595" s="250">
        <f t="shared" si="120"/>
        <v>133.79498303576395</v>
      </c>
      <c r="M595" s="250">
        <f t="shared" si="121"/>
        <v>129.96266719410585</v>
      </c>
      <c r="N595" s="250">
        <f t="shared" si="122"/>
        <v>96.359485762345315</v>
      </c>
      <c r="O595" s="248">
        <f t="shared" si="123"/>
        <v>2.948782080575918E-2</v>
      </c>
      <c r="P595" s="247">
        <f t="shared" si="124"/>
        <v>0.38849830898586291</v>
      </c>
      <c r="Q595" s="251">
        <f t="shared" si="131"/>
        <v>1.3379498303576374</v>
      </c>
      <c r="R595" s="251">
        <f t="shared" si="132"/>
        <v>1.6258412592468956</v>
      </c>
      <c r="S595" s="251">
        <f t="shared" si="133"/>
        <v>-0.17707228627142368</v>
      </c>
      <c r="T595" s="252">
        <f>C595*'1. Share_Price_Analysis'!$E$11+T594*(1-'1. Share_Price_Analysis'!$E$11)</f>
        <v>252.37786919702899</v>
      </c>
      <c r="U595" s="253">
        <f t="shared" si="134"/>
        <v>243.68005661445628</v>
      </c>
    </row>
    <row r="596" spans="2:21" x14ac:dyDescent="0.2">
      <c r="B596" s="245">
        <v>45764</v>
      </c>
      <c r="C596" s="246">
        <v>241.93</v>
      </c>
      <c r="D596" s="246">
        <v>526.41</v>
      </c>
      <c r="E596" s="246">
        <v>40.375</v>
      </c>
      <c r="F596" s="248">
        <f t="shared" si="125"/>
        <v>5.7368530451049615E-3</v>
      </c>
      <c r="G596" s="248">
        <f t="shared" si="126"/>
        <v>1.4267777650953661E-3</v>
      </c>
      <c r="H596" s="248">
        <f t="shared" si="127"/>
        <v>6.8578553615958882E-3</v>
      </c>
      <c r="I596" s="249">
        <f t="shared" si="128"/>
        <v>0.34562545191612215</v>
      </c>
      <c r="J596" s="249">
        <f t="shared" si="129"/>
        <v>0.30148095037950484</v>
      </c>
      <c r="K596" s="249">
        <f t="shared" si="130"/>
        <v>-2.9796948215788155E-2</v>
      </c>
      <c r="L596" s="250">
        <f t="shared" si="120"/>
        <v>134.56254519161243</v>
      </c>
      <c r="M596" s="250">
        <f t="shared" si="121"/>
        <v>130.1480950379509</v>
      </c>
      <c r="N596" s="250">
        <f t="shared" si="122"/>
        <v>97.020305178421239</v>
      </c>
      <c r="O596" s="248">
        <f t="shared" si="123"/>
        <v>3.3918668977632738E-2</v>
      </c>
      <c r="P596" s="247">
        <f t="shared" si="124"/>
        <v>0.38695240077992454</v>
      </c>
      <c r="Q596" s="251">
        <f t="shared" si="131"/>
        <v>1.3456254519161222</v>
      </c>
      <c r="R596" s="251">
        <f t="shared" si="132"/>
        <v>1.6258412592468956</v>
      </c>
      <c r="S596" s="251">
        <f t="shared" si="133"/>
        <v>-0.17235127091101865</v>
      </c>
      <c r="T596" s="252">
        <f>C596*'1. Share_Price_Analysis'!$E$11+T595*(1-'1. Share_Price_Analysis'!$E$11)</f>
        <v>252.27391029954612</v>
      </c>
      <c r="U596" s="253">
        <f t="shared" si="134"/>
        <v>243.61142694330115</v>
      </c>
    </row>
    <row r="597" spans="2:21" x14ac:dyDescent="0.2">
      <c r="B597" s="245">
        <v>45768</v>
      </c>
      <c r="C597" s="246">
        <v>234.17</v>
      </c>
      <c r="D597" s="246">
        <v>513.88</v>
      </c>
      <c r="E597" s="246">
        <v>39.76</v>
      </c>
      <c r="F597" s="248">
        <f t="shared" si="125"/>
        <v>-3.2075393708924094E-2</v>
      </c>
      <c r="G597" s="248">
        <f t="shared" si="126"/>
        <v>-2.3802739309663479E-2</v>
      </c>
      <c r="H597" s="248">
        <f t="shared" si="127"/>
        <v>-1.5232198142414943E-2</v>
      </c>
      <c r="I597" s="249">
        <f t="shared" si="128"/>
        <v>0.30246398576116373</v>
      </c>
      <c r="J597" s="249">
        <f t="shared" si="129"/>
        <v>0.27050213860112837</v>
      </c>
      <c r="K597" s="249">
        <f t="shared" si="130"/>
        <v>-4.4575273338940957E-2</v>
      </c>
      <c r="L597" s="250">
        <f t="shared" si="120"/>
        <v>130.24639857611658</v>
      </c>
      <c r="M597" s="250">
        <f t="shared" si="121"/>
        <v>127.05021386011322</v>
      </c>
      <c r="N597" s="250">
        <f t="shared" si="122"/>
        <v>95.542472666105965</v>
      </c>
      <c r="O597" s="248">
        <f t="shared" si="123"/>
        <v>2.5156862148399517E-2</v>
      </c>
      <c r="P597" s="247">
        <f t="shared" si="124"/>
        <v>0.3632303512940358</v>
      </c>
      <c r="Q597" s="251">
        <f t="shared" si="131"/>
        <v>1.3024639857611637</v>
      </c>
      <c r="R597" s="251">
        <f t="shared" si="132"/>
        <v>1.6258412592468956</v>
      </c>
      <c r="S597" s="251">
        <f t="shared" si="133"/>
        <v>-0.19889842974923833</v>
      </c>
      <c r="T597" s="252">
        <f>C597*'1. Share_Price_Analysis'!$E$11+T596*(1-'1. Share_Price_Analysis'!$E$11)</f>
        <v>252.09377188860537</v>
      </c>
      <c r="U597" s="253">
        <f t="shared" si="134"/>
        <v>243.24117490630897</v>
      </c>
    </row>
    <row r="598" spans="2:21" x14ac:dyDescent="0.2">
      <c r="B598" s="245">
        <v>45769</v>
      </c>
      <c r="C598" s="246">
        <v>240.57</v>
      </c>
      <c r="D598" s="246">
        <v>527.25</v>
      </c>
      <c r="E598" s="246">
        <v>40.69</v>
      </c>
      <c r="F598" s="248">
        <f t="shared" si="125"/>
        <v>2.7330571806807091E-2</v>
      </c>
      <c r="G598" s="248">
        <f t="shared" si="126"/>
        <v>2.6017747334007968E-2</v>
      </c>
      <c r="H598" s="248">
        <f t="shared" si="127"/>
        <v>2.3390342052313828E-2</v>
      </c>
      <c r="I598" s="249">
        <f t="shared" si="128"/>
        <v>0.33806107124978935</v>
      </c>
      <c r="J598" s="249">
        <f t="shared" si="129"/>
        <v>0.30355774223056931</v>
      </c>
      <c r="K598" s="249">
        <f t="shared" si="130"/>
        <v>-2.2227562177100313E-2</v>
      </c>
      <c r="L598" s="250">
        <f t="shared" si="120"/>
        <v>133.80610712497912</v>
      </c>
      <c r="M598" s="250">
        <f t="shared" si="121"/>
        <v>130.35577422305732</v>
      </c>
      <c r="N598" s="250">
        <f t="shared" si="122"/>
        <v>97.777243782290029</v>
      </c>
      <c r="O598" s="248">
        <f t="shared" si="123"/>
        <v>2.6468585089433727E-2</v>
      </c>
      <c r="P598" s="247">
        <f t="shared" si="124"/>
        <v>0.36847902384025621</v>
      </c>
      <c r="Q598" s="251">
        <f t="shared" si="131"/>
        <v>1.3380610712497893</v>
      </c>
      <c r="R598" s="251">
        <f t="shared" si="132"/>
        <v>1.6258412592468956</v>
      </c>
      <c r="S598" s="251">
        <f t="shared" si="133"/>
        <v>-0.17700386575895399</v>
      </c>
      <c r="T598" s="252">
        <f>C598*'1. Share_Price_Analysis'!$E$11+T597*(1-'1. Share_Price_Analysis'!$E$11)</f>
        <v>251.97910749170384</v>
      </c>
      <c r="U598" s="253">
        <f t="shared" si="134"/>
        <v>243.13642294919882</v>
      </c>
    </row>
    <row r="599" spans="2:21" x14ac:dyDescent="0.2">
      <c r="B599" s="245">
        <v>45770</v>
      </c>
      <c r="C599" s="246">
        <v>244.54</v>
      </c>
      <c r="D599" s="246">
        <v>535.41999999999996</v>
      </c>
      <c r="E599" s="246">
        <v>40.74</v>
      </c>
      <c r="F599" s="248">
        <f t="shared" si="125"/>
        <v>1.6502473292596687E-2</v>
      </c>
      <c r="G599" s="248">
        <f t="shared" si="126"/>
        <v>1.5495495495495337E-2</v>
      </c>
      <c r="H599" s="248">
        <f t="shared" si="127"/>
        <v>1.2288031457361459E-3</v>
      </c>
      <c r="I599" s="249">
        <f t="shared" si="128"/>
        <v>0.36014238834195234</v>
      </c>
      <c r="J599" s="249">
        <f t="shared" si="129"/>
        <v>0.32375701535342127</v>
      </c>
      <c r="K599" s="249">
        <f t="shared" si="130"/>
        <v>-2.1026072329689449E-2</v>
      </c>
      <c r="L599" s="250">
        <f t="shared" si="120"/>
        <v>136.01423883419545</v>
      </c>
      <c r="M599" s="250">
        <f t="shared" si="121"/>
        <v>132.37570153534253</v>
      </c>
      <c r="N599" s="250">
        <f t="shared" si="122"/>
        <v>97.897392767031121</v>
      </c>
      <c r="O599" s="248">
        <f t="shared" si="123"/>
        <v>2.748644393685562E-2</v>
      </c>
      <c r="P599" s="247">
        <f t="shared" si="124"/>
        <v>0.38935506850393664</v>
      </c>
      <c r="Q599" s="251">
        <f t="shared" si="131"/>
        <v>1.3601423883419523</v>
      </c>
      <c r="R599" s="251">
        <f t="shared" si="132"/>
        <v>1.6258412592468956</v>
      </c>
      <c r="S599" s="251">
        <f t="shared" si="133"/>
        <v>-0.16342239403373082</v>
      </c>
      <c r="T599" s="252">
        <f>C599*'1. Share_Price_Analysis'!$E$11+T598*(1-'1. Share_Price_Analysis'!$E$11)</f>
        <v>251.90508652163714</v>
      </c>
      <c r="U599" s="253">
        <f t="shared" si="134"/>
        <v>243.19146518648515</v>
      </c>
    </row>
    <row r="600" spans="2:21" x14ac:dyDescent="0.2">
      <c r="B600" s="245">
        <v>45771</v>
      </c>
      <c r="C600" s="246">
        <v>249.51</v>
      </c>
      <c r="D600" s="246">
        <v>546.69000000000005</v>
      </c>
      <c r="E600" s="246">
        <v>41.62</v>
      </c>
      <c r="F600" s="248">
        <f t="shared" si="125"/>
        <v>2.0323873394945569E-2</v>
      </c>
      <c r="G600" s="248">
        <f t="shared" si="126"/>
        <v>2.1048896193642586E-2</v>
      </c>
      <c r="H600" s="248">
        <f t="shared" si="127"/>
        <v>2.1600392734413276E-2</v>
      </c>
      <c r="I600" s="249">
        <f t="shared" si="128"/>
        <v>0.38778575004171301</v>
      </c>
      <c r="J600" s="249">
        <f t="shared" si="129"/>
        <v>0.35162063935520149</v>
      </c>
      <c r="K600" s="249">
        <f t="shared" si="130"/>
        <v>1.2014898474044244E-4</v>
      </c>
      <c r="L600" s="250">
        <f t="shared" si="120"/>
        <v>138.77857500417156</v>
      </c>
      <c r="M600" s="250">
        <f t="shared" si="121"/>
        <v>135.16206393552056</v>
      </c>
      <c r="N600" s="250">
        <f t="shared" si="122"/>
        <v>100.01201489847409</v>
      </c>
      <c r="O600" s="248">
        <f t="shared" si="123"/>
        <v>2.6756849986963926E-2</v>
      </c>
      <c r="P600" s="247">
        <f t="shared" si="124"/>
        <v>0.38761902902416923</v>
      </c>
      <c r="Q600" s="251">
        <f t="shared" si="131"/>
        <v>1.387785750041713</v>
      </c>
      <c r="R600" s="251">
        <f t="shared" si="132"/>
        <v>1.6258412592468956</v>
      </c>
      <c r="S600" s="251">
        <f t="shared" si="133"/>
        <v>-0.14641989668502575</v>
      </c>
      <c r="T600" s="252">
        <f>C600*'1. Share_Price_Analysis'!$E$11+T599*(1-'1. Share_Price_Analysis'!$E$11)</f>
        <v>251.88125481495419</v>
      </c>
      <c r="U600" s="253">
        <f t="shared" si="134"/>
        <v>243.43925086544652</v>
      </c>
    </row>
    <row r="601" spans="2:21" x14ac:dyDescent="0.2">
      <c r="B601" s="245">
        <v>45772</v>
      </c>
      <c r="C601" s="246">
        <v>247.04</v>
      </c>
      <c r="D601" s="246">
        <v>550.64</v>
      </c>
      <c r="E601" s="246">
        <v>41.31</v>
      </c>
      <c r="F601" s="248">
        <f t="shared" si="125"/>
        <v>-9.8994028295459335E-3</v>
      </c>
      <c r="G601" s="248">
        <f t="shared" si="126"/>
        <v>7.2253013590881654E-3</v>
      </c>
      <c r="H601" s="248">
        <f t="shared" si="127"/>
        <v>-7.4483421432002261E-3</v>
      </c>
      <c r="I601" s="249">
        <f t="shared" si="128"/>
        <v>0.37404749986094665</v>
      </c>
      <c r="J601" s="249">
        <f t="shared" si="129"/>
        <v>0.36138650579770615</v>
      </c>
      <c r="K601" s="249">
        <f t="shared" si="130"/>
        <v>-7.329088069206291E-3</v>
      </c>
      <c r="L601" s="250">
        <f t="shared" si="120"/>
        <v>137.40474998609488</v>
      </c>
      <c r="M601" s="250">
        <f t="shared" si="121"/>
        <v>136.13865057977102</v>
      </c>
      <c r="N601" s="250">
        <f t="shared" si="122"/>
        <v>99.267091193079409</v>
      </c>
      <c r="O601" s="248">
        <f t="shared" si="123"/>
        <v>9.3000731308274798E-3</v>
      </c>
      <c r="P601" s="247">
        <f t="shared" si="124"/>
        <v>0.38419236762801545</v>
      </c>
      <c r="Q601" s="251">
        <f t="shared" si="131"/>
        <v>1.3740474998609467</v>
      </c>
      <c r="R601" s="251">
        <f t="shared" si="132"/>
        <v>1.6258412592468956</v>
      </c>
      <c r="S601" s="251">
        <f t="shared" si="133"/>
        <v>-0.15486982997502607</v>
      </c>
      <c r="T601" s="252">
        <f>C601*'1. Share_Price_Analysis'!$E$11+T600*(1-'1. Share_Price_Analysis'!$E$11)</f>
        <v>251.83308312525318</v>
      </c>
      <c r="U601" s="253">
        <f t="shared" si="134"/>
        <v>243.5804567138604</v>
      </c>
    </row>
    <row r="602" spans="2:21" x14ac:dyDescent="0.2">
      <c r="B602" s="245">
        <v>45775</v>
      </c>
      <c r="C602" s="246">
        <v>245.39</v>
      </c>
      <c r="D602" s="246">
        <v>550.85</v>
      </c>
      <c r="E602" s="246">
        <v>41.384999999999998</v>
      </c>
      <c r="F602" s="248">
        <f t="shared" si="125"/>
        <v>-6.679080310880825E-3</v>
      </c>
      <c r="G602" s="248">
        <f t="shared" si="126"/>
        <v>3.813744006975206E-4</v>
      </c>
      <c r="H602" s="248">
        <f t="shared" si="127"/>
        <v>1.8155410312272746E-3</v>
      </c>
      <c r="I602" s="249">
        <f t="shared" si="128"/>
        <v>0.36487012625841042</v>
      </c>
      <c r="J602" s="249">
        <f t="shared" si="129"/>
        <v>0.36190570376047249</v>
      </c>
      <c r="K602" s="249">
        <f t="shared" si="130"/>
        <v>-5.5268532980901064E-3</v>
      </c>
      <c r="L602" s="250">
        <f t="shared" si="120"/>
        <v>136.48701262584126</v>
      </c>
      <c r="M602" s="250">
        <f t="shared" si="121"/>
        <v>136.19057037604767</v>
      </c>
      <c r="N602" s="250">
        <f t="shared" si="122"/>
        <v>99.44731467019102</v>
      </c>
      <c r="O602" s="248">
        <f t="shared" si="123"/>
        <v>2.1766723567957502E-3</v>
      </c>
      <c r="P602" s="247">
        <f t="shared" si="124"/>
        <v>0.37245548638984594</v>
      </c>
      <c r="Q602" s="251">
        <f t="shared" si="131"/>
        <v>1.3648701262584104</v>
      </c>
      <c r="R602" s="251">
        <f t="shared" si="132"/>
        <v>1.6258412592468956</v>
      </c>
      <c r="S602" s="251">
        <f t="shared" si="133"/>
        <v>-0.16051452225377116</v>
      </c>
      <c r="T602" s="252">
        <f>C602*'1. Share_Price_Analysis'!$E$11+T601*(1-'1. Share_Price_Analysis'!$E$11)</f>
        <v>251.76897284539993</v>
      </c>
      <c r="U602" s="253">
        <f t="shared" si="134"/>
        <v>243.6514191956698</v>
      </c>
    </row>
    <row r="603" spans="2:21" x14ac:dyDescent="0.2">
      <c r="B603" s="245">
        <v>45776</v>
      </c>
      <c r="C603" s="246">
        <v>245.35</v>
      </c>
      <c r="D603" s="246">
        <v>554.32000000000005</v>
      </c>
      <c r="E603" s="246">
        <v>41.73</v>
      </c>
      <c r="F603" s="248">
        <f t="shared" si="125"/>
        <v>-1.6300582745831793E-4</v>
      </c>
      <c r="G603" s="248">
        <f t="shared" si="126"/>
        <v>6.2993555414359026E-3</v>
      </c>
      <c r="H603" s="248">
        <f t="shared" si="127"/>
        <v>8.3363537513592156E-3</v>
      </c>
      <c r="I603" s="249">
        <f t="shared" si="128"/>
        <v>0.36464764447410647</v>
      </c>
      <c r="J603" s="249">
        <f t="shared" si="129"/>
        <v>0.37048483200236926</v>
      </c>
      <c r="K603" s="249">
        <f t="shared" si="130"/>
        <v>2.7634266490443871E-3</v>
      </c>
      <c r="L603" s="250">
        <f t="shared" si="120"/>
        <v>136.46476444741086</v>
      </c>
      <c r="M603" s="250">
        <f t="shared" si="121"/>
        <v>137.04848320023734</v>
      </c>
      <c r="N603" s="250">
        <f t="shared" si="122"/>
        <v>100.27634266490446</v>
      </c>
      <c r="O603" s="248">
        <f t="shared" si="123"/>
        <v>-4.2592135220747007E-3</v>
      </c>
      <c r="P603" s="247">
        <f t="shared" si="124"/>
        <v>0.36088693325640953</v>
      </c>
      <c r="Q603" s="251">
        <f t="shared" si="131"/>
        <v>1.3646476444741065</v>
      </c>
      <c r="R603" s="251">
        <f t="shared" si="132"/>
        <v>1.6258412592468956</v>
      </c>
      <c r="S603" s="251">
        <f t="shared" si="133"/>
        <v>-0.16065136327871044</v>
      </c>
      <c r="T603" s="252">
        <f>C603*'1. Share_Price_Analysis'!$E$11+T602*(1-'1. Share_Price_Analysis'!$E$11)</f>
        <v>251.70510246882878</v>
      </c>
      <c r="U603" s="253">
        <f t="shared" si="134"/>
        <v>243.71803020760433</v>
      </c>
    </row>
    <row r="604" spans="2:21" x14ac:dyDescent="0.2">
      <c r="B604" s="245">
        <v>45777</v>
      </c>
      <c r="C604" s="246">
        <v>262.33</v>
      </c>
      <c r="D604" s="246">
        <v>554.54</v>
      </c>
      <c r="E604" s="246">
        <v>41.945</v>
      </c>
      <c r="F604" s="248">
        <f t="shared" si="125"/>
        <v>6.9207254941919594E-2</v>
      </c>
      <c r="G604" s="248">
        <f t="shared" si="126"/>
        <v>3.9688266705129038E-4</v>
      </c>
      <c r="H604" s="248">
        <f t="shared" si="127"/>
        <v>5.1521687035707142E-3</v>
      </c>
      <c r="I604" s="249">
        <f t="shared" si="128"/>
        <v>0.45909116191111599</v>
      </c>
      <c r="J604" s="249">
        <f t="shared" si="129"/>
        <v>0.37102875367764776</v>
      </c>
      <c r="K604" s="249">
        <f t="shared" si="130"/>
        <v>7.9298329929109457E-3</v>
      </c>
      <c r="L604" s="250">
        <f t="shared" si="120"/>
        <v>145.90911619111185</v>
      </c>
      <c r="M604" s="250">
        <f t="shared" si="121"/>
        <v>137.10287536776519</v>
      </c>
      <c r="N604" s="250">
        <f t="shared" si="122"/>
        <v>100.79298329929112</v>
      </c>
      <c r="O604" s="248">
        <f t="shared" si="123"/>
        <v>6.4230898146555804E-2</v>
      </c>
      <c r="P604" s="247">
        <f t="shared" si="124"/>
        <v>0.4476118417673407</v>
      </c>
      <c r="Q604" s="251">
        <f t="shared" si="131"/>
        <v>1.459091161911116</v>
      </c>
      <c r="R604" s="251">
        <f t="shared" si="132"/>
        <v>1.6258412592468956</v>
      </c>
      <c r="S604" s="251">
        <f t="shared" si="133"/>
        <v>-0.10256234819198751</v>
      </c>
      <c r="T604" s="252">
        <f>C604*'1. Share_Price_Analysis'!$E$11+T603*(1-'1. Share_Price_Analysis'!$E$11)</f>
        <v>251.8108228422733</v>
      </c>
      <c r="U604" s="253">
        <f t="shared" si="134"/>
        <v>244.44791137593359</v>
      </c>
    </row>
    <row r="605" spans="2:21" x14ac:dyDescent="0.2">
      <c r="B605" s="245">
        <v>45778</v>
      </c>
      <c r="C605" s="246">
        <v>263.63</v>
      </c>
      <c r="D605" s="246">
        <v>558.47</v>
      </c>
      <c r="E605" s="246">
        <v>41.76</v>
      </c>
      <c r="F605" s="248">
        <f t="shared" si="125"/>
        <v>4.9555902870430657E-3</v>
      </c>
      <c r="G605" s="248">
        <f t="shared" si="126"/>
        <v>7.0869549536554111E-3</v>
      </c>
      <c r="H605" s="248">
        <f t="shared" si="127"/>
        <v>-4.4105376087734127E-3</v>
      </c>
      <c r="I605" s="249">
        <f t="shared" si="128"/>
        <v>0.46632181990099308</v>
      </c>
      <c r="J605" s="249">
        <f t="shared" si="129"/>
        <v>0.38074517269512764</v>
      </c>
      <c r="K605" s="249">
        <f t="shared" si="130"/>
        <v>3.4843205574910385E-3</v>
      </c>
      <c r="L605" s="250">
        <f t="shared" si="120"/>
        <v>146.63218199009958</v>
      </c>
      <c r="M605" s="250">
        <f t="shared" si="121"/>
        <v>138.07451726951319</v>
      </c>
      <c r="N605" s="250">
        <f t="shared" si="122"/>
        <v>100.34843205574913</v>
      </c>
      <c r="O605" s="248">
        <f t="shared" si="123"/>
        <v>6.1978595977145501E-2</v>
      </c>
      <c r="P605" s="247">
        <f t="shared" si="124"/>
        <v>0.4612304246930039</v>
      </c>
      <c r="Q605" s="251">
        <f t="shared" si="131"/>
        <v>1.4663218199009931</v>
      </c>
      <c r="R605" s="251">
        <f t="shared" si="132"/>
        <v>1.6258412592468956</v>
      </c>
      <c r="S605" s="251">
        <f t="shared" si="133"/>
        <v>-9.8115014881461016E-2</v>
      </c>
      <c r="T605" s="252">
        <f>C605*'1. Share_Price_Analysis'!$E$11+T604*(1-'1. Share_Price_Analysis'!$E$11)</f>
        <v>251.92842659508651</v>
      </c>
      <c r="U605" s="253">
        <f t="shared" si="134"/>
        <v>245.20015014550484</v>
      </c>
    </row>
    <row r="606" spans="2:21" x14ac:dyDescent="0.2">
      <c r="B606" s="245">
        <v>45779</v>
      </c>
      <c r="C606" s="246">
        <v>267.05</v>
      </c>
      <c r="D606" s="246">
        <v>566.76</v>
      </c>
      <c r="E606" s="246">
        <v>42.465000000000003</v>
      </c>
      <c r="F606" s="248">
        <f t="shared" si="125"/>
        <v>1.297272692789142E-2</v>
      </c>
      <c r="G606" s="248">
        <f t="shared" si="126"/>
        <v>1.4844127706054033E-2</v>
      </c>
      <c r="H606" s="248">
        <f t="shared" si="127"/>
        <v>1.6882183908046189E-2</v>
      </c>
      <c r="I606" s="249">
        <f t="shared" si="128"/>
        <v>0.4853440124589774</v>
      </c>
      <c r="J606" s="249">
        <f t="shared" si="129"/>
        <v>0.4012411303681318</v>
      </c>
      <c r="K606" s="249">
        <f t="shared" si="130"/>
        <v>2.0425327405983351E-2</v>
      </c>
      <c r="L606" s="250">
        <f t="shared" si="120"/>
        <v>148.53440124589801</v>
      </c>
      <c r="M606" s="250">
        <f t="shared" si="121"/>
        <v>140.12411303681361</v>
      </c>
      <c r="N606" s="250">
        <f t="shared" si="122"/>
        <v>102.04253274059833</v>
      </c>
      <c r="O606" s="248">
        <f t="shared" si="123"/>
        <v>6.0020277929431209E-2</v>
      </c>
      <c r="P606" s="247">
        <f t="shared" si="124"/>
        <v>0.45561264755634867</v>
      </c>
      <c r="Q606" s="251">
        <f t="shared" si="131"/>
        <v>1.4853440124589774</v>
      </c>
      <c r="R606" s="251">
        <f t="shared" si="132"/>
        <v>1.6258412592468956</v>
      </c>
      <c r="S606" s="251">
        <f t="shared" si="133"/>
        <v>-8.6415107249152801E-2</v>
      </c>
      <c r="T606" s="252">
        <f>C606*'1. Share_Price_Analysis'!$E$11+T605*(1-'1. Share_Price_Analysis'!$E$11)</f>
        <v>252.07889001205083</v>
      </c>
      <c r="U606" s="253">
        <f t="shared" si="134"/>
        <v>246.05700700254386</v>
      </c>
    </row>
    <row r="607" spans="2:21" x14ac:dyDescent="0.2">
      <c r="B607" s="245">
        <v>45782</v>
      </c>
      <c r="C607" s="246">
        <v>270.04000000000002</v>
      </c>
      <c r="D607" s="246">
        <v>563.51</v>
      </c>
      <c r="E607" s="246">
        <v>42.15</v>
      </c>
      <c r="F607" s="248">
        <f t="shared" si="125"/>
        <v>1.1196405167571699E-2</v>
      </c>
      <c r="G607" s="248">
        <f t="shared" si="126"/>
        <v>-5.7343496365304114E-3</v>
      </c>
      <c r="H607" s="248">
        <f t="shared" si="127"/>
        <v>-7.4178735429177856E-3</v>
      </c>
      <c r="I607" s="249">
        <f t="shared" si="128"/>
        <v>0.50197452583569468</v>
      </c>
      <c r="J607" s="249">
        <f t="shared" si="129"/>
        <v>0.39320592380151376</v>
      </c>
      <c r="K607" s="249">
        <f t="shared" si="130"/>
        <v>1.2855941367295287E-2</v>
      </c>
      <c r="L607" s="250">
        <f t="shared" si="120"/>
        <v>150.19745258356974</v>
      </c>
      <c r="M607" s="250">
        <f t="shared" si="121"/>
        <v>139.32059238015179</v>
      </c>
      <c r="N607" s="250">
        <f t="shared" si="122"/>
        <v>101.28559413672953</v>
      </c>
      <c r="O607" s="248">
        <f t="shared" si="123"/>
        <v>7.8070728939620082E-2</v>
      </c>
      <c r="P607" s="247">
        <f t="shared" si="124"/>
        <v>0.48291031773789905</v>
      </c>
      <c r="Q607" s="251">
        <f t="shared" si="131"/>
        <v>1.5019745258356947</v>
      </c>
      <c r="R607" s="251">
        <f t="shared" si="132"/>
        <v>1.6258412592468956</v>
      </c>
      <c r="S607" s="251">
        <f t="shared" si="133"/>
        <v>-7.6186240634941838E-2</v>
      </c>
      <c r="T607" s="252">
        <f>C607*'1. Share_Price_Analysis'!$E$11+T606*(1-'1. Share_Price_Analysis'!$E$11)</f>
        <v>252.25760752436872</v>
      </c>
      <c r="U607" s="253">
        <f t="shared" si="134"/>
        <v>246.99751653185587</v>
      </c>
    </row>
    <row r="608" spans="2:21" x14ac:dyDescent="0.2">
      <c r="B608" s="245">
        <v>45783</v>
      </c>
      <c r="C608" s="246">
        <v>267.24</v>
      </c>
      <c r="D608" s="246">
        <v>558.79999999999995</v>
      </c>
      <c r="E608" s="246">
        <v>41.844999999999999</v>
      </c>
      <c r="F608" s="248">
        <f t="shared" si="125"/>
        <v>-1.0368834246778258E-2</v>
      </c>
      <c r="G608" s="248">
        <f t="shared" si="126"/>
        <v>-8.3583254955547082E-3</v>
      </c>
      <c r="H608" s="248">
        <f t="shared" si="127"/>
        <v>-7.2360616844602266E-3</v>
      </c>
      <c r="I608" s="249">
        <f t="shared" si="128"/>
        <v>0.48640080093442095</v>
      </c>
      <c r="J608" s="249">
        <f t="shared" si="129"/>
        <v>0.38156105520804573</v>
      </c>
      <c r="K608" s="249">
        <f t="shared" si="130"/>
        <v>5.5268532980894403E-3</v>
      </c>
      <c r="L608" s="250">
        <f t="shared" si="120"/>
        <v>148.64008009344235</v>
      </c>
      <c r="M608" s="250">
        <f t="shared" si="121"/>
        <v>138.15610552080497</v>
      </c>
      <c r="N608" s="250">
        <f t="shared" si="122"/>
        <v>100.55268532980897</v>
      </c>
      <c r="O608" s="248">
        <f t="shared" si="123"/>
        <v>7.5884989180291962E-2</v>
      </c>
      <c r="P608" s="247">
        <f t="shared" si="124"/>
        <v>0.47823083596333937</v>
      </c>
      <c r="Q608" s="251">
        <f t="shared" si="131"/>
        <v>1.486400800934421</v>
      </c>
      <c r="R608" s="251">
        <f t="shared" si="132"/>
        <v>1.6258412592468956</v>
      </c>
      <c r="S608" s="251">
        <f t="shared" si="133"/>
        <v>-8.5765112380691289E-2</v>
      </c>
      <c r="T608" s="252">
        <f>C608*'1. Share_Price_Analysis'!$E$11+T607*(1-'1. Share_Price_Analysis'!$E$11)</f>
        <v>252.40668605646457</v>
      </c>
      <c r="U608" s="253">
        <f t="shared" si="134"/>
        <v>247.79133941295956</v>
      </c>
    </row>
    <row r="609" spans="2:21" x14ac:dyDescent="0.2">
      <c r="B609" s="245">
        <v>45784</v>
      </c>
      <c r="C609" s="246">
        <v>265.83999999999997</v>
      </c>
      <c r="D609" s="246">
        <v>561.15</v>
      </c>
      <c r="E609" s="246">
        <v>41.615000000000002</v>
      </c>
      <c r="F609" s="248">
        <f t="shared" si="125"/>
        <v>-5.2387367160605658E-3</v>
      </c>
      <c r="G609" s="248">
        <f t="shared" si="126"/>
        <v>4.2054402290623294E-3</v>
      </c>
      <c r="H609" s="248">
        <f t="shared" si="127"/>
        <v>-5.4964750866292045E-3</v>
      </c>
      <c r="I609" s="249">
        <f t="shared" si="128"/>
        <v>0.47861393848378397</v>
      </c>
      <c r="J609" s="249">
        <f t="shared" si="129"/>
        <v>0.38737112764852344</v>
      </c>
      <c r="K609" s="249">
        <f t="shared" si="130"/>
        <v>0</v>
      </c>
      <c r="L609" s="250">
        <f t="shared" si="120"/>
        <v>147.86139384837867</v>
      </c>
      <c r="M609" s="250">
        <f t="shared" si="121"/>
        <v>138.73711276485275</v>
      </c>
      <c r="N609" s="250">
        <f t="shared" si="122"/>
        <v>100</v>
      </c>
      <c r="O609" s="248">
        <f t="shared" si="123"/>
        <v>6.5766692860265374E-2</v>
      </c>
      <c r="P609" s="247">
        <f t="shared" si="124"/>
        <v>0.47861393848378397</v>
      </c>
      <c r="Q609" s="251">
        <f t="shared" si="131"/>
        <v>1.478613938483784</v>
      </c>
      <c r="R609" s="251">
        <f t="shared" si="132"/>
        <v>1.6258412592468956</v>
      </c>
      <c r="S609" s="251">
        <f t="shared" si="133"/>
        <v>-9.0554548253566014E-2</v>
      </c>
      <c r="T609" s="252">
        <f>C609*'1. Share_Price_Analysis'!$E$11+T608*(1-'1. Share_Price_Analysis'!$E$11)</f>
        <v>252.54035087182314</v>
      </c>
      <c r="U609" s="253">
        <f t="shared" si="134"/>
        <v>248.49913002421607</v>
      </c>
    </row>
    <row r="610" spans="2:21" x14ac:dyDescent="0.2">
      <c r="B610" s="245">
        <v>45785</v>
      </c>
      <c r="C610" s="246">
        <v>268.42</v>
      </c>
      <c r="D610" s="246">
        <v>565.05999999999995</v>
      </c>
      <c r="E610" s="246">
        <v>42.17</v>
      </c>
      <c r="F610" s="248">
        <f t="shared" si="125"/>
        <v>9.7050857658742551E-3</v>
      </c>
      <c r="G610" s="248">
        <f t="shared" si="126"/>
        <v>6.967833912500998E-3</v>
      </c>
      <c r="H610" s="248">
        <f t="shared" si="127"/>
        <v>1.3336537306259721E-2</v>
      </c>
      <c r="I610" s="249">
        <f t="shared" si="128"/>
        <v>0.49296401357138619</v>
      </c>
      <c r="J610" s="249">
        <f t="shared" si="129"/>
        <v>0.39703809924097766</v>
      </c>
      <c r="K610" s="249">
        <f t="shared" si="130"/>
        <v>1.3336537306259721E-2</v>
      </c>
      <c r="L610" s="250">
        <f t="shared" si="120"/>
        <v>149.2964013571389</v>
      </c>
      <c r="M610" s="250">
        <f t="shared" si="121"/>
        <v>139.70380992409818</v>
      </c>
      <c r="N610" s="250">
        <f t="shared" si="122"/>
        <v>101.33365373062597</v>
      </c>
      <c r="O610" s="248">
        <f t="shared" si="123"/>
        <v>6.8663778305348977E-2</v>
      </c>
      <c r="P610" s="247">
        <f t="shared" si="124"/>
        <v>0.47331509188459187</v>
      </c>
      <c r="Q610" s="251">
        <f t="shared" si="131"/>
        <v>1.4929640135713862</v>
      </c>
      <c r="R610" s="251">
        <f t="shared" si="132"/>
        <v>1.6258412592468956</v>
      </c>
      <c r="S610" s="251">
        <f t="shared" si="133"/>
        <v>-8.1728302144982723E-2</v>
      </c>
      <c r="T610" s="252">
        <f>C610*'1. Share_Price_Analysis'!$E$11+T609*(1-'1. Share_Price_Analysis'!$E$11)</f>
        <v>252.69835733080998</v>
      </c>
      <c r="U610" s="253">
        <f t="shared" si="134"/>
        <v>249.28034061150171</v>
      </c>
    </row>
    <row r="611" spans="2:21" x14ac:dyDescent="0.2">
      <c r="B611" s="245">
        <v>45786</v>
      </c>
      <c r="C611" s="246">
        <v>269.63</v>
      </c>
      <c r="D611" s="246">
        <v>564.34</v>
      </c>
      <c r="E611" s="246">
        <v>42.28</v>
      </c>
      <c r="F611" s="248">
        <f t="shared" si="125"/>
        <v>4.5078608151403188E-3</v>
      </c>
      <c r="G611" s="248">
        <f t="shared" si="126"/>
        <v>-1.2742009698083478E-3</v>
      </c>
      <c r="H611" s="248">
        <f t="shared" si="127"/>
        <v>2.6084894474744935E-3</v>
      </c>
      <c r="I611" s="249">
        <f t="shared" si="128"/>
        <v>0.49969408754657918</v>
      </c>
      <c r="J611" s="249">
        <f t="shared" si="129"/>
        <v>0.39525799194006561</v>
      </c>
      <c r="K611" s="249">
        <f t="shared" si="130"/>
        <v>1.5979814970563444E-2</v>
      </c>
      <c r="L611" s="250">
        <f t="shared" si="120"/>
        <v>149.96940875465822</v>
      </c>
      <c r="M611" s="250">
        <f t="shared" si="121"/>
        <v>139.52579919400696</v>
      </c>
      <c r="N611" s="250">
        <f t="shared" si="122"/>
        <v>101.59798149705634</v>
      </c>
      <c r="O611" s="248">
        <f t="shared" si="123"/>
        <v>7.4850741733647475E-2</v>
      </c>
      <c r="P611" s="247">
        <f t="shared" si="124"/>
        <v>0.47610618385172421</v>
      </c>
      <c r="Q611" s="251">
        <f t="shared" si="131"/>
        <v>1.4996940875465792</v>
      </c>
      <c r="R611" s="251">
        <f t="shared" si="132"/>
        <v>1.6258412592468956</v>
      </c>
      <c r="S611" s="251">
        <f t="shared" si="133"/>
        <v>-7.7588861140569731E-2</v>
      </c>
      <c r="T611" s="252">
        <f>C611*'1. Share_Price_Analysis'!$E$11+T610*(1-'1. Share_Price_Analysis'!$E$11)</f>
        <v>252.86683138721983</v>
      </c>
      <c r="U611" s="253">
        <f t="shared" si="134"/>
        <v>250.0783664698742</v>
      </c>
    </row>
    <row r="612" spans="2:21" x14ac:dyDescent="0.2">
      <c r="B612" s="245">
        <v>45789</v>
      </c>
      <c r="C612" s="246">
        <v>272.36</v>
      </c>
      <c r="D612" s="246">
        <v>582.99</v>
      </c>
      <c r="E612" s="246">
        <v>43.26</v>
      </c>
      <c r="F612" s="248">
        <f t="shared" si="125"/>
        <v>1.0124986092052035E-2</v>
      </c>
      <c r="G612" s="248">
        <f t="shared" si="126"/>
        <v>3.3047453662685466E-2</v>
      </c>
      <c r="H612" s="248">
        <f t="shared" si="127"/>
        <v>2.3178807947019875E-2</v>
      </c>
      <c r="I612" s="249">
        <f t="shared" si="128"/>
        <v>0.514878469325321</v>
      </c>
      <c r="J612" s="249">
        <f t="shared" si="129"/>
        <v>0.4413677157761966</v>
      </c>
      <c r="K612" s="249">
        <f t="shared" si="130"/>
        <v>3.9529015979814952E-2</v>
      </c>
      <c r="L612" s="250">
        <f t="shared" si="120"/>
        <v>151.48784693253242</v>
      </c>
      <c r="M612" s="250">
        <f t="shared" si="121"/>
        <v>144.1367715776201</v>
      </c>
      <c r="N612" s="250">
        <f t="shared" si="122"/>
        <v>103.95290159798149</v>
      </c>
      <c r="O612" s="248">
        <f t="shared" si="123"/>
        <v>5.1000693816385168E-2</v>
      </c>
      <c r="P612" s="247">
        <f t="shared" si="124"/>
        <v>0.45727386733641318</v>
      </c>
      <c r="Q612" s="251">
        <f t="shared" si="131"/>
        <v>1.514878469325321</v>
      </c>
      <c r="R612" s="251">
        <f t="shared" si="132"/>
        <v>1.6258412592468956</v>
      </c>
      <c r="S612" s="251">
        <f t="shared" si="133"/>
        <v>-6.8249461188464089E-2</v>
      </c>
      <c r="T612" s="252">
        <f>C612*'1. Share_Price_Analysis'!$E$11+T611*(1-'1. Share_Price_Analysis'!$E$11)</f>
        <v>253.06079326396394</v>
      </c>
      <c r="U612" s="253">
        <f t="shared" si="134"/>
        <v>250.95215602007522</v>
      </c>
    </row>
    <row r="613" spans="2:21" x14ac:dyDescent="0.2">
      <c r="B613" s="245">
        <v>45790</v>
      </c>
      <c r="C613" s="246">
        <v>268.58999999999997</v>
      </c>
      <c r="D613" s="246">
        <v>586.84</v>
      </c>
      <c r="E613" s="246">
        <v>43.045000000000002</v>
      </c>
      <c r="F613" s="248">
        <f t="shared" si="125"/>
        <v>-1.3841973858129131E-2</v>
      </c>
      <c r="G613" s="248">
        <f t="shared" si="126"/>
        <v>6.6038868591229427E-3</v>
      </c>
      <c r="H613" s="248">
        <f t="shared" si="127"/>
        <v>-4.969949144706387E-3</v>
      </c>
      <c r="I613" s="249">
        <f t="shared" si="128"/>
        <v>0.49390956115467732</v>
      </c>
      <c r="J613" s="249">
        <f t="shared" si="129"/>
        <v>0.45088634509357517</v>
      </c>
      <c r="K613" s="249">
        <f t="shared" si="130"/>
        <v>3.4362609635948616E-2</v>
      </c>
      <c r="L613" s="250">
        <f t="shared" si="120"/>
        <v>149.39095611546804</v>
      </c>
      <c r="M613" s="250">
        <f t="shared" si="121"/>
        <v>145.08863450935792</v>
      </c>
      <c r="N613" s="250">
        <f t="shared" si="122"/>
        <v>103.43626096359486</v>
      </c>
      <c r="O613" s="248">
        <f t="shared" si="123"/>
        <v>2.9653057392532878E-2</v>
      </c>
      <c r="P613" s="247">
        <f t="shared" si="124"/>
        <v>0.44428032030321507</v>
      </c>
      <c r="Q613" s="251">
        <f t="shared" si="131"/>
        <v>1.4939095611546773</v>
      </c>
      <c r="R613" s="251">
        <f t="shared" si="132"/>
        <v>1.6258412592468956</v>
      </c>
      <c r="S613" s="251">
        <f t="shared" si="133"/>
        <v>-8.1146727788991013E-2</v>
      </c>
      <c r="T613" s="252">
        <f>C613*'1. Share_Price_Analysis'!$E$11+T612*(1-'1. Share_Price_Analysis'!$E$11)</f>
        <v>253.21531273397426</v>
      </c>
      <c r="U613" s="253">
        <f t="shared" si="134"/>
        <v>251.6438361761507</v>
      </c>
    </row>
    <row r="614" spans="2:21" x14ac:dyDescent="0.2">
      <c r="B614" s="245">
        <v>45791</v>
      </c>
      <c r="C614" s="246">
        <v>266.32</v>
      </c>
      <c r="D614" s="246">
        <v>587.59</v>
      </c>
      <c r="E614" s="246">
        <v>42.65</v>
      </c>
      <c r="F614" s="248">
        <f t="shared" si="125"/>
        <v>-8.451543244350046E-3</v>
      </c>
      <c r="G614" s="248">
        <f t="shared" si="126"/>
        <v>1.2780314906959411E-3</v>
      </c>
      <c r="H614" s="248">
        <f t="shared" si="127"/>
        <v>-9.1764432570566878E-3</v>
      </c>
      <c r="I614" s="249">
        <f t="shared" si="128"/>
        <v>0.48128371989543051</v>
      </c>
      <c r="J614" s="249">
        <f t="shared" si="129"/>
        <v>0.45274062353202549</v>
      </c>
      <c r="K614" s="249">
        <f t="shared" si="130"/>
        <v>2.4870839841403258E-2</v>
      </c>
      <c r="L614" s="250">
        <f t="shared" si="120"/>
        <v>148.12837198954335</v>
      </c>
      <c r="M614" s="250">
        <f t="shared" si="121"/>
        <v>145.27406235320294</v>
      </c>
      <c r="N614" s="250">
        <f t="shared" si="122"/>
        <v>102.48708398414033</v>
      </c>
      <c r="O614" s="248">
        <f t="shared" si="123"/>
        <v>1.964775810702446E-2</v>
      </c>
      <c r="P614" s="247">
        <f t="shared" si="124"/>
        <v>0.44533697546186035</v>
      </c>
      <c r="Q614" s="251">
        <f t="shared" si="131"/>
        <v>1.4812837198954305</v>
      </c>
      <c r="R614" s="251">
        <f t="shared" si="132"/>
        <v>1.6258412592468956</v>
      </c>
      <c r="S614" s="251">
        <f t="shared" si="133"/>
        <v>-8.8912455954294978E-2</v>
      </c>
      <c r="T614" s="252">
        <f>C614*'1. Share_Price_Analysis'!$E$11+T613*(1-'1. Share_Price_Analysis'!$E$11)</f>
        <v>253.3457076321437</v>
      </c>
      <c r="U614" s="253">
        <f t="shared" si="134"/>
        <v>252.21937201238009</v>
      </c>
    </row>
    <row r="615" spans="2:21" x14ac:dyDescent="0.2">
      <c r="B615" s="245">
        <v>45792</v>
      </c>
      <c r="C615" s="246">
        <v>271.07</v>
      </c>
      <c r="D615" s="246">
        <v>590.46</v>
      </c>
      <c r="E615" s="246">
        <v>43.085000000000001</v>
      </c>
      <c r="F615" s="248">
        <f t="shared" si="125"/>
        <v>1.7835686392309924E-2</v>
      </c>
      <c r="G615" s="248">
        <f t="shared" si="126"/>
        <v>4.884358140880618E-3</v>
      </c>
      <c r="H615" s="248">
        <f t="shared" si="127"/>
        <v>1.0199296600234442E-2</v>
      </c>
      <c r="I615" s="249">
        <f t="shared" si="128"/>
        <v>0.50770343178151967</v>
      </c>
      <c r="J615" s="249">
        <f t="shared" si="129"/>
        <v>0.45983632902316218</v>
      </c>
      <c r="K615" s="249">
        <f t="shared" si="130"/>
        <v>3.532380151387704E-2</v>
      </c>
      <c r="L615" s="250">
        <f t="shared" si="120"/>
        <v>150.7703431781523</v>
      </c>
      <c r="M615" s="250">
        <f t="shared" si="121"/>
        <v>145.98363290231663</v>
      </c>
      <c r="N615" s="250">
        <f t="shared" si="122"/>
        <v>103.53238015138773</v>
      </c>
      <c r="O615" s="248">
        <f t="shared" si="123"/>
        <v>3.2789362620114559E-2</v>
      </c>
      <c r="P615" s="247">
        <f t="shared" si="124"/>
        <v>0.45626269730968905</v>
      </c>
      <c r="Q615" s="251">
        <f t="shared" si="131"/>
        <v>1.5077034317815197</v>
      </c>
      <c r="R615" s="251">
        <f t="shared" si="132"/>
        <v>1.6258412592468956</v>
      </c>
      <c r="S615" s="251">
        <f t="shared" si="133"/>
        <v>-7.2662584242755957E-2</v>
      </c>
      <c r="T615" s="252">
        <f>C615*'1. Share_Price_Analysis'!$E$11+T614*(1-'1. Share_Price_Analysis'!$E$11)</f>
        <v>253.52206875023182</v>
      </c>
      <c r="U615" s="253">
        <f t="shared" si="134"/>
        <v>252.95861232562009</v>
      </c>
    </row>
    <row r="616" spans="2:21" x14ac:dyDescent="0.2">
      <c r="B616" s="245">
        <v>45793</v>
      </c>
      <c r="C616" s="246">
        <v>275.51</v>
      </c>
      <c r="D616" s="246">
        <v>594.20000000000005</v>
      </c>
      <c r="E616" s="246">
        <v>43.524999999999999</v>
      </c>
      <c r="F616" s="248">
        <f t="shared" si="125"/>
        <v>1.6379532961965593E-2</v>
      </c>
      <c r="G616" s="248">
        <f t="shared" si="126"/>
        <v>6.3340446431596753E-3</v>
      </c>
      <c r="H616" s="248">
        <f t="shared" si="127"/>
        <v>1.0212370894742806E-2</v>
      </c>
      <c r="I616" s="249">
        <f t="shared" si="128"/>
        <v>0.53239890983925364</v>
      </c>
      <c r="J616" s="249">
        <f t="shared" si="129"/>
        <v>0.46908299750290117</v>
      </c>
      <c r="K616" s="249">
        <f t="shared" si="130"/>
        <v>4.589691217109193E-2</v>
      </c>
      <c r="L616" s="250">
        <f t="shared" si="120"/>
        <v>153.2398909839257</v>
      </c>
      <c r="M616" s="250">
        <f t="shared" si="121"/>
        <v>146.9082997502905</v>
      </c>
      <c r="N616" s="250">
        <f t="shared" si="122"/>
        <v>104.58969121710922</v>
      </c>
      <c r="O616" s="248">
        <f t="shared" si="123"/>
        <v>4.3098934807614508E-2</v>
      </c>
      <c r="P616" s="247">
        <f t="shared" si="124"/>
        <v>0.46515291517428037</v>
      </c>
      <c r="Q616" s="251">
        <f t="shared" si="131"/>
        <v>1.5323989098392536</v>
      </c>
      <c r="R616" s="251">
        <f t="shared" si="132"/>
        <v>1.6258412592468956</v>
      </c>
      <c r="S616" s="251">
        <f t="shared" si="133"/>
        <v>-5.7473230474496151E-2</v>
      </c>
      <c r="T616" s="252">
        <f>C616*'1. Share_Price_Analysis'!$E$11+T615*(1-'1. Share_Price_Analysis'!$E$11)</f>
        <v>253.74085413580167</v>
      </c>
      <c r="U616" s="253">
        <f t="shared" si="134"/>
        <v>253.84298046971344</v>
      </c>
    </row>
    <row r="617" spans="2:21" x14ac:dyDescent="0.2">
      <c r="B617" s="245">
        <v>45796</v>
      </c>
      <c r="C617" s="246">
        <v>276.01</v>
      </c>
      <c r="D617" s="246">
        <v>594.85</v>
      </c>
      <c r="E617" s="246">
        <v>43.634999999999998</v>
      </c>
      <c r="F617" s="248">
        <f t="shared" si="125"/>
        <v>1.814816159123156E-3</v>
      </c>
      <c r="G617" s="248">
        <f t="shared" si="126"/>
        <v>1.0939077751599413E-3</v>
      </c>
      <c r="H617" s="248">
        <f t="shared" si="127"/>
        <v>2.5272831705915877E-3</v>
      </c>
      <c r="I617" s="249">
        <f t="shared" si="128"/>
        <v>0.53517993214305259</v>
      </c>
      <c r="J617" s="249">
        <f t="shared" si="129"/>
        <v>0.47069003881622495</v>
      </c>
      <c r="K617" s="249">
        <f t="shared" si="130"/>
        <v>4.8540189835395653E-2</v>
      </c>
      <c r="L617" s="250">
        <f t="shared" si="120"/>
        <v>153.51799321430556</v>
      </c>
      <c r="M617" s="250">
        <f t="shared" si="121"/>
        <v>147.06900388162285</v>
      </c>
      <c r="N617" s="250">
        <f t="shared" si="122"/>
        <v>104.85401898353959</v>
      </c>
      <c r="O617" s="248">
        <f t="shared" si="123"/>
        <v>4.3850091878460118E-2</v>
      </c>
      <c r="P617" s="247">
        <f t="shared" si="124"/>
        <v>0.46411167356785032</v>
      </c>
      <c r="Q617" s="251">
        <f t="shared" si="131"/>
        <v>1.5351799321430526</v>
      </c>
      <c r="R617" s="251">
        <f t="shared" si="132"/>
        <v>1.6258412592468956</v>
      </c>
      <c r="S617" s="251">
        <f t="shared" si="133"/>
        <v>-5.5762717662755201E-2</v>
      </c>
      <c r="T617" s="252">
        <f>C617*'1. Share_Price_Analysis'!$E$11+T616*(1-'1. Share_Price_Analysis'!$E$11)</f>
        <v>253.96243767673897</v>
      </c>
      <c r="U617" s="253">
        <f t="shared" si="134"/>
        <v>254.71227535325409</v>
      </c>
    </row>
    <row r="618" spans="2:21" x14ac:dyDescent="0.2">
      <c r="B618" s="245">
        <v>45797</v>
      </c>
      <c r="C618" s="246">
        <v>273.33</v>
      </c>
      <c r="D618" s="246">
        <v>592.85</v>
      </c>
      <c r="E618" s="246">
        <v>43.56</v>
      </c>
      <c r="F618" s="248">
        <f t="shared" si="125"/>
        <v>-9.7097931234375601E-3</v>
      </c>
      <c r="G618" s="248">
        <f t="shared" si="126"/>
        <v>-3.3621921492813511E-3</v>
      </c>
      <c r="H618" s="248">
        <f t="shared" si="127"/>
        <v>-1.7188037126159017E-3</v>
      </c>
      <c r="I618" s="249">
        <f t="shared" si="128"/>
        <v>0.52027365259469072</v>
      </c>
      <c r="J618" s="249">
        <f t="shared" si="129"/>
        <v>0.46574529631369077</v>
      </c>
      <c r="K618" s="249">
        <f t="shared" si="130"/>
        <v>4.673795506427969E-2</v>
      </c>
      <c r="L618" s="250">
        <f t="shared" si="120"/>
        <v>152.02736525946938</v>
      </c>
      <c r="M618" s="250">
        <f t="shared" si="121"/>
        <v>146.57452963136944</v>
      </c>
      <c r="N618" s="250">
        <f t="shared" si="122"/>
        <v>104.67379550642796</v>
      </c>
      <c r="O618" s="248">
        <f t="shared" si="123"/>
        <v>3.7201795167371321E-2</v>
      </c>
      <c r="P618" s="247">
        <f t="shared" si="124"/>
        <v>0.45239182857502414</v>
      </c>
      <c r="Q618" s="251">
        <f t="shared" si="131"/>
        <v>1.5202736525946907</v>
      </c>
      <c r="R618" s="251">
        <f t="shared" si="132"/>
        <v>1.6258412592468956</v>
      </c>
      <c r="S618" s="251">
        <f t="shared" si="133"/>
        <v>-6.4931066333686727E-2</v>
      </c>
      <c r="T618" s="252">
        <f>C618*'1. Share_Price_Analysis'!$E$11+T617*(1-'1. Share_Price_Analysis'!$E$11)</f>
        <v>254.15514973965702</v>
      </c>
      <c r="U618" s="253">
        <f t="shared" si="134"/>
        <v>255.44238220214609</v>
      </c>
    </row>
    <row r="619" spans="2:21" x14ac:dyDescent="0.2">
      <c r="B619" s="245">
        <v>45798</v>
      </c>
      <c r="C619" s="246">
        <v>270.54000000000002</v>
      </c>
      <c r="D619" s="246">
        <v>582.86</v>
      </c>
      <c r="E619" s="246">
        <v>42.98</v>
      </c>
      <c r="F619" s="248">
        <f t="shared" si="125"/>
        <v>-1.0207441554165197E-2</v>
      </c>
      <c r="G619" s="248">
        <f t="shared" si="126"/>
        <v>-1.6850805431390725E-2</v>
      </c>
      <c r="H619" s="248">
        <f t="shared" si="127"/>
        <v>-1.3314967860422522E-2</v>
      </c>
      <c r="I619" s="249">
        <f t="shared" si="128"/>
        <v>0.50475554813949319</v>
      </c>
      <c r="J619" s="249">
        <f t="shared" si="129"/>
        <v>0.44104630751353269</v>
      </c>
      <c r="K619" s="249">
        <f t="shared" si="130"/>
        <v>3.2800672834314426E-2</v>
      </c>
      <c r="L619" s="250">
        <f t="shared" si="120"/>
        <v>150.47555481394963</v>
      </c>
      <c r="M619" s="250">
        <f t="shared" si="121"/>
        <v>144.10463075135362</v>
      </c>
      <c r="N619" s="250">
        <f t="shared" si="122"/>
        <v>103.28006728343144</v>
      </c>
      <c r="O619" s="248">
        <f t="shared" si="123"/>
        <v>4.4210404824455818E-2</v>
      </c>
      <c r="P619" s="247">
        <f t="shared" si="124"/>
        <v>0.45696608040542142</v>
      </c>
      <c r="Q619" s="251">
        <f t="shared" si="131"/>
        <v>1.5047555481394932</v>
      </c>
      <c r="R619" s="251">
        <f t="shared" si="132"/>
        <v>1.6258412592468956</v>
      </c>
      <c r="S619" s="251">
        <f t="shared" si="133"/>
        <v>-7.447572782320111E-2</v>
      </c>
      <c r="T619" s="252">
        <f>C619*'1. Share_Price_Analysis'!$E$11+T618*(1-'1. Share_Price_Analysis'!$E$11)</f>
        <v>254.31818307558083</v>
      </c>
      <c r="U619" s="253">
        <f t="shared" si="134"/>
        <v>256.03444564519918</v>
      </c>
    </row>
    <row r="620" spans="2:21" x14ac:dyDescent="0.2">
      <c r="B620" s="245">
        <v>45799</v>
      </c>
      <c r="C620" s="246">
        <v>271.68</v>
      </c>
      <c r="D620" s="246">
        <v>583.09</v>
      </c>
      <c r="E620" s="246">
        <v>42.935000000000002</v>
      </c>
      <c r="F620" s="248">
        <f t="shared" si="125"/>
        <v>4.2137946329563469E-3</v>
      </c>
      <c r="G620" s="248">
        <f t="shared" si="126"/>
        <v>3.9460590879469848E-4</v>
      </c>
      <c r="H620" s="248">
        <f t="shared" si="127"/>
        <v>-1.0469986040017032E-3</v>
      </c>
      <c r="I620" s="249">
        <f t="shared" si="128"/>
        <v>0.51109627899215471</v>
      </c>
      <c r="J620" s="249">
        <f t="shared" si="129"/>
        <v>0.44161495290132424</v>
      </c>
      <c r="K620" s="249">
        <f t="shared" si="130"/>
        <v>3.1719331971644893E-2</v>
      </c>
      <c r="L620" s="250">
        <f t="shared" si="120"/>
        <v>151.10962789921575</v>
      </c>
      <c r="M620" s="250">
        <f t="shared" si="121"/>
        <v>144.16149529013276</v>
      </c>
      <c r="N620" s="250">
        <f t="shared" si="122"/>
        <v>103.17193319716449</v>
      </c>
      <c r="O620" s="248">
        <f t="shared" si="123"/>
        <v>4.8196868346152888E-2</v>
      </c>
      <c r="P620" s="247">
        <f t="shared" si="124"/>
        <v>0.46463891115077471</v>
      </c>
      <c r="Q620" s="251">
        <f t="shared" si="131"/>
        <v>1.5110962789921547</v>
      </c>
      <c r="R620" s="251">
        <f t="shared" si="132"/>
        <v>1.6258412592468956</v>
      </c>
      <c r="S620" s="251">
        <f t="shared" si="133"/>
        <v>-7.0575758612431705E-2</v>
      </c>
      <c r="T620" s="252">
        <f>C620*'1. Share_Price_Analysis'!$E$11+T619*(1-'1. Share_Price_Analysis'!$E$11)</f>
        <v>254.49093747283874</v>
      </c>
      <c r="U620" s="253">
        <f t="shared" si="134"/>
        <v>256.64799679636786</v>
      </c>
    </row>
    <row r="621" spans="2:21" x14ac:dyDescent="0.2">
      <c r="B621" s="245">
        <v>45800</v>
      </c>
      <c r="C621" s="246">
        <v>268.19</v>
      </c>
      <c r="D621" s="246">
        <v>579.11</v>
      </c>
      <c r="E621" s="246">
        <v>42.85</v>
      </c>
      <c r="F621" s="248">
        <f t="shared" si="125"/>
        <v>-1.2845995288574774E-2</v>
      </c>
      <c r="G621" s="248">
        <f t="shared" si="126"/>
        <v>-6.8257044367079356E-3</v>
      </c>
      <c r="H621" s="248">
        <f t="shared" si="127"/>
        <v>-1.9797368114592429E-3</v>
      </c>
      <c r="I621" s="249">
        <f t="shared" si="128"/>
        <v>0.49168474331163869</v>
      </c>
      <c r="J621" s="249">
        <f t="shared" si="129"/>
        <v>0.43177491532128109</v>
      </c>
      <c r="K621" s="249">
        <f t="shared" si="130"/>
        <v>2.9676799231046491E-2</v>
      </c>
      <c r="L621" s="250">
        <f t="shared" si="120"/>
        <v>149.16847433116413</v>
      </c>
      <c r="M621" s="250">
        <f t="shared" si="121"/>
        <v>143.17749153212847</v>
      </c>
      <c r="N621" s="250">
        <f t="shared" si="122"/>
        <v>102.96767992310465</v>
      </c>
      <c r="O621" s="248">
        <f t="shared" si="123"/>
        <v>4.1843049036037971E-2</v>
      </c>
      <c r="P621" s="247">
        <f t="shared" si="124"/>
        <v>0.44869219586730091</v>
      </c>
      <c r="Q621" s="251">
        <f t="shared" si="131"/>
        <v>1.4916847433116387</v>
      </c>
      <c r="R621" s="251">
        <f t="shared" si="132"/>
        <v>1.6258412592468956</v>
      </c>
      <c r="S621" s="251">
        <f t="shared" si="133"/>
        <v>-8.2515138038383506E-2</v>
      </c>
      <c r="T621" s="252">
        <f>C621*'1. Share_Price_Analysis'!$E$11+T620*(1-'1. Share_Price_Analysis'!$E$11)</f>
        <v>254.627246552711</v>
      </c>
      <c r="U621" s="253">
        <f t="shared" si="134"/>
        <v>257.10062437298092</v>
      </c>
    </row>
    <row r="622" spans="2:21" x14ac:dyDescent="0.2">
      <c r="B622" s="245">
        <v>45804</v>
      </c>
      <c r="C622" s="246">
        <v>270.16000000000003</v>
      </c>
      <c r="D622" s="246">
        <v>591.15</v>
      </c>
      <c r="E622" s="246">
        <v>43.6</v>
      </c>
      <c r="F622" s="248">
        <f t="shared" si="125"/>
        <v>7.3455386106866527E-3</v>
      </c>
      <c r="G622" s="248">
        <f t="shared" si="126"/>
        <v>2.0790523389338844E-2</v>
      </c>
      <c r="H622" s="248">
        <f t="shared" si="127"/>
        <v>1.7502917152858899E-2</v>
      </c>
      <c r="I622" s="249">
        <f t="shared" si="128"/>
        <v>0.50264197118860654</v>
      </c>
      <c r="J622" s="249">
        <f t="shared" si="129"/>
        <v>0.46154226518653685</v>
      </c>
      <c r="K622" s="249">
        <f t="shared" si="130"/>
        <v>4.7699146942208337E-2</v>
      </c>
      <c r="L622" s="250">
        <f t="shared" si="120"/>
        <v>150.26419711886092</v>
      </c>
      <c r="M622" s="250">
        <f t="shared" si="121"/>
        <v>146.15422651865401</v>
      </c>
      <c r="N622" s="250">
        <f t="shared" si="122"/>
        <v>104.76991469422083</v>
      </c>
      <c r="O622" s="248">
        <f t="shared" si="123"/>
        <v>2.8120778290885884E-2</v>
      </c>
      <c r="P622" s="247">
        <f t="shared" si="124"/>
        <v>0.43423040438105187</v>
      </c>
      <c r="Q622" s="251">
        <f t="shared" si="131"/>
        <v>1.5026419711886065</v>
      </c>
      <c r="R622" s="251">
        <f t="shared" si="132"/>
        <v>1.6258412592468956</v>
      </c>
      <c r="S622" s="251">
        <f t="shared" si="133"/>
        <v>-7.5775717560124023E-2</v>
      </c>
      <c r="T622" s="252">
        <f>C622*'1. Share_Price_Analysis'!$E$11+T621*(1-'1. Share_Price_Analysis'!$E$11)</f>
        <v>254.78180131338056</v>
      </c>
      <c r="U622" s="253">
        <f t="shared" si="134"/>
        <v>257.6127567505111</v>
      </c>
    </row>
    <row r="623" spans="2:21" x14ac:dyDescent="0.2">
      <c r="B623" s="245">
        <v>45805</v>
      </c>
      <c r="C623" s="246">
        <v>262.52999999999997</v>
      </c>
      <c r="D623" s="246">
        <v>587.73</v>
      </c>
      <c r="E623" s="246">
        <v>43.005000000000003</v>
      </c>
      <c r="F623" s="248">
        <f t="shared" si="125"/>
        <v>-2.824252294936358E-2</v>
      </c>
      <c r="G623" s="248">
        <f t="shared" si="126"/>
        <v>-5.7853336716569004E-3</v>
      </c>
      <c r="H623" s="248">
        <f t="shared" si="127"/>
        <v>-1.3646788990825609E-2</v>
      </c>
      <c r="I623" s="249">
        <f t="shared" si="128"/>
        <v>0.4602035708326353</v>
      </c>
      <c r="J623" s="249">
        <f t="shared" si="129"/>
        <v>0.45308675550720356</v>
      </c>
      <c r="K623" s="249">
        <f t="shared" si="130"/>
        <v>3.3401417758019969E-2</v>
      </c>
      <c r="L623" s="250">
        <f t="shared" si="120"/>
        <v>146.0203570832638</v>
      </c>
      <c r="M623" s="250">
        <f t="shared" si="121"/>
        <v>145.30867555072069</v>
      </c>
      <c r="N623" s="250">
        <f t="shared" si="122"/>
        <v>103.340141775802</v>
      </c>
      <c r="O623" s="248">
        <f t="shared" si="123"/>
        <v>4.8977222443593593E-3</v>
      </c>
      <c r="P623" s="247">
        <f t="shared" si="124"/>
        <v>0.41300712940821116</v>
      </c>
      <c r="Q623" s="251">
        <f t="shared" si="131"/>
        <v>1.4602035708326353</v>
      </c>
      <c r="R623" s="251">
        <f t="shared" si="132"/>
        <v>1.6258412592468956</v>
      </c>
      <c r="S623" s="251">
        <f t="shared" si="133"/>
        <v>-0.10187814306729126</v>
      </c>
      <c r="T623" s="252">
        <f>C623*'1. Share_Price_Analysis'!$E$11+T622*(1-'1. Share_Price_Analysis'!$E$11)</f>
        <v>254.85889781772505</v>
      </c>
      <c r="U623" s="253">
        <f t="shared" si="134"/>
        <v>257.8055898191185</v>
      </c>
    </row>
    <row r="624" spans="2:21" x14ac:dyDescent="0.2">
      <c r="B624" s="245">
        <v>45806</v>
      </c>
      <c r="C624" s="246">
        <v>265.31</v>
      </c>
      <c r="D624" s="246">
        <v>590.04999999999995</v>
      </c>
      <c r="E624" s="246">
        <v>43.164999999999999</v>
      </c>
      <c r="F624" s="248">
        <f t="shared" si="125"/>
        <v>1.0589265988649066E-2</v>
      </c>
      <c r="G624" s="248">
        <f t="shared" si="126"/>
        <v>3.9473908087046539E-3</v>
      </c>
      <c r="H624" s="248">
        <f t="shared" si="127"/>
        <v>3.7204976165561288E-3</v>
      </c>
      <c r="I624" s="249">
        <f t="shared" si="128"/>
        <v>0.47566605484175728</v>
      </c>
      <c r="J624" s="249">
        <f t="shared" si="129"/>
        <v>0.45882265681014323</v>
      </c>
      <c r="K624" s="249">
        <f t="shared" si="130"/>
        <v>3.7246185269734333E-2</v>
      </c>
      <c r="L624" s="250">
        <f t="shared" si="120"/>
        <v>147.56660548417599</v>
      </c>
      <c r="M624" s="250">
        <f t="shared" si="121"/>
        <v>145.88226568101464</v>
      </c>
      <c r="N624" s="250">
        <f t="shared" si="122"/>
        <v>103.72461852697343</v>
      </c>
      <c r="O624" s="248">
        <f t="shared" si="123"/>
        <v>1.1545884589182265E-2</v>
      </c>
      <c r="P624" s="247">
        <f t="shared" si="124"/>
        <v>0.4226767722052529</v>
      </c>
      <c r="Q624" s="251">
        <f t="shared" si="131"/>
        <v>1.4756660548417573</v>
      </c>
      <c r="R624" s="251">
        <f t="shared" si="132"/>
        <v>1.6258412592468956</v>
      </c>
      <c r="S624" s="251">
        <f t="shared" si="133"/>
        <v>-9.2367691834011389E-2</v>
      </c>
      <c r="T624" s="252">
        <f>C624*'1. Share_Price_Analysis'!$E$11+T623*(1-'1. Share_Price_Analysis'!$E$11)</f>
        <v>254.96288888421535</v>
      </c>
      <c r="U624" s="253">
        <f t="shared" si="134"/>
        <v>258.09988041444717</v>
      </c>
    </row>
    <row r="625" spans="2:21" x14ac:dyDescent="0.2">
      <c r="B625" s="245">
        <v>45807</v>
      </c>
      <c r="C625" s="246">
        <v>265.07</v>
      </c>
      <c r="D625" s="246">
        <v>589.39</v>
      </c>
      <c r="E625" s="246">
        <v>43.17</v>
      </c>
      <c r="F625" s="248">
        <f t="shared" si="125"/>
        <v>-9.046021635068513E-4</v>
      </c>
      <c r="G625" s="248">
        <f t="shared" si="126"/>
        <v>-1.1185492754850479E-3</v>
      </c>
      <c r="H625" s="248">
        <f t="shared" si="127"/>
        <v>1.1583458820818571E-4</v>
      </c>
      <c r="I625" s="249">
        <f t="shared" si="128"/>
        <v>0.47433116413593379</v>
      </c>
      <c r="J625" s="249">
        <f t="shared" si="129"/>
        <v>0.45719089178430705</v>
      </c>
      <c r="K625" s="249">
        <f t="shared" si="130"/>
        <v>3.7366334254475664E-2</v>
      </c>
      <c r="L625" s="250">
        <f t="shared" si="120"/>
        <v>147.43311641359364</v>
      </c>
      <c r="M625" s="250">
        <f t="shared" si="121"/>
        <v>145.71908917843101</v>
      </c>
      <c r="N625" s="250">
        <f t="shared" si="122"/>
        <v>103.73663342544755</v>
      </c>
      <c r="O625" s="248">
        <f t="shared" si="123"/>
        <v>1.1762544254334983E-2</v>
      </c>
      <c r="P625" s="247">
        <f t="shared" si="124"/>
        <v>0.42122518868466252</v>
      </c>
      <c r="Q625" s="251">
        <f t="shared" si="131"/>
        <v>1.4743311641359338</v>
      </c>
      <c r="R625" s="251">
        <f t="shared" si="132"/>
        <v>1.6258412592468956</v>
      </c>
      <c r="S625" s="251">
        <f t="shared" si="133"/>
        <v>-9.318873798364713E-2</v>
      </c>
      <c r="T625" s="252">
        <f>C625*'1. Share_Price_Analysis'!$E$11+T624*(1-'1. Share_Price_Analysis'!$E$11)</f>
        <v>255.06345715402418</v>
      </c>
      <c r="U625" s="253">
        <f t="shared" si="134"/>
        <v>258.37321843741</v>
      </c>
    </row>
    <row r="626" spans="2:21" x14ac:dyDescent="0.2">
      <c r="B626" s="245">
        <v>45810</v>
      </c>
      <c r="C626" s="246">
        <v>263.38</v>
      </c>
      <c r="D626" s="246">
        <v>592.71</v>
      </c>
      <c r="E626" s="246">
        <v>43.424999999999997</v>
      </c>
      <c r="F626" s="248">
        <f t="shared" si="125"/>
        <v>-6.3756743501716118E-3</v>
      </c>
      <c r="G626" s="248">
        <f t="shared" si="126"/>
        <v>5.6329425338061956E-3</v>
      </c>
      <c r="H626" s="248">
        <f t="shared" si="127"/>
        <v>5.9068797776231641E-3</v>
      </c>
      <c r="I626" s="249">
        <f t="shared" si="128"/>
        <v>0.46493130874909361</v>
      </c>
      <c r="J626" s="249">
        <f t="shared" si="129"/>
        <v>0.4653991643385138</v>
      </c>
      <c r="K626" s="249">
        <f t="shared" si="130"/>
        <v>4.3493932476270425E-2</v>
      </c>
      <c r="L626" s="250">
        <f t="shared" si="120"/>
        <v>146.49313087490964</v>
      </c>
      <c r="M626" s="250">
        <f t="shared" si="121"/>
        <v>146.53991643385172</v>
      </c>
      <c r="N626" s="250">
        <f t="shared" si="122"/>
        <v>104.34939324762705</v>
      </c>
      <c r="O626" s="248">
        <f t="shared" si="123"/>
        <v>-3.1926836100759637E-4</v>
      </c>
      <c r="P626" s="247">
        <f t="shared" si="124"/>
        <v>0.40387142000215404</v>
      </c>
      <c r="Q626" s="251">
        <f t="shared" si="131"/>
        <v>1.4649313087490936</v>
      </c>
      <c r="R626" s="251">
        <f t="shared" si="132"/>
        <v>1.6258412592468956</v>
      </c>
      <c r="S626" s="251">
        <f t="shared" si="133"/>
        <v>-9.897027128733149E-2</v>
      </c>
      <c r="T626" s="252">
        <f>C626*'1. Share_Price_Analysis'!$E$11+T625*(1-'1. Share_Price_Analysis'!$E$11)</f>
        <v>255.1462088241334</v>
      </c>
      <c r="U626" s="253">
        <f t="shared" si="134"/>
        <v>258.56956281241355</v>
      </c>
    </row>
    <row r="627" spans="2:21" x14ac:dyDescent="0.2">
      <c r="B627" s="245">
        <v>45811</v>
      </c>
      <c r="C627" s="246">
        <v>264.94</v>
      </c>
      <c r="D627" s="246">
        <v>596.09</v>
      </c>
      <c r="E627" s="246">
        <v>43.87</v>
      </c>
      <c r="F627" s="248">
        <f t="shared" si="125"/>
        <v>5.9230009871669154E-3</v>
      </c>
      <c r="G627" s="248">
        <f t="shared" si="126"/>
        <v>5.7026201683791911E-3</v>
      </c>
      <c r="H627" s="248">
        <f t="shared" si="127"/>
        <v>1.0247553252734631E-2</v>
      </c>
      <c r="I627" s="249">
        <f t="shared" si="128"/>
        <v>0.47360809833694617</v>
      </c>
      <c r="J627" s="249">
        <f t="shared" si="129"/>
        <v>0.47375577916779665</v>
      </c>
      <c r="K627" s="249">
        <f t="shared" si="130"/>
        <v>5.4187192118226424E-2</v>
      </c>
      <c r="L627" s="250">
        <f t="shared" si="120"/>
        <v>147.36080983369487</v>
      </c>
      <c r="M627" s="250">
        <f t="shared" si="121"/>
        <v>147.37557791677997</v>
      </c>
      <c r="N627" s="250">
        <f t="shared" si="122"/>
        <v>105.41871921182265</v>
      </c>
      <c r="O627" s="248">
        <f t="shared" si="123"/>
        <v>-1.0020712586034097E-4</v>
      </c>
      <c r="P627" s="247">
        <f t="shared" si="124"/>
        <v>0.39786188767476682</v>
      </c>
      <c r="Q627" s="251">
        <f t="shared" si="131"/>
        <v>1.4736080983369462</v>
      </c>
      <c r="R627" s="251">
        <f t="shared" si="132"/>
        <v>1.6258412592468956</v>
      </c>
      <c r="S627" s="251">
        <f t="shared" si="133"/>
        <v>-9.3633471314699679E-2</v>
      </c>
      <c r="T627" s="252">
        <f>C627*'1. Share_Price_Analysis'!$E$11+T626*(1-'1. Share_Price_Analysis'!$E$11)</f>
        <v>255.24365948259975</v>
      </c>
      <c r="U627" s="253">
        <f t="shared" si="134"/>
        <v>258.81938387859344</v>
      </c>
    </row>
    <row r="628" spans="2:21" x14ac:dyDescent="0.2">
      <c r="B628" s="245">
        <v>45812</v>
      </c>
      <c r="C628" s="246">
        <v>266.08</v>
      </c>
      <c r="D628" s="246">
        <v>595.92999999999995</v>
      </c>
      <c r="E628" s="246">
        <v>44.034999999999997</v>
      </c>
      <c r="F628" s="248">
        <f t="shared" si="125"/>
        <v>4.3028610251376609E-3</v>
      </c>
      <c r="G628" s="248">
        <f t="shared" si="126"/>
        <v>-2.6841584324532874E-4</v>
      </c>
      <c r="H628" s="248">
        <f t="shared" si="127"/>
        <v>3.7611123774790034E-3</v>
      </c>
      <c r="I628" s="249">
        <f t="shared" si="128"/>
        <v>0.47994882918960746</v>
      </c>
      <c r="J628" s="249">
        <f t="shared" si="129"/>
        <v>0.47336019976759358</v>
      </c>
      <c r="K628" s="249">
        <f t="shared" si="130"/>
        <v>5.8152108614682119E-2</v>
      </c>
      <c r="L628" s="250">
        <f t="shared" si="120"/>
        <v>147.99488291896103</v>
      </c>
      <c r="M628" s="250">
        <f t="shared" si="121"/>
        <v>147.3360199767597</v>
      </c>
      <c r="N628" s="250">
        <f t="shared" si="122"/>
        <v>105.81521086146822</v>
      </c>
      <c r="O628" s="248">
        <f t="shared" si="123"/>
        <v>4.4718388775895068E-3</v>
      </c>
      <c r="P628" s="247">
        <f t="shared" si="124"/>
        <v>0.39861633988249157</v>
      </c>
      <c r="Q628" s="251">
        <f t="shared" si="131"/>
        <v>1.4799488291896075</v>
      </c>
      <c r="R628" s="251">
        <f t="shared" si="132"/>
        <v>1.6258412592468956</v>
      </c>
      <c r="S628" s="251">
        <f t="shared" si="133"/>
        <v>-8.9733502103930385E-2</v>
      </c>
      <c r="T628" s="252">
        <f>C628*'1. Share_Price_Analysis'!$E$11+T627*(1-'1. Share_Price_Analysis'!$E$11)</f>
        <v>255.35148376635499</v>
      </c>
      <c r="U628" s="253">
        <f t="shared" si="134"/>
        <v>259.10411392257015</v>
      </c>
    </row>
    <row r="629" spans="2:21" x14ac:dyDescent="0.2">
      <c r="B629" s="245">
        <v>45813</v>
      </c>
      <c r="C629" s="246">
        <v>265.67</v>
      </c>
      <c r="D629" s="246">
        <v>593.04999999999995</v>
      </c>
      <c r="E629" s="246">
        <v>43.774999999999999</v>
      </c>
      <c r="F629" s="248">
        <f t="shared" si="125"/>
        <v>-1.5408899579072433E-3</v>
      </c>
      <c r="G629" s="248">
        <f t="shared" si="126"/>
        <v>-4.8327823737687181E-3</v>
      </c>
      <c r="H629" s="248">
        <f t="shared" si="127"/>
        <v>-5.9043942318609544E-3</v>
      </c>
      <c r="I629" s="249">
        <f t="shared" si="128"/>
        <v>0.47766839090049262</v>
      </c>
      <c r="J629" s="249">
        <f t="shared" si="129"/>
        <v>0.4662397705639445</v>
      </c>
      <c r="K629" s="249">
        <f t="shared" si="130"/>
        <v>5.1904361408146027E-2</v>
      </c>
      <c r="L629" s="250">
        <f t="shared" si="120"/>
        <v>147.7668390900495</v>
      </c>
      <c r="M629" s="250">
        <f t="shared" si="121"/>
        <v>146.62397705639475</v>
      </c>
      <c r="N629" s="250">
        <f t="shared" si="122"/>
        <v>105.1904361408146</v>
      </c>
      <c r="O629" s="248">
        <f t="shared" si="123"/>
        <v>7.7945098516543077E-3</v>
      </c>
      <c r="P629" s="247">
        <f t="shared" si="124"/>
        <v>0.40475545602110796</v>
      </c>
      <c r="Q629" s="251">
        <f t="shared" si="131"/>
        <v>1.4776683909004926</v>
      </c>
      <c r="R629" s="251">
        <f t="shared" si="132"/>
        <v>1.6258412592468956</v>
      </c>
      <c r="S629" s="251">
        <f t="shared" si="133"/>
        <v>-9.1136122609557835E-2</v>
      </c>
      <c r="T629" s="252">
        <f>C629*'1. Share_Price_Analysis'!$E$11+T628*(1-'1. Share_Price_Analysis'!$E$11)</f>
        <v>255.45415556967487</v>
      </c>
      <c r="U629" s="253">
        <f t="shared" si="134"/>
        <v>259.36159965109681</v>
      </c>
    </row>
    <row r="630" spans="2:21" x14ac:dyDescent="0.2">
      <c r="B630" s="245">
        <v>45814</v>
      </c>
      <c r="C630" s="246">
        <v>264.81</v>
      </c>
      <c r="D630" s="246">
        <v>599.14</v>
      </c>
      <c r="E630" s="246">
        <v>43.89</v>
      </c>
      <c r="F630" s="248">
        <f t="shared" si="125"/>
        <v>-3.2370986562276771E-3</v>
      </c>
      <c r="G630" s="248">
        <f t="shared" si="126"/>
        <v>1.0268948655256738E-2</v>
      </c>
      <c r="H630" s="248">
        <f t="shared" si="127"/>
        <v>2.6270702455739592E-3</v>
      </c>
      <c r="I630" s="249">
        <f t="shared" si="128"/>
        <v>0.47288503253795855</v>
      </c>
      <c r="J630" s="249">
        <f t="shared" si="129"/>
        <v>0.48129651148416097</v>
      </c>
      <c r="K630" s="249">
        <f t="shared" si="130"/>
        <v>5.4667788057190858E-2</v>
      </c>
      <c r="L630" s="250">
        <f t="shared" si="120"/>
        <v>147.28850325379611</v>
      </c>
      <c r="M630" s="250">
        <f t="shared" si="121"/>
        <v>148.12965114841643</v>
      </c>
      <c r="N630" s="250">
        <f t="shared" si="122"/>
        <v>105.46677880571909</v>
      </c>
      <c r="O630" s="248">
        <f t="shared" si="123"/>
        <v>-5.6784572710393277E-3</v>
      </c>
      <c r="P630" s="247">
        <f t="shared" si="124"/>
        <v>0.39653931713527335</v>
      </c>
      <c r="Q630" s="251">
        <f t="shared" si="131"/>
        <v>1.4728850325379585</v>
      </c>
      <c r="R630" s="251">
        <f t="shared" si="132"/>
        <v>1.6258412592468956</v>
      </c>
      <c r="S630" s="251">
        <f t="shared" si="133"/>
        <v>-9.4078204645752339E-2</v>
      </c>
      <c r="T630" s="252">
        <f>C630*'1. Share_Price_Analysis'!$E$11+T629*(1-'1. Share_Price_Analysis'!$E$11)</f>
        <v>255.5472485490811</v>
      </c>
      <c r="U630" s="253">
        <f t="shared" si="134"/>
        <v>259.57526240987733</v>
      </c>
    </row>
    <row r="631" spans="2:21" x14ac:dyDescent="0.2">
      <c r="B631" s="245">
        <v>45817</v>
      </c>
      <c r="C631" s="246">
        <v>266</v>
      </c>
      <c r="D631" s="246">
        <v>599.67999999999995</v>
      </c>
      <c r="E631" s="246">
        <v>44.185000000000002</v>
      </c>
      <c r="F631" s="248">
        <f t="shared" si="125"/>
        <v>4.4937879989426222E-3</v>
      </c>
      <c r="G631" s="248">
        <f t="shared" si="126"/>
        <v>9.0129185165399583E-4</v>
      </c>
      <c r="H631" s="248">
        <f t="shared" si="127"/>
        <v>6.7213488266120169E-3</v>
      </c>
      <c r="I631" s="249">
        <f t="shared" si="128"/>
        <v>0.47950386562099978</v>
      </c>
      <c r="J631" s="249">
        <f t="shared" si="129"/>
        <v>0.48263159195984517</v>
      </c>
      <c r="K631" s="249">
        <f t="shared" si="130"/>
        <v>6.1756578156914488E-2</v>
      </c>
      <c r="L631" s="250">
        <f t="shared" si="120"/>
        <v>147.95038656210025</v>
      </c>
      <c r="M631" s="250">
        <f t="shared" si="121"/>
        <v>148.26315919598485</v>
      </c>
      <c r="N631" s="250">
        <f t="shared" si="122"/>
        <v>106.17565781569145</v>
      </c>
      <c r="O631" s="248">
        <f t="shared" si="123"/>
        <v>-2.1095775618209522E-3</v>
      </c>
      <c r="P631" s="247">
        <f t="shared" si="124"/>
        <v>0.39344921054244453</v>
      </c>
      <c r="Q631" s="251">
        <f t="shared" si="131"/>
        <v>1.4795038656209998</v>
      </c>
      <c r="R631" s="251">
        <f t="shared" si="132"/>
        <v>1.6258412592468956</v>
      </c>
      <c r="S631" s="251">
        <f t="shared" si="133"/>
        <v>-9.0007184153808817E-2</v>
      </c>
      <c r="T631" s="252">
        <f>C631*'1. Share_Price_Analysis'!$E$11+T630*(1-'1. Share_Price_Analysis'!$E$11)</f>
        <v>255.65125602620469</v>
      </c>
      <c r="U631" s="253">
        <f t="shared" si="134"/>
        <v>259.82721290360763</v>
      </c>
    </row>
    <row r="632" spans="2:21" x14ac:dyDescent="0.2">
      <c r="B632" s="245">
        <v>45818</v>
      </c>
      <c r="C632" s="246">
        <v>265.10000000000002</v>
      </c>
      <c r="D632" s="246">
        <v>603.08000000000004</v>
      </c>
      <c r="E632" s="246">
        <v>44.46</v>
      </c>
      <c r="F632" s="248">
        <f t="shared" si="125"/>
        <v>-3.3834586466164884E-3</v>
      </c>
      <c r="G632" s="248">
        <f t="shared" si="126"/>
        <v>5.6696905016009325E-3</v>
      </c>
      <c r="H632" s="248">
        <f t="shared" si="127"/>
        <v>6.2238316170646346E-3</v>
      </c>
      <c r="I632" s="249">
        <f t="shared" si="128"/>
        <v>0.47449802547416198</v>
      </c>
      <c r="J632" s="249">
        <f t="shared" si="129"/>
        <v>0.49103765421415346</v>
      </c>
      <c r="K632" s="249">
        <f t="shared" si="130"/>
        <v>6.8364772317673905E-2</v>
      </c>
      <c r="L632" s="250">
        <f t="shared" si="120"/>
        <v>147.44980254741645</v>
      </c>
      <c r="M632" s="250">
        <f t="shared" si="121"/>
        <v>149.10376542141569</v>
      </c>
      <c r="N632" s="250">
        <f t="shared" si="122"/>
        <v>106.83647723176739</v>
      </c>
      <c r="O632" s="248">
        <f t="shared" si="123"/>
        <v>-1.1092696883438946E-2</v>
      </c>
      <c r="P632" s="247">
        <f t="shared" si="124"/>
        <v>0.38014474426691969</v>
      </c>
      <c r="Q632" s="251">
        <f t="shared" si="131"/>
        <v>1.474498025474162</v>
      </c>
      <c r="R632" s="251">
        <f t="shared" si="132"/>
        <v>1.6258412592468956</v>
      </c>
      <c r="S632" s="251">
        <f t="shared" si="133"/>
        <v>-9.3086107214942482E-2</v>
      </c>
      <c r="T632" s="252">
        <f>C632*'1. Share_Price_Analysis'!$E$11+T631*(1-'1. Share_Price_Analysis'!$E$11)</f>
        <v>255.74527337917777</v>
      </c>
      <c r="U632" s="253">
        <f t="shared" si="134"/>
        <v>260.03398886817206</v>
      </c>
    </row>
    <row r="633" spans="2:21" x14ac:dyDescent="0.2">
      <c r="B633" s="245">
        <v>45819</v>
      </c>
      <c r="C633" s="246">
        <v>261.12</v>
      </c>
      <c r="D633" s="246">
        <v>601.36</v>
      </c>
      <c r="E633" s="246">
        <v>44.02</v>
      </c>
      <c r="F633" s="248">
        <f t="shared" si="125"/>
        <v>-1.5013202565069883E-2</v>
      </c>
      <c r="G633" s="248">
        <f t="shared" si="126"/>
        <v>-2.852026265172114E-3</v>
      </c>
      <c r="H633" s="248">
        <f t="shared" si="127"/>
        <v>-9.8965362123256684E-3</v>
      </c>
      <c r="I633" s="249">
        <f t="shared" si="128"/>
        <v>0.45236108793592278</v>
      </c>
      <c r="J633" s="249">
        <f t="shared" si="129"/>
        <v>0.4867851756619741</v>
      </c>
      <c r="K633" s="249">
        <f t="shared" si="130"/>
        <v>5.7791661660459015E-2</v>
      </c>
      <c r="L633" s="250">
        <f t="shared" si="120"/>
        <v>145.23610879359254</v>
      </c>
      <c r="M633" s="250">
        <f t="shared" si="121"/>
        <v>148.67851756619774</v>
      </c>
      <c r="N633" s="250">
        <f t="shared" si="122"/>
        <v>105.7791661660459</v>
      </c>
      <c r="O633" s="248">
        <f t="shared" si="123"/>
        <v>-2.3153370298250597E-2</v>
      </c>
      <c r="P633" s="247">
        <f t="shared" si="124"/>
        <v>0.37301241877449853</v>
      </c>
      <c r="Q633" s="251">
        <f t="shared" si="131"/>
        <v>1.4523610879359228</v>
      </c>
      <c r="R633" s="251">
        <f t="shared" si="132"/>
        <v>1.6258412592468956</v>
      </c>
      <c r="S633" s="251">
        <f t="shared" si="133"/>
        <v>-0.10670178919640061</v>
      </c>
      <c r="T633" s="252">
        <f>C633*'1. Share_Price_Analysis'!$E$11+T632*(1-'1. Share_Price_Analysis'!$E$11)</f>
        <v>255.79875324605163</v>
      </c>
      <c r="U633" s="253">
        <f t="shared" si="134"/>
        <v>260.07657754000843</v>
      </c>
    </row>
    <row r="634" spans="2:21" x14ac:dyDescent="0.2">
      <c r="B634" s="245">
        <v>45820</v>
      </c>
      <c r="C634" s="246">
        <v>265.52999999999997</v>
      </c>
      <c r="D634" s="246">
        <v>603.75</v>
      </c>
      <c r="E634" s="246">
        <v>44.204999999999998</v>
      </c>
      <c r="F634" s="248">
        <f t="shared" si="125"/>
        <v>1.6888786764705843E-2</v>
      </c>
      <c r="G634" s="248">
        <f t="shared" si="126"/>
        <v>3.9743248636423534E-3</v>
      </c>
      <c r="H634" s="248">
        <f t="shared" si="127"/>
        <v>4.2026351658335237E-3</v>
      </c>
      <c r="I634" s="249">
        <f t="shared" si="128"/>
        <v>0.47688970465542879</v>
      </c>
      <c r="J634" s="249">
        <f t="shared" si="129"/>
        <v>0.49269414295250225</v>
      </c>
      <c r="K634" s="249">
        <f t="shared" si="130"/>
        <v>6.22371740958787E-2</v>
      </c>
      <c r="L634" s="250">
        <f t="shared" si="120"/>
        <v>147.68897046554312</v>
      </c>
      <c r="M634" s="250">
        <f t="shared" si="121"/>
        <v>149.26941429525056</v>
      </c>
      <c r="N634" s="250">
        <f t="shared" si="122"/>
        <v>106.22371740958786</v>
      </c>
      <c r="O634" s="248">
        <f t="shared" si="123"/>
        <v>-1.058786113129162E-2</v>
      </c>
      <c r="P634" s="247">
        <f t="shared" si="124"/>
        <v>0.3903577662987372</v>
      </c>
      <c r="Q634" s="251">
        <f t="shared" si="131"/>
        <v>1.4768897046554288</v>
      </c>
      <c r="R634" s="251">
        <f t="shared" si="132"/>
        <v>1.6258412592468956</v>
      </c>
      <c r="S634" s="251">
        <f t="shared" si="133"/>
        <v>-9.1615066196845341E-2</v>
      </c>
      <c r="T634" s="252">
        <f>C634*'1. Share_Price_Analysis'!$E$11+T633*(1-'1. Share_Price_Analysis'!$E$11)</f>
        <v>255.8955815719616</v>
      </c>
      <c r="U634" s="253">
        <f t="shared" si="134"/>
        <v>260.29043724432182</v>
      </c>
    </row>
    <row r="635" spans="2:21" x14ac:dyDescent="0.2">
      <c r="B635" s="245">
        <v>45821</v>
      </c>
      <c r="C635" s="246">
        <v>260.77</v>
      </c>
      <c r="D635" s="246">
        <v>597</v>
      </c>
      <c r="E635" s="246">
        <v>43.69</v>
      </c>
      <c r="F635" s="248">
        <f t="shared" si="125"/>
        <v>-1.7926411328286762E-2</v>
      </c>
      <c r="G635" s="248">
        <f t="shared" si="126"/>
        <v>-1.1180124223602483E-2</v>
      </c>
      <c r="H635" s="248">
        <f t="shared" si="127"/>
        <v>-1.1650265807035431E-2</v>
      </c>
      <c r="I635" s="249">
        <f t="shared" si="128"/>
        <v>0.45041437232326365</v>
      </c>
      <c r="J635" s="249">
        <f t="shared" si="129"/>
        <v>0.47600563700644938</v>
      </c>
      <c r="K635" s="249">
        <f t="shared" si="130"/>
        <v>4.9861828667547625E-2</v>
      </c>
      <c r="L635" s="250">
        <f t="shared" si="120"/>
        <v>145.04143723232662</v>
      </c>
      <c r="M635" s="250">
        <f t="shared" si="121"/>
        <v>147.60056370064527</v>
      </c>
      <c r="N635" s="250">
        <f t="shared" si="122"/>
        <v>104.98618286675476</v>
      </c>
      <c r="O635" s="248">
        <f t="shared" si="123"/>
        <v>-1.7338188988958336E-2</v>
      </c>
      <c r="P635" s="247">
        <f t="shared" si="124"/>
        <v>0.38152881904858371</v>
      </c>
      <c r="Q635" s="251">
        <f t="shared" si="131"/>
        <v>1.4504143723232636</v>
      </c>
      <c r="R635" s="251">
        <f t="shared" si="132"/>
        <v>1.6258412592468956</v>
      </c>
      <c r="S635" s="251">
        <f t="shared" si="133"/>
        <v>-0.10789914816461932</v>
      </c>
      <c r="T635" s="252">
        <f>C635*'1. Share_Price_Analysis'!$E$11+T634*(1-'1. Share_Price_Analysis'!$E$11)</f>
        <v>255.94408324786249</v>
      </c>
      <c r="U635" s="253">
        <f t="shared" si="134"/>
        <v>260.30924362689746</v>
      </c>
    </row>
    <row r="636" spans="2:21" x14ac:dyDescent="0.2">
      <c r="B636" s="245">
        <v>45824</v>
      </c>
      <c r="C636" s="246">
        <v>261.18</v>
      </c>
      <c r="D636" s="246">
        <v>602.67999999999995</v>
      </c>
      <c r="E636" s="246">
        <v>44.06</v>
      </c>
      <c r="F636" s="248">
        <f t="shared" si="125"/>
        <v>1.5722667484756592E-3</v>
      </c>
      <c r="G636" s="248">
        <f t="shared" si="126"/>
        <v>9.5142378559462948E-3</v>
      </c>
      <c r="H636" s="248">
        <f t="shared" si="127"/>
        <v>8.468757152666706E-3</v>
      </c>
      <c r="I636" s="249">
        <f t="shared" si="128"/>
        <v>0.45269481061237871</v>
      </c>
      <c r="J636" s="249">
        <f t="shared" si="129"/>
        <v>0.49004870571364623</v>
      </c>
      <c r="K636" s="249">
        <f t="shared" si="130"/>
        <v>5.8752853538387662E-2</v>
      </c>
      <c r="L636" s="250">
        <f t="shared" si="120"/>
        <v>145.26948106123811</v>
      </c>
      <c r="M636" s="250">
        <f t="shared" si="121"/>
        <v>149.00487057136499</v>
      </c>
      <c r="N636" s="250">
        <f t="shared" si="122"/>
        <v>105.87528535383876</v>
      </c>
      <c r="O636" s="248">
        <f t="shared" si="123"/>
        <v>-2.506890879340562E-2</v>
      </c>
      <c r="P636" s="247">
        <f t="shared" si="124"/>
        <v>0.37208112899759738</v>
      </c>
      <c r="Q636" s="251">
        <f t="shared" si="131"/>
        <v>1.4526948106123787</v>
      </c>
      <c r="R636" s="251">
        <f t="shared" si="132"/>
        <v>1.6258412592468956</v>
      </c>
      <c r="S636" s="251">
        <f t="shared" si="133"/>
        <v>-0.10649652765899165</v>
      </c>
      <c r="T636" s="252">
        <f>C636*'1. Share_Price_Analysis'!$E$11+T635*(1-'1. Share_Price_Analysis'!$E$11)</f>
        <v>255.99618192201311</v>
      </c>
      <c r="U636" s="253">
        <f t="shared" si="134"/>
        <v>260.3433909356466</v>
      </c>
    </row>
    <row r="637" spans="2:21" x14ac:dyDescent="0.2">
      <c r="B637" s="245">
        <v>45825</v>
      </c>
      <c r="C637" s="246">
        <v>259.04000000000002</v>
      </c>
      <c r="D637" s="246">
        <v>597.53</v>
      </c>
      <c r="E637" s="246">
        <v>43.63</v>
      </c>
      <c r="F637" s="248">
        <f t="shared" si="125"/>
        <v>-8.1935829695994888E-3</v>
      </c>
      <c r="G637" s="248">
        <f t="shared" si="126"/>
        <v>-8.5451649299793653E-3</v>
      </c>
      <c r="H637" s="248">
        <f t="shared" si="127"/>
        <v>-9.7594189741261328E-3</v>
      </c>
      <c r="I637" s="249">
        <f t="shared" si="128"/>
        <v>0.44079203515211951</v>
      </c>
      <c r="J637" s="249">
        <f t="shared" si="129"/>
        <v>0.47731599376962075</v>
      </c>
      <c r="K637" s="249">
        <f t="shared" si="130"/>
        <v>4.8420040850654988E-2</v>
      </c>
      <c r="L637" s="250">
        <f t="shared" si="120"/>
        <v>144.07920351521221</v>
      </c>
      <c r="M637" s="250">
        <f t="shared" si="121"/>
        <v>147.73159937696244</v>
      </c>
      <c r="N637" s="250">
        <f t="shared" si="122"/>
        <v>104.84200408506548</v>
      </c>
      <c r="O637" s="248">
        <f t="shared" si="123"/>
        <v>-2.4723186353857951E-2</v>
      </c>
      <c r="P637" s="247">
        <f t="shared" si="124"/>
        <v>0.37425075734254976</v>
      </c>
      <c r="Q637" s="251">
        <f t="shared" si="131"/>
        <v>1.4407920351521195</v>
      </c>
      <c r="R637" s="251">
        <f t="shared" si="132"/>
        <v>1.6258412592468956</v>
      </c>
      <c r="S637" s="251">
        <f t="shared" si="133"/>
        <v>-0.11381752249324306</v>
      </c>
      <c r="T637" s="252">
        <f>C637*'1. Share_Price_Analysis'!$E$11+T636*(1-'1. Share_Price_Analysis'!$E$11)</f>
        <v>256.02646866905775</v>
      </c>
      <c r="U637" s="253">
        <f t="shared" si="134"/>
        <v>260.29227756562125</v>
      </c>
    </row>
    <row r="638" spans="2:21" x14ac:dyDescent="0.2">
      <c r="B638" s="245">
        <v>45826</v>
      </c>
      <c r="C638" s="246">
        <v>258.14</v>
      </c>
      <c r="D638" s="246">
        <v>597.44000000000005</v>
      </c>
      <c r="E638" s="246">
        <v>43.505000000000003</v>
      </c>
      <c r="F638" s="248">
        <f t="shared" si="125"/>
        <v>-3.4743668931440652E-3</v>
      </c>
      <c r="G638" s="248">
        <f t="shared" si="126"/>
        <v>-1.506200525495105E-4</v>
      </c>
      <c r="H638" s="248">
        <f t="shared" si="127"/>
        <v>-2.8650011460004121E-3</v>
      </c>
      <c r="I638" s="249">
        <f t="shared" si="128"/>
        <v>0.43578619500528126</v>
      </c>
      <c r="J638" s="249">
        <f t="shared" si="129"/>
        <v>0.47709348035700683</v>
      </c>
      <c r="K638" s="249">
        <f t="shared" si="130"/>
        <v>4.5416316232128162E-2</v>
      </c>
      <c r="L638" s="250">
        <f t="shared" si="120"/>
        <v>143.57861950052839</v>
      </c>
      <c r="M638" s="250">
        <f t="shared" si="121"/>
        <v>147.70934803570103</v>
      </c>
      <c r="N638" s="250">
        <f t="shared" si="122"/>
        <v>104.54163162321279</v>
      </c>
      <c r="O638" s="248">
        <f t="shared" si="123"/>
        <v>-2.7965247901400092E-2</v>
      </c>
      <c r="P638" s="247">
        <f t="shared" si="124"/>
        <v>0.3734109298964432</v>
      </c>
      <c r="Q638" s="251">
        <f t="shared" si="131"/>
        <v>1.4357861950052813</v>
      </c>
      <c r="R638" s="251">
        <f t="shared" si="132"/>
        <v>1.6258412592468956</v>
      </c>
      <c r="S638" s="251">
        <f t="shared" si="133"/>
        <v>-0.11689644555437695</v>
      </c>
      <c r="T638" s="252">
        <f>C638*'1. Share_Price_Analysis'!$E$11+T637*(1-'1. Share_Price_Analysis'!$E$11)</f>
        <v>256.04749883155472</v>
      </c>
      <c r="U638" s="253">
        <f t="shared" si="134"/>
        <v>260.20787452383217</v>
      </c>
    </row>
    <row r="639" spans="2:21" x14ac:dyDescent="0.2">
      <c r="B639" s="245">
        <v>45828</v>
      </c>
      <c r="C639" s="246">
        <v>255.94</v>
      </c>
      <c r="D639" s="246">
        <v>594.28</v>
      </c>
      <c r="E639" s="246">
        <v>43.21</v>
      </c>
      <c r="F639" s="248">
        <f t="shared" si="125"/>
        <v>-8.5225071666537033E-3</v>
      </c>
      <c r="G639" s="248">
        <f t="shared" si="126"/>
        <v>-5.2892340653456493E-3</v>
      </c>
      <c r="H639" s="248">
        <f t="shared" si="127"/>
        <v>-6.7808297896794212E-3</v>
      </c>
      <c r="I639" s="249">
        <f t="shared" si="128"/>
        <v>0.42354969686856636</v>
      </c>
      <c r="J639" s="249">
        <f t="shared" si="129"/>
        <v>0.46928078720300248</v>
      </c>
      <c r="K639" s="249">
        <f t="shared" si="130"/>
        <v>3.8327526132404532E-2</v>
      </c>
      <c r="L639" s="250">
        <f t="shared" si="120"/>
        <v>142.35496968685689</v>
      </c>
      <c r="M639" s="250">
        <f t="shared" si="121"/>
        <v>146.92807872030062</v>
      </c>
      <c r="N639" s="250">
        <f t="shared" si="122"/>
        <v>103.83275261324042</v>
      </c>
      <c r="O639" s="248">
        <f t="shared" si="123"/>
        <v>-3.1124813400365881E-2</v>
      </c>
      <c r="P639" s="247">
        <f t="shared" si="124"/>
        <v>0.37100256040697444</v>
      </c>
      <c r="Q639" s="251">
        <f t="shared" si="131"/>
        <v>1.4235496968685664</v>
      </c>
      <c r="R639" s="251">
        <f t="shared" si="132"/>
        <v>1.6258412592468956</v>
      </c>
      <c r="S639" s="251">
        <f t="shared" si="133"/>
        <v>-0.1244227019260371</v>
      </c>
      <c r="T639" s="252">
        <f>C639*'1. Share_Price_Analysis'!$E$11+T638*(1-'1. Share_Price_Analysis'!$E$11)</f>
        <v>256.04642919143976</v>
      </c>
      <c r="U639" s="253">
        <f t="shared" si="134"/>
        <v>260.04050689544664</v>
      </c>
    </row>
    <row r="640" spans="2:21" x14ac:dyDescent="0.2">
      <c r="B640" s="245">
        <v>45831</v>
      </c>
      <c r="C640" s="246">
        <v>261.04000000000002</v>
      </c>
      <c r="D640" s="246">
        <v>600.15</v>
      </c>
      <c r="E640" s="246">
        <v>43.47</v>
      </c>
      <c r="F640" s="248">
        <f t="shared" si="125"/>
        <v>1.9926545284051134E-2</v>
      </c>
      <c r="G640" s="248">
        <f t="shared" si="126"/>
        <v>9.8774988221039806E-3</v>
      </c>
      <c r="H640" s="248">
        <f t="shared" si="127"/>
        <v>6.0171256653551719E-3</v>
      </c>
      <c r="I640" s="249">
        <f t="shared" si="128"/>
        <v>0.4519161243673151</v>
      </c>
      <c r="J640" s="249">
        <f t="shared" si="129"/>
        <v>0.48379360644794023</v>
      </c>
      <c r="K640" s="249">
        <f t="shared" si="130"/>
        <v>4.4575273338940624E-2</v>
      </c>
      <c r="L640" s="250">
        <f t="shared" ref="L640:L703" si="135">(C640/$C$64)*100</f>
        <v>145.19161243673176</v>
      </c>
      <c r="M640" s="250">
        <f t="shared" ref="M640:M703" si="136">(D640/$D$64)*100</f>
        <v>148.37936064479439</v>
      </c>
      <c r="N640" s="250">
        <f t="shared" ref="N640:N703" si="137">(E640/$E$64)*100</f>
        <v>104.45752733389402</v>
      </c>
      <c r="O640" s="248">
        <f t="shared" ref="O640:O703" si="138">(1+I640)/(1+J640)-1</f>
        <v>-2.1483771019162656E-2</v>
      </c>
      <c r="P640" s="247">
        <f t="shared" ref="P640:P703" si="139">(1+I640)/(1+K640)-1</f>
        <v>0.38995835094423281</v>
      </c>
      <c r="Q640" s="251">
        <f t="shared" si="131"/>
        <v>1.4519161243673151</v>
      </c>
      <c r="R640" s="251">
        <f t="shared" si="132"/>
        <v>1.6258412592468956</v>
      </c>
      <c r="S640" s="251">
        <f t="shared" si="133"/>
        <v>-0.10697547124627915</v>
      </c>
      <c r="T640" s="252">
        <f>C640*'1. Share_Price_Analysis'!$E$11+T639*(1-'1. Share_Price_Analysis'!$E$11)</f>
        <v>256.09611646316677</v>
      </c>
      <c r="U640" s="253">
        <f t="shared" si="134"/>
        <v>260.07970270346834</v>
      </c>
    </row>
    <row r="641" spans="2:21" x14ac:dyDescent="0.2">
      <c r="B641" s="245">
        <v>45832</v>
      </c>
      <c r="C641" s="246">
        <v>264.48</v>
      </c>
      <c r="D641" s="246">
        <v>606.78</v>
      </c>
      <c r="E641" s="246">
        <v>43.83</v>
      </c>
      <c r="F641" s="248">
        <f t="shared" ref="F641:F704" si="140">C641/C640-1</f>
        <v>1.3178057002758203E-2</v>
      </c>
      <c r="G641" s="248">
        <f t="shared" ref="G641:G704" si="141">D641/D640 - 1</f>
        <v>1.104723819045228E-2</v>
      </c>
      <c r="H641" s="248">
        <f t="shared" ref="H641:H704" si="142">E641/E640 - 1</f>
        <v>8.2815734989647449E-3</v>
      </c>
      <c r="I641" s="249">
        <f t="shared" ref="I641:I704" si="143">(1+F641)*(1+I640)-1</f>
        <v>0.47104955781745139</v>
      </c>
      <c r="J641" s="249">
        <f t="shared" ref="J641:J704" si="144">(1+G641)*(1+J640)-1</f>
        <v>0.5001854278438409</v>
      </c>
      <c r="K641" s="249">
        <f t="shared" ref="K641:K704" si="145">(1+H641)*(1+K640)-1</f>
        <v>5.3226000240298221E-2</v>
      </c>
      <c r="L641" s="250">
        <f t="shared" si="135"/>
        <v>147.10495578174539</v>
      </c>
      <c r="M641" s="250">
        <f t="shared" si="136"/>
        <v>150.01854278438449</v>
      </c>
      <c r="N641" s="250">
        <f t="shared" si="137"/>
        <v>105.32260002402978</v>
      </c>
      <c r="O641" s="248">
        <f t="shared" si="138"/>
        <v>-1.9421512491469395E-2</v>
      </c>
      <c r="P641" s="247">
        <f t="shared" si="139"/>
        <v>0.39670835839774643</v>
      </c>
      <c r="Q641" s="251">
        <f t="shared" ref="Q641:Q704" si="146">Q640*(1+F641)</f>
        <v>1.4710495578174514</v>
      </c>
      <c r="R641" s="251">
        <f t="shared" ref="R641:R704" si="147">MAX(Q641,R640)</f>
        <v>1.6258412592468956</v>
      </c>
      <c r="S641" s="251">
        <f t="shared" ref="S641:S704" si="148">Q641/R641-1</f>
        <v>-9.5207143101501246E-2</v>
      </c>
      <c r="T641" s="252">
        <f>C641*'1. Share_Price_Analysis'!$E$11+T640*(1-'1. Share_Price_Analysis'!$E$11)</f>
        <v>256.17953818990145</v>
      </c>
      <c r="U641" s="253">
        <f t="shared" ref="U641:U704" si="149">C641*$L$5+U640*(1-$L$5)</f>
        <v>260.25226338176373</v>
      </c>
    </row>
    <row r="642" spans="2:21" x14ac:dyDescent="0.2">
      <c r="B642" s="245">
        <v>45833</v>
      </c>
      <c r="C642" s="246">
        <v>254.64</v>
      </c>
      <c r="D642" s="246">
        <v>607.12</v>
      </c>
      <c r="E642" s="246">
        <v>43.41</v>
      </c>
      <c r="F642" s="248">
        <f t="shared" si="140"/>
        <v>-3.7205081669691609E-2</v>
      </c>
      <c r="G642" s="248">
        <f t="shared" si="141"/>
        <v>5.6033488249451757E-4</v>
      </c>
      <c r="H642" s="248">
        <f t="shared" si="142"/>
        <v>-9.5824777549623485E-3</v>
      </c>
      <c r="I642" s="249">
        <f t="shared" si="143"/>
        <v>0.41631903887868948</v>
      </c>
      <c r="J642" s="249">
        <f t="shared" si="144"/>
        <v>0.50102603406927182</v>
      </c>
      <c r="K642" s="249">
        <f t="shared" si="145"/>
        <v>4.3133485522047543E-2</v>
      </c>
      <c r="L642" s="250">
        <f t="shared" si="135"/>
        <v>141.63190388786916</v>
      </c>
      <c r="M642" s="250">
        <f t="shared" si="136"/>
        <v>150.10260340692759</v>
      </c>
      <c r="N642" s="250">
        <f t="shared" si="137"/>
        <v>104.31334855220472</v>
      </c>
      <c r="O642" s="248">
        <f t="shared" si="138"/>
        <v>-5.6432728858767489E-2</v>
      </c>
      <c r="P642" s="247">
        <f t="shared" si="139"/>
        <v>0.35775436081402101</v>
      </c>
      <c r="Q642" s="251">
        <f t="shared" si="146"/>
        <v>1.4163190388786895</v>
      </c>
      <c r="R642" s="251">
        <f t="shared" si="147"/>
        <v>1.6258412592468956</v>
      </c>
      <c r="S642" s="251">
        <f t="shared" si="148"/>
        <v>-0.12887003523656348</v>
      </c>
      <c r="T642" s="252">
        <f>C642*'1. Share_Price_Analysis'!$E$11+T641*(1-'1. Share_Price_Analysis'!$E$11)</f>
        <v>256.16421940194226</v>
      </c>
      <c r="U642" s="253">
        <f t="shared" si="149"/>
        <v>260.03217462169459</v>
      </c>
    </row>
    <row r="643" spans="2:21" x14ac:dyDescent="0.2">
      <c r="B643" s="245">
        <v>45834</v>
      </c>
      <c r="C643" s="246">
        <v>256.95999999999998</v>
      </c>
      <c r="D643" s="246">
        <v>611.87</v>
      </c>
      <c r="E643" s="246">
        <v>43.89</v>
      </c>
      <c r="F643" s="248">
        <f t="shared" si="140"/>
        <v>9.1109016650958718E-3</v>
      </c>
      <c r="G643" s="248">
        <f t="shared" si="141"/>
        <v>7.8238239557253397E-3</v>
      </c>
      <c r="H643" s="248">
        <f t="shared" si="142"/>
        <v>1.1057360055286791E-2</v>
      </c>
      <c r="I643" s="249">
        <f t="shared" si="143"/>
        <v>0.42922298236831624</v>
      </c>
      <c r="J643" s="249">
        <f t="shared" si="144"/>
        <v>0.51276979751279028</v>
      </c>
      <c r="K643" s="249">
        <f t="shared" si="145"/>
        <v>5.466778805719108E-2</v>
      </c>
      <c r="L643" s="250">
        <f t="shared" si="135"/>
        <v>142.92229823683184</v>
      </c>
      <c r="M643" s="250">
        <f t="shared" si="136"/>
        <v>151.27697975127944</v>
      </c>
      <c r="N643" s="250">
        <f t="shared" si="137"/>
        <v>105.46677880571909</v>
      </c>
      <c r="O643" s="248">
        <f t="shared" si="138"/>
        <v>-5.5227712294254494E-2</v>
      </c>
      <c r="P643" s="247">
        <f t="shared" si="139"/>
        <v>0.35514045138431238</v>
      </c>
      <c r="Q643" s="251">
        <f t="shared" si="146"/>
        <v>1.4292229823683162</v>
      </c>
      <c r="R643" s="251">
        <f t="shared" si="147"/>
        <v>1.6258412592468956</v>
      </c>
      <c r="S643" s="251">
        <f t="shared" si="148"/>
        <v>-0.1209332557900854</v>
      </c>
      <c r="T643" s="252">
        <f>C643*'1. Share_Price_Analysis'!$E$11+T642*(1-'1. Share_Price_Analysis'!$E$11)</f>
        <v>256.17213761684832</v>
      </c>
      <c r="U643" s="253">
        <f t="shared" si="149"/>
        <v>259.91169718554971</v>
      </c>
    </row>
    <row r="644" spans="2:21" x14ac:dyDescent="0.2">
      <c r="B644" s="245">
        <v>45835</v>
      </c>
      <c r="C644" s="246">
        <v>262.18</v>
      </c>
      <c r="D644" s="246">
        <v>614.91</v>
      </c>
      <c r="E644" s="246">
        <v>43.945</v>
      </c>
      <c r="F644" s="248">
        <f t="shared" si="140"/>
        <v>2.0314445828144567E-2</v>
      </c>
      <c r="G644" s="248">
        <f t="shared" si="141"/>
        <v>4.9683756353473552E-3</v>
      </c>
      <c r="H644" s="248">
        <f t="shared" si="142"/>
        <v>1.2531328320801727E-3</v>
      </c>
      <c r="I644" s="249">
        <f t="shared" si="143"/>
        <v>0.45825685521997661</v>
      </c>
      <c r="J644" s="249">
        <f t="shared" si="144"/>
        <v>0.52028580611664221</v>
      </c>
      <c r="K644" s="249">
        <f t="shared" si="145"/>
        <v>5.598942688934283E-2</v>
      </c>
      <c r="L644" s="250">
        <f t="shared" si="135"/>
        <v>145.82568552199791</v>
      </c>
      <c r="M644" s="250">
        <f t="shared" si="136"/>
        <v>152.02858061166461</v>
      </c>
      <c r="N644" s="250">
        <f t="shared" si="137"/>
        <v>105.59894268893429</v>
      </c>
      <c r="O644" s="248">
        <f t="shared" si="138"/>
        <v>-4.0800848529336631E-2</v>
      </c>
      <c r="P644" s="247">
        <f t="shared" si="139"/>
        <v>0.3809388788253345</v>
      </c>
      <c r="Q644" s="251">
        <f t="shared" si="146"/>
        <v>1.4582568552199766</v>
      </c>
      <c r="R644" s="251">
        <f t="shared" si="147"/>
        <v>1.6258412592468956</v>
      </c>
      <c r="S644" s="251">
        <f t="shared" si="148"/>
        <v>-0.10307550203550964</v>
      </c>
      <c r="T644" s="252">
        <f>C644*'1. Share_Price_Analysis'!$E$11+T643*(1-'1. Share_Price_Analysis'!$E$11)</f>
        <v>256.2319173420538</v>
      </c>
      <c r="U644" s="253">
        <f t="shared" si="149"/>
        <v>260.00065023709681</v>
      </c>
    </row>
    <row r="645" spans="2:21" x14ac:dyDescent="0.2">
      <c r="B645" s="245">
        <v>45838</v>
      </c>
      <c r="C645" s="246">
        <v>260.82</v>
      </c>
      <c r="D645" s="246">
        <v>617.85</v>
      </c>
      <c r="E645" s="246">
        <v>43.905000000000001</v>
      </c>
      <c r="F645" s="248">
        <f t="shared" si="140"/>
        <v>-5.1872759173087202E-3</v>
      </c>
      <c r="G645" s="248">
        <f t="shared" si="141"/>
        <v>4.7811874908523233E-3</v>
      </c>
      <c r="H645" s="248">
        <f t="shared" si="142"/>
        <v>-9.1022869495960279E-4</v>
      </c>
      <c r="I645" s="249">
        <f t="shared" si="143"/>
        <v>0.45069247455364359</v>
      </c>
      <c r="J645" s="249">
        <f t="shared" si="144"/>
        <v>0.52755457759536739</v>
      </c>
      <c r="K645" s="249">
        <f t="shared" si="145"/>
        <v>5.5028235011414184E-2</v>
      </c>
      <c r="L645" s="250">
        <f t="shared" si="135"/>
        <v>145.0692474553646</v>
      </c>
      <c r="M645" s="250">
        <f t="shared" si="136"/>
        <v>152.75545775953717</v>
      </c>
      <c r="N645" s="250">
        <f t="shared" si="137"/>
        <v>105.50282350114142</v>
      </c>
      <c r="O645" s="248">
        <f t="shared" si="138"/>
        <v>-5.0317091231344313E-2</v>
      </c>
      <c r="P645" s="247">
        <f t="shared" si="139"/>
        <v>0.37502715701058831</v>
      </c>
      <c r="Q645" s="251">
        <f t="shared" si="146"/>
        <v>1.4506924745536436</v>
      </c>
      <c r="R645" s="251">
        <f t="shared" si="147"/>
        <v>1.6258412592468956</v>
      </c>
      <c r="S645" s="251">
        <f t="shared" si="148"/>
        <v>-0.10772809688344509</v>
      </c>
      <c r="T645" s="252">
        <f>C645*'1. Share_Price_Analysis'!$E$11+T644*(1-'1. Share_Price_Analysis'!$E$11)</f>
        <v>256.27756990581446</v>
      </c>
      <c r="U645" s="253">
        <f t="shared" si="149"/>
        <v>260.0327816003479</v>
      </c>
    </row>
    <row r="646" spans="2:21" x14ac:dyDescent="0.2">
      <c r="B646" s="245">
        <v>45839</v>
      </c>
      <c r="C646" s="246">
        <v>264.67</v>
      </c>
      <c r="D646" s="246">
        <v>617.65</v>
      </c>
      <c r="E646" s="246">
        <v>45.04</v>
      </c>
      <c r="F646" s="248">
        <f t="shared" si="140"/>
        <v>1.4761137949543812E-2</v>
      </c>
      <c r="G646" s="248">
        <f t="shared" si="141"/>
        <v>-3.2370316419849665E-4</v>
      </c>
      <c r="H646" s="248">
        <f t="shared" si="142"/>
        <v>2.585126978704011E-2</v>
      </c>
      <c r="I646" s="249">
        <f t="shared" si="143"/>
        <v>0.47210634629289494</v>
      </c>
      <c r="J646" s="249">
        <f t="shared" si="144"/>
        <v>0.52706010334511388</v>
      </c>
      <c r="K646" s="249">
        <f t="shared" si="145"/>
        <v>8.2302054547638948E-2</v>
      </c>
      <c r="L646" s="250">
        <f t="shared" si="135"/>
        <v>147.21063462928973</v>
      </c>
      <c r="M646" s="250">
        <f t="shared" si="136"/>
        <v>152.7060103345118</v>
      </c>
      <c r="N646" s="250">
        <f t="shared" si="137"/>
        <v>108.23020545476389</v>
      </c>
      <c r="O646" s="248">
        <f t="shared" si="138"/>
        <v>-3.598663663063395E-2</v>
      </c>
      <c r="P646" s="247">
        <f t="shared" si="139"/>
        <v>0.36016220250841102</v>
      </c>
      <c r="Q646" s="251">
        <f t="shared" si="146"/>
        <v>1.4721063462928949</v>
      </c>
      <c r="R646" s="251">
        <f t="shared" si="147"/>
        <v>1.6258412592468956</v>
      </c>
      <c r="S646" s="251">
        <f t="shared" si="148"/>
        <v>-9.4557148233039734E-2</v>
      </c>
      <c r="T646" s="252">
        <f>C646*'1. Share_Price_Analysis'!$E$11+T645*(1-'1. Share_Price_Analysis'!$E$11)</f>
        <v>256.36107667292077</v>
      </c>
      <c r="U646" s="253">
        <f t="shared" si="149"/>
        <v>260.21463330229506</v>
      </c>
    </row>
    <row r="647" spans="2:21" x14ac:dyDescent="0.2">
      <c r="B647" s="245">
        <v>45840</v>
      </c>
      <c r="C647" s="246">
        <v>265.70999999999998</v>
      </c>
      <c r="D647" s="246">
        <v>620.45000000000005</v>
      </c>
      <c r="E647" s="246">
        <v>45.715000000000003</v>
      </c>
      <c r="F647" s="248">
        <f t="shared" si="140"/>
        <v>3.9294215438090419E-3</v>
      </c>
      <c r="G647" s="248">
        <f t="shared" si="141"/>
        <v>4.5333117461345829E-3</v>
      </c>
      <c r="H647" s="248">
        <f t="shared" si="142"/>
        <v>1.4986678507993068E-2</v>
      </c>
      <c r="I647" s="249">
        <f t="shared" si="143"/>
        <v>0.47789087268479635</v>
      </c>
      <c r="J647" s="249">
        <f t="shared" si="144"/>
        <v>0.53398274284866187</v>
      </c>
      <c r="K647" s="249">
        <f t="shared" si="145"/>
        <v>9.8522167487684831E-2</v>
      </c>
      <c r="L647" s="250">
        <f t="shared" si="135"/>
        <v>147.78908726847988</v>
      </c>
      <c r="M647" s="250">
        <f t="shared" si="136"/>
        <v>153.3982742848666</v>
      </c>
      <c r="N647" s="250">
        <f t="shared" si="137"/>
        <v>109.85221674876848</v>
      </c>
      <c r="O647" s="248">
        <f t="shared" si="138"/>
        <v>-3.6566167660857074E-2</v>
      </c>
      <c r="P647" s="247">
        <f t="shared" si="139"/>
        <v>0.34534460607629436</v>
      </c>
      <c r="Q647" s="251">
        <f t="shared" si="146"/>
        <v>1.4778908726847964</v>
      </c>
      <c r="R647" s="251">
        <f t="shared" si="147"/>
        <v>1.6258412592468956</v>
      </c>
      <c r="S647" s="251">
        <f t="shared" si="148"/>
        <v>-9.0999281584618674E-2</v>
      </c>
      <c r="T647" s="252">
        <f>C647*'1. Share_Price_Analysis'!$E$11+T646*(1-'1. Share_Price_Analysis'!$E$11)</f>
        <v>256.45410078562804</v>
      </c>
      <c r="U647" s="253">
        <f t="shared" si="149"/>
        <v>260.43013787867562</v>
      </c>
    </row>
    <row r="648" spans="2:21" x14ac:dyDescent="0.2">
      <c r="B648" s="245">
        <v>45841</v>
      </c>
      <c r="C648" s="246">
        <v>266.24</v>
      </c>
      <c r="D648" s="246">
        <v>625.34</v>
      </c>
      <c r="E648" s="246">
        <v>45.685000000000002</v>
      </c>
      <c r="F648" s="248">
        <f t="shared" si="140"/>
        <v>1.9946558277823545E-3</v>
      </c>
      <c r="G648" s="248">
        <f t="shared" si="141"/>
        <v>7.881376420340036E-3</v>
      </c>
      <c r="H648" s="248">
        <f t="shared" si="142"/>
        <v>-6.5623974625395043E-4</v>
      </c>
      <c r="I648" s="249">
        <f t="shared" si="143"/>
        <v>0.48083875632682349</v>
      </c>
      <c r="J648" s="249">
        <f t="shared" si="144"/>
        <v>0.54607263826735775</v>
      </c>
      <c r="K648" s="249">
        <f t="shared" si="145"/>
        <v>9.7801273579238401E-2</v>
      </c>
      <c r="L648" s="250">
        <f t="shared" si="135"/>
        <v>148.08387563268261</v>
      </c>
      <c r="M648" s="250">
        <f t="shared" si="136"/>
        <v>154.60726382673622</v>
      </c>
      <c r="N648" s="250">
        <f t="shared" si="137"/>
        <v>109.78012735792382</v>
      </c>
      <c r="O648" s="248">
        <f t="shared" si="138"/>
        <v>-4.2193284019074406E-2</v>
      </c>
      <c r="P648" s="247">
        <f t="shared" si="139"/>
        <v>0.3489133160674347</v>
      </c>
      <c r="Q648" s="251">
        <f t="shared" si="146"/>
        <v>1.4808387563268235</v>
      </c>
      <c r="R648" s="251">
        <f t="shared" si="147"/>
        <v>1.6258412592468956</v>
      </c>
      <c r="S648" s="251">
        <f t="shared" si="148"/>
        <v>-8.9186138004173077E-2</v>
      </c>
      <c r="T648" s="252">
        <f>C648*'1. Share_Price_Analysis'!$E$11+T647*(1-'1. Share_Price_Analysis'!$E$11)</f>
        <v>256.55147291711432</v>
      </c>
      <c r="U648" s="253">
        <f t="shared" si="149"/>
        <v>260.65797560892366</v>
      </c>
    </row>
    <row r="649" spans="2:21" x14ac:dyDescent="0.2">
      <c r="B649" s="245">
        <v>45845</v>
      </c>
      <c r="C649" s="246">
        <v>267</v>
      </c>
      <c r="D649" s="246">
        <v>620.67999999999995</v>
      </c>
      <c r="E649" s="246">
        <v>45.244999999999997</v>
      </c>
      <c r="F649" s="248">
        <f t="shared" si="140"/>
        <v>2.8545673076922906E-3</v>
      </c>
      <c r="G649" s="248">
        <f t="shared" si="141"/>
        <v>-7.4519461412992927E-3</v>
      </c>
      <c r="H649" s="248">
        <f t="shared" si="142"/>
        <v>-9.6311699682610774E-3</v>
      </c>
      <c r="I649" s="249">
        <f t="shared" si="143"/>
        <v>0.48506591022859769</v>
      </c>
      <c r="J649" s="249">
        <f t="shared" si="144"/>
        <v>0.53455138823645298</v>
      </c>
      <c r="K649" s="249">
        <f t="shared" si="145"/>
        <v>8.7228162922023289E-2</v>
      </c>
      <c r="L649" s="250">
        <f t="shared" si="135"/>
        <v>148.50659102286002</v>
      </c>
      <c r="M649" s="250">
        <f t="shared" si="136"/>
        <v>153.45513882364574</v>
      </c>
      <c r="N649" s="250">
        <f t="shared" si="137"/>
        <v>108.72281629220232</v>
      </c>
      <c r="O649" s="248">
        <f t="shared" si="138"/>
        <v>-3.2247520928396778E-2</v>
      </c>
      <c r="P649" s="247">
        <f t="shared" si="139"/>
        <v>0.36591928067550206</v>
      </c>
      <c r="Q649" s="251">
        <f t="shared" si="146"/>
        <v>1.4850659102285977</v>
      </c>
      <c r="R649" s="251">
        <f t="shared" si="147"/>
        <v>1.6258412592468956</v>
      </c>
      <c r="S649" s="251">
        <f t="shared" si="148"/>
        <v>-8.6586158530326807E-2</v>
      </c>
      <c r="T649" s="252">
        <f>C649*'1. Share_Price_Analysis'!$E$11+T648*(1-'1. Share_Price_Analysis'!$E$11)</f>
        <v>256.65543836072516</v>
      </c>
      <c r="U649" s="253">
        <f t="shared" si="149"/>
        <v>260.90668244778942</v>
      </c>
    </row>
    <row r="650" spans="2:21" x14ac:dyDescent="0.2">
      <c r="B650" s="245">
        <v>45846</v>
      </c>
      <c r="C650" s="246">
        <v>266.45</v>
      </c>
      <c r="D650" s="246">
        <v>620.34</v>
      </c>
      <c r="E650" s="246">
        <v>45.615000000000002</v>
      </c>
      <c r="F650" s="248">
        <f t="shared" si="140"/>
        <v>-2.0599250936329527E-3</v>
      </c>
      <c r="G650" s="248">
        <f t="shared" si="141"/>
        <v>-5.4778629889784547E-4</v>
      </c>
      <c r="H650" s="248">
        <f t="shared" si="142"/>
        <v>8.1776991932811516E-3</v>
      </c>
      <c r="I650" s="249">
        <f t="shared" si="143"/>
        <v>0.48200678569441902</v>
      </c>
      <c r="J650" s="249">
        <f t="shared" si="144"/>
        <v>0.53371078201102229</v>
      </c>
      <c r="K650" s="249">
        <f t="shared" si="145"/>
        <v>9.6119187792863325E-2</v>
      </c>
      <c r="L650" s="250">
        <f t="shared" si="135"/>
        <v>148.20067856944212</v>
      </c>
      <c r="M650" s="250">
        <f t="shared" si="136"/>
        <v>153.37107820110268</v>
      </c>
      <c r="N650" s="250">
        <f t="shared" si="137"/>
        <v>109.61191877928631</v>
      </c>
      <c r="O650" s="248">
        <f t="shared" si="138"/>
        <v>-3.3711699052417332E-2</v>
      </c>
      <c r="P650" s="247">
        <f t="shared" si="139"/>
        <v>0.35204893974949547</v>
      </c>
      <c r="Q650" s="251">
        <f t="shared" si="146"/>
        <v>1.482006785694419</v>
      </c>
      <c r="R650" s="251">
        <f t="shared" si="147"/>
        <v>1.6258412592468956</v>
      </c>
      <c r="S650" s="251">
        <f t="shared" si="148"/>
        <v>-8.8467722623241873E-2</v>
      </c>
      <c r="T650" s="252">
        <f>C650*'1. Share_Price_Analysis'!$E$11+T649*(1-'1. Share_Price_Analysis'!$E$11)</f>
        <v>256.75289668549408</v>
      </c>
      <c r="U650" s="253">
        <f t="shared" si="149"/>
        <v>261.1240674498369</v>
      </c>
    </row>
    <row r="651" spans="2:21" x14ac:dyDescent="0.2">
      <c r="B651" s="245">
        <v>45847</v>
      </c>
      <c r="C651" s="246">
        <v>269.95</v>
      </c>
      <c r="D651" s="246">
        <v>624.05999999999995</v>
      </c>
      <c r="E651" s="246">
        <v>45.89</v>
      </c>
      <c r="F651" s="248">
        <f t="shared" si="140"/>
        <v>1.3135672734096548E-2</v>
      </c>
      <c r="G651" s="248">
        <f t="shared" si="141"/>
        <v>5.9967114808006095E-3</v>
      </c>
      <c r="H651" s="248">
        <f t="shared" si="142"/>
        <v>6.0287186232599321E-3</v>
      </c>
      <c r="I651" s="249">
        <f t="shared" si="143"/>
        <v>0.50147394182101124</v>
      </c>
      <c r="J651" s="249">
        <f t="shared" si="144"/>
        <v>0.54290800306573539</v>
      </c>
      <c r="K651" s="249">
        <f t="shared" si="145"/>
        <v>0.10272738195362274</v>
      </c>
      <c r="L651" s="250">
        <f t="shared" si="135"/>
        <v>150.14739418210135</v>
      </c>
      <c r="M651" s="250">
        <f t="shared" si="136"/>
        <v>154.290800306574</v>
      </c>
      <c r="N651" s="250">
        <f t="shared" si="137"/>
        <v>110.27273819536225</v>
      </c>
      <c r="O651" s="248">
        <f t="shared" si="138"/>
        <v>-2.6854524807957025E-2</v>
      </c>
      <c r="P651" s="247">
        <f t="shared" si="139"/>
        <v>0.36160030701419421</v>
      </c>
      <c r="Q651" s="251">
        <f t="shared" si="146"/>
        <v>1.5014739418210112</v>
      </c>
      <c r="R651" s="251">
        <f t="shared" si="147"/>
        <v>1.6258412592468956</v>
      </c>
      <c r="S651" s="251">
        <f t="shared" si="148"/>
        <v>-7.6494132941055004E-2</v>
      </c>
      <c r="T651" s="252">
        <f>C651*'1. Share_Price_Analysis'!$E$11+T650*(1-'1. Share_Price_Analysis'!$E$11)</f>
        <v>256.88421114633496</v>
      </c>
      <c r="U651" s="253">
        <f t="shared" si="149"/>
        <v>261.47018245180408</v>
      </c>
    </row>
    <row r="652" spans="2:21" x14ac:dyDescent="0.2">
      <c r="B652" s="245">
        <v>45848</v>
      </c>
      <c r="C652" s="246">
        <v>270.73</v>
      </c>
      <c r="D652" s="246">
        <v>625.82000000000005</v>
      </c>
      <c r="E652" s="246">
        <v>46.134999999999998</v>
      </c>
      <c r="F652" s="248">
        <f t="shared" si="140"/>
        <v>2.8894239674015498E-3</v>
      </c>
      <c r="G652" s="248">
        <f t="shared" si="141"/>
        <v>2.8202416434319755E-3</v>
      </c>
      <c r="H652" s="248">
        <f t="shared" si="142"/>
        <v>5.3388537807801395E-3</v>
      </c>
      <c r="I652" s="249">
        <f t="shared" si="143"/>
        <v>0.50581233661493785</v>
      </c>
      <c r="J652" s="249">
        <f t="shared" si="144"/>
        <v>0.54725937646796585</v>
      </c>
      <c r="K652" s="249">
        <f t="shared" si="145"/>
        <v>0.10861468220593573</v>
      </c>
      <c r="L652" s="250">
        <f t="shared" si="135"/>
        <v>150.581233661494</v>
      </c>
      <c r="M652" s="250">
        <f t="shared" si="136"/>
        <v>154.72593764679706</v>
      </c>
      <c r="N652" s="250">
        <f t="shared" si="137"/>
        <v>110.86146822059352</v>
      </c>
      <c r="O652" s="248">
        <f t="shared" si="138"/>
        <v>-2.6787389679707063E-2</v>
      </c>
      <c r="P652" s="247">
        <f t="shared" si="139"/>
        <v>0.35828287391851354</v>
      </c>
      <c r="Q652" s="251">
        <f t="shared" si="146"/>
        <v>1.5058123366149379</v>
      </c>
      <c r="R652" s="251">
        <f t="shared" si="147"/>
        <v>1.6258412592468956</v>
      </c>
      <c r="S652" s="251">
        <f t="shared" si="148"/>
        <v>-7.3825732954738932E-2</v>
      </c>
      <c r="T652" s="252">
        <f>C652*'1. Share_Price_Analysis'!$E$11+T651*(1-'1. Share_Price_Analysis'!$E$11)</f>
        <v>257.02198018965504</v>
      </c>
      <c r="U652" s="253">
        <f t="shared" si="149"/>
        <v>261.83331255173334</v>
      </c>
    </row>
    <row r="653" spans="2:21" x14ac:dyDescent="0.2">
      <c r="B653" s="245">
        <v>45849</v>
      </c>
      <c r="C653" s="246">
        <v>269</v>
      </c>
      <c r="D653" s="246">
        <v>623.62</v>
      </c>
      <c r="E653" s="246">
        <v>45.76</v>
      </c>
      <c r="F653" s="248">
        <f t="shared" si="140"/>
        <v>-6.3901303882096805E-3</v>
      </c>
      <c r="G653" s="248">
        <f t="shared" si="141"/>
        <v>-3.5153878111917614E-3</v>
      </c>
      <c r="H653" s="248">
        <f t="shared" si="142"/>
        <v>-8.1283190636176617E-3</v>
      </c>
      <c r="I653" s="249">
        <f t="shared" si="143"/>
        <v>0.49618999944379372</v>
      </c>
      <c r="J653" s="249">
        <f t="shared" si="144"/>
        <v>0.54182015971517816</v>
      </c>
      <c r="K653" s="249">
        <f t="shared" si="145"/>
        <v>9.9603508350354808E-2</v>
      </c>
      <c r="L653" s="250">
        <f t="shared" si="135"/>
        <v>149.61899994437957</v>
      </c>
      <c r="M653" s="250">
        <f t="shared" si="136"/>
        <v>154.1820159715183</v>
      </c>
      <c r="N653" s="250">
        <f t="shared" si="137"/>
        <v>109.96035083503544</v>
      </c>
      <c r="O653" s="248">
        <f t="shared" si="138"/>
        <v>-2.9594995229413668E-2</v>
      </c>
      <c r="P653" s="247">
        <f t="shared" si="139"/>
        <v>0.36066317366375555</v>
      </c>
      <c r="Q653" s="251">
        <f t="shared" si="146"/>
        <v>1.4961899994437937</v>
      </c>
      <c r="R653" s="251">
        <f t="shared" si="147"/>
        <v>1.6258412592468956</v>
      </c>
      <c r="S653" s="251">
        <f t="shared" si="148"/>
        <v>-7.9744107283362675E-2</v>
      </c>
      <c r="T653" s="252">
        <f>C653*'1. Share_Price_Analysis'!$E$11+T652*(1-'1. Share_Price_Analysis'!$E$11)</f>
        <v>257.1411644663749</v>
      </c>
      <c r="U653" s="253">
        <f t="shared" si="149"/>
        <v>262.11435911833206</v>
      </c>
    </row>
    <row r="654" spans="2:21" x14ac:dyDescent="0.2">
      <c r="B654" s="245">
        <v>45852</v>
      </c>
      <c r="C654" s="246">
        <v>269.93</v>
      </c>
      <c r="D654" s="246">
        <v>624.80999999999995</v>
      </c>
      <c r="E654" s="246">
        <v>45.505000000000003</v>
      </c>
      <c r="F654" s="248">
        <f t="shared" si="140"/>
        <v>3.4572490706319403E-3</v>
      </c>
      <c r="G654" s="248">
        <f t="shared" si="141"/>
        <v>1.9082133350436514E-3</v>
      </c>
      <c r="H654" s="248">
        <f t="shared" si="142"/>
        <v>-5.5725524475523924E-3</v>
      </c>
      <c r="I654" s="249">
        <f t="shared" si="143"/>
        <v>0.50136270092885948</v>
      </c>
      <c r="J654" s="249">
        <f t="shared" si="144"/>
        <v>0.54476228150418571</v>
      </c>
      <c r="K654" s="249">
        <f t="shared" si="145"/>
        <v>9.3475910128559825E-2</v>
      </c>
      <c r="L654" s="250">
        <f t="shared" si="135"/>
        <v>150.13627009288615</v>
      </c>
      <c r="M654" s="250">
        <f t="shared" si="136"/>
        <v>154.47622815041905</v>
      </c>
      <c r="N654" s="250">
        <f t="shared" si="137"/>
        <v>109.34759101285594</v>
      </c>
      <c r="O654" s="248">
        <f t="shared" si="138"/>
        <v>-2.8094666146992298E-2</v>
      </c>
      <c r="P654" s="247">
        <f t="shared" si="139"/>
        <v>0.37301854299866966</v>
      </c>
      <c r="Q654" s="251">
        <f t="shared" si="146"/>
        <v>1.5013627009288595</v>
      </c>
      <c r="R654" s="251">
        <f t="shared" si="147"/>
        <v>1.6258412592468956</v>
      </c>
      <c r="S654" s="251">
        <f t="shared" si="148"/>
        <v>-7.6562553453524584E-2</v>
      </c>
      <c r="T654" s="252">
        <f>C654*'1. Share_Price_Analysis'!$E$11+T653*(1-'1. Share_Price_Analysis'!$E$11)</f>
        <v>257.26841656123685</v>
      </c>
      <c r="U654" s="253">
        <f t="shared" si="149"/>
        <v>262.4208548391818</v>
      </c>
    </row>
    <row r="655" spans="2:21" x14ac:dyDescent="0.2">
      <c r="B655" s="245">
        <v>45853</v>
      </c>
      <c r="C655" s="246">
        <v>261.56</v>
      </c>
      <c r="D655" s="246">
        <v>622.14</v>
      </c>
      <c r="E655" s="246">
        <v>44.57</v>
      </c>
      <c r="F655" s="248">
        <f t="shared" si="140"/>
        <v>-3.1008039121253717E-2</v>
      </c>
      <c r="G655" s="248">
        <f t="shared" si="141"/>
        <v>-4.2732990829211781E-3</v>
      </c>
      <c r="H655" s="248">
        <f t="shared" si="142"/>
        <v>-2.0547192616196086E-2</v>
      </c>
      <c r="I655" s="249">
        <f t="shared" si="143"/>
        <v>0.45480838756326625</v>
      </c>
      <c r="J655" s="249">
        <f t="shared" si="144"/>
        <v>0.53816105026330274</v>
      </c>
      <c r="K655" s="249">
        <f t="shared" si="145"/>
        <v>7.1008049981978072E-2</v>
      </c>
      <c r="L655" s="250">
        <f t="shared" si="135"/>
        <v>145.48083875632682</v>
      </c>
      <c r="M655" s="250">
        <f t="shared" si="136"/>
        <v>153.81610502633075</v>
      </c>
      <c r="N655" s="250">
        <f t="shared" si="137"/>
        <v>107.10080499819776</v>
      </c>
      <c r="O655" s="248">
        <f t="shared" si="138"/>
        <v>-5.4189814964933691E-2</v>
      </c>
      <c r="P655" s="247">
        <f t="shared" si="139"/>
        <v>0.3583542976990195</v>
      </c>
      <c r="Q655" s="251">
        <f t="shared" si="146"/>
        <v>1.4548083875632662</v>
      </c>
      <c r="R655" s="251">
        <f t="shared" si="147"/>
        <v>1.6258412592468956</v>
      </c>
      <c r="S655" s="251">
        <f t="shared" si="148"/>
        <v>-0.10519653792206829</v>
      </c>
      <c r="T655" s="252">
        <f>C655*'1. Share_Price_Analysis'!$E$11+T654*(1-'1. Share_Price_Analysis'!$E$11)</f>
        <v>257.31111888401063</v>
      </c>
      <c r="U655" s="253">
        <f t="shared" si="149"/>
        <v>262.38709582588058</v>
      </c>
    </row>
    <row r="656" spans="2:21" x14ac:dyDescent="0.2">
      <c r="B656" s="245">
        <v>45854</v>
      </c>
      <c r="C656" s="246">
        <v>260.62</v>
      </c>
      <c r="D656" s="246">
        <v>624.22</v>
      </c>
      <c r="E656" s="246">
        <v>44.69</v>
      </c>
      <c r="F656" s="248">
        <f t="shared" si="140"/>
        <v>-3.5938216852730021E-3</v>
      </c>
      <c r="G656" s="248">
        <f t="shared" si="141"/>
        <v>3.3432989359309939E-3</v>
      </c>
      <c r="H656" s="248">
        <f t="shared" si="142"/>
        <v>2.6923939869867297E-3</v>
      </c>
      <c r="I656" s="249">
        <f t="shared" si="143"/>
        <v>0.44958006563212427</v>
      </c>
      <c r="J656" s="249">
        <f t="shared" si="144"/>
        <v>0.54330358246593846</v>
      </c>
      <c r="K656" s="249">
        <f t="shared" si="145"/>
        <v>7.3891625615764012E-2</v>
      </c>
      <c r="L656" s="250">
        <f t="shared" si="135"/>
        <v>144.95800656321265</v>
      </c>
      <c r="M656" s="250">
        <f t="shared" si="136"/>
        <v>154.3303582465943</v>
      </c>
      <c r="N656" s="250">
        <f t="shared" si="137"/>
        <v>107.38916256157634</v>
      </c>
      <c r="O656" s="248">
        <f t="shared" si="138"/>
        <v>-6.0729151346917698E-2</v>
      </c>
      <c r="P656" s="247">
        <f t="shared" si="139"/>
        <v>0.34983831799688581</v>
      </c>
      <c r="Q656" s="251">
        <f t="shared" si="146"/>
        <v>1.4495800656321243</v>
      </c>
      <c r="R656" s="251">
        <f t="shared" si="147"/>
        <v>1.6258412592468956</v>
      </c>
      <c r="S656" s="251">
        <f t="shared" si="148"/>
        <v>-0.10841230200814134</v>
      </c>
      <c r="T656" s="252">
        <f>C656*'1. Share_Price_Analysis'!$E$11+T655*(1-'1. Share_Price_Analysis'!$E$11)</f>
        <v>257.34404307421948</v>
      </c>
      <c r="U656" s="253">
        <f t="shared" si="149"/>
        <v>262.3177979503559</v>
      </c>
    </row>
    <row r="657" spans="2:21" x14ac:dyDescent="0.2">
      <c r="B657" s="245">
        <v>45855</v>
      </c>
      <c r="C657" s="246">
        <v>263.01</v>
      </c>
      <c r="D657" s="246">
        <v>628.04</v>
      </c>
      <c r="E657" s="246">
        <v>45.005000000000003</v>
      </c>
      <c r="F657" s="248">
        <f t="shared" si="140"/>
        <v>9.1704397206660015E-3</v>
      </c>
      <c r="G657" s="248">
        <f t="shared" si="141"/>
        <v>6.1196373073595378E-3</v>
      </c>
      <c r="H657" s="248">
        <f t="shared" si="142"/>
        <v>7.0485567240994307E-3</v>
      </c>
      <c r="I657" s="249">
        <f t="shared" si="143"/>
        <v>0.46287335224428272</v>
      </c>
      <c r="J657" s="249">
        <f t="shared" si="144"/>
        <v>0.55274804064577854</v>
      </c>
      <c r="K657" s="249">
        <f t="shared" si="145"/>
        <v>8.1461011654452076E-2</v>
      </c>
      <c r="L657" s="250">
        <f t="shared" si="135"/>
        <v>146.28733522442849</v>
      </c>
      <c r="M657" s="250">
        <f t="shared" si="136"/>
        <v>155.27480406457832</v>
      </c>
      <c r="N657" s="250">
        <f t="shared" si="137"/>
        <v>108.14610116544516</v>
      </c>
      <c r="O657" s="248">
        <f t="shared" si="138"/>
        <v>-5.7881050916746002E-2</v>
      </c>
      <c r="P657" s="247">
        <f t="shared" si="139"/>
        <v>0.35268246980659468</v>
      </c>
      <c r="Q657" s="251">
        <f t="shared" si="146"/>
        <v>1.4628733522442827</v>
      </c>
      <c r="R657" s="251">
        <f t="shared" si="147"/>
        <v>1.6258412592468956</v>
      </c>
      <c r="S657" s="251">
        <f t="shared" si="148"/>
        <v>-0.10023605076801967</v>
      </c>
      <c r="T657" s="252">
        <f>C657*'1. Share_Price_Analysis'!$E$11+T656*(1-'1. Share_Price_Analysis'!$E$11)</f>
        <v>257.40042075507301</v>
      </c>
      <c r="U657" s="253">
        <f t="shared" si="149"/>
        <v>262.34494312877331</v>
      </c>
    </row>
    <row r="658" spans="2:21" x14ac:dyDescent="0.2">
      <c r="B658" s="245">
        <v>45856</v>
      </c>
      <c r="C658" s="246">
        <v>266.60000000000002</v>
      </c>
      <c r="D658" s="246">
        <v>627.58000000000004</v>
      </c>
      <c r="E658" s="246">
        <v>45.11</v>
      </c>
      <c r="F658" s="248">
        <f t="shared" si="140"/>
        <v>1.3649671115166795E-2</v>
      </c>
      <c r="G658" s="248">
        <f t="shared" si="141"/>
        <v>-7.3243742436779335E-4</v>
      </c>
      <c r="H658" s="248">
        <f t="shared" si="142"/>
        <v>2.3330741028773083E-3</v>
      </c>
      <c r="I658" s="249">
        <f t="shared" si="143"/>
        <v>0.48284109238555883</v>
      </c>
      <c r="J658" s="249">
        <f t="shared" si="144"/>
        <v>0.55161074987019587</v>
      </c>
      <c r="K658" s="249">
        <f t="shared" si="145"/>
        <v>8.3984140334014468E-2</v>
      </c>
      <c r="L658" s="250">
        <f t="shared" si="135"/>
        <v>148.28410923855611</v>
      </c>
      <c r="M658" s="250">
        <f t="shared" si="136"/>
        <v>155.16107498702004</v>
      </c>
      <c r="N658" s="250">
        <f t="shared" si="137"/>
        <v>108.39841403340141</v>
      </c>
      <c r="O658" s="248">
        <f t="shared" si="138"/>
        <v>-4.4321462383777765E-2</v>
      </c>
      <c r="P658" s="247">
        <f t="shared" si="139"/>
        <v>0.36795460118876111</v>
      </c>
      <c r="Q658" s="251">
        <f t="shared" si="146"/>
        <v>1.4828410923855588</v>
      </c>
      <c r="R658" s="251">
        <f t="shared" si="147"/>
        <v>1.6258412592468956</v>
      </c>
      <c r="S658" s="251">
        <f t="shared" si="148"/>
        <v>-8.7954568779719411E-2</v>
      </c>
      <c r="T658" s="252">
        <f>C658*'1. Share_Price_Analysis'!$E$11+T657*(1-'1. Share_Price_Analysis'!$E$11)</f>
        <v>257.49195885701261</v>
      </c>
      <c r="U658" s="253">
        <f t="shared" si="149"/>
        <v>262.51180810411552</v>
      </c>
    </row>
    <row r="659" spans="2:21" x14ac:dyDescent="0.2">
      <c r="B659" s="245">
        <v>45859</v>
      </c>
      <c r="C659" s="246">
        <v>265.01</v>
      </c>
      <c r="D659" s="246">
        <v>628.77</v>
      </c>
      <c r="E659" s="246">
        <v>45.34</v>
      </c>
      <c r="F659" s="248">
        <f t="shared" si="140"/>
        <v>-5.9639909977495797E-3</v>
      </c>
      <c r="G659" s="248">
        <f t="shared" si="141"/>
        <v>1.8961725995090273E-3</v>
      </c>
      <c r="H659" s="248">
        <f t="shared" si="142"/>
        <v>5.0986477499446181E-3</v>
      </c>
      <c r="I659" s="249">
        <f t="shared" si="143"/>
        <v>0.47399744145947831</v>
      </c>
      <c r="J659" s="249">
        <f t="shared" si="144"/>
        <v>0.55455287165920342</v>
      </c>
      <c r="K659" s="249">
        <f t="shared" si="145"/>
        <v>8.951099363210413E-2</v>
      </c>
      <c r="L659" s="250">
        <f t="shared" si="135"/>
        <v>147.39974414594806</v>
      </c>
      <c r="M659" s="250">
        <f t="shared" si="136"/>
        <v>155.45528716592082</v>
      </c>
      <c r="N659" s="250">
        <f t="shared" si="137"/>
        <v>108.95109936321039</v>
      </c>
      <c r="O659" s="248">
        <f t="shared" si="138"/>
        <v>-5.1819035343421138E-2</v>
      </c>
      <c r="P659" s="247">
        <f t="shared" si="139"/>
        <v>0.35289818099550452</v>
      </c>
      <c r="Q659" s="251">
        <f t="shared" si="146"/>
        <v>1.4739974414594783</v>
      </c>
      <c r="R659" s="251">
        <f t="shared" si="147"/>
        <v>1.6258412592468956</v>
      </c>
      <c r="S659" s="251">
        <f t="shared" si="148"/>
        <v>-9.3393999521055759E-2</v>
      </c>
      <c r="T659" s="252">
        <f>C659*'1. Share_Price_Analysis'!$E$11+T658*(1-'1. Share_Price_Analysis'!$E$11)</f>
        <v>257.56676523654482</v>
      </c>
      <c r="U659" s="253">
        <f t="shared" si="149"/>
        <v>262.60977641375803</v>
      </c>
    </row>
    <row r="660" spans="2:21" x14ac:dyDescent="0.2">
      <c r="B660" s="245">
        <v>45860</v>
      </c>
      <c r="C660" s="246">
        <v>267.77999999999997</v>
      </c>
      <c r="D660" s="246">
        <v>628.86</v>
      </c>
      <c r="E660" s="246">
        <v>45.965000000000003</v>
      </c>
      <c r="F660" s="248">
        <f t="shared" si="140"/>
        <v>1.0452435757141165E-2</v>
      </c>
      <c r="G660" s="248">
        <f t="shared" si="141"/>
        <v>1.4313660002862605E-4</v>
      </c>
      <c r="H660" s="248">
        <f t="shared" si="142"/>
        <v>1.3784737538597325E-2</v>
      </c>
      <c r="I660" s="249">
        <f t="shared" si="143"/>
        <v>0.48940430502252386</v>
      </c>
      <c r="J660" s="249">
        <f t="shared" si="144"/>
        <v>0.55477538507181756</v>
      </c>
      <c r="K660" s="249">
        <f t="shared" si="145"/>
        <v>0.10452961672473915</v>
      </c>
      <c r="L660" s="250">
        <f t="shared" si="135"/>
        <v>148.94043050225264</v>
      </c>
      <c r="M660" s="250">
        <f t="shared" si="136"/>
        <v>155.47753850718223</v>
      </c>
      <c r="N660" s="250">
        <f t="shared" si="137"/>
        <v>110.45296167247388</v>
      </c>
      <c r="O660" s="248">
        <f t="shared" si="138"/>
        <v>-4.2045353095343851E-2</v>
      </c>
      <c r="P660" s="247">
        <f t="shared" si="139"/>
        <v>0.34845121621912978</v>
      </c>
      <c r="Q660" s="251">
        <f t="shared" si="146"/>
        <v>1.4894043050225239</v>
      </c>
      <c r="R660" s="251">
        <f t="shared" si="147"/>
        <v>1.6258412592468956</v>
      </c>
      <c r="S660" s="251">
        <f t="shared" si="148"/>
        <v>-8.3917758544010956E-2</v>
      </c>
      <c r="T660" s="252">
        <f>C660*'1. Share_Price_Analysis'!$E$11+T659*(1-'1. Share_Price_Analysis'!$E$11)</f>
        <v>257.66838946304688</v>
      </c>
      <c r="U660" s="253">
        <f t="shared" si="149"/>
        <v>262.81253027988521</v>
      </c>
    </row>
    <row r="661" spans="2:21" x14ac:dyDescent="0.2">
      <c r="B661" s="245">
        <v>45861</v>
      </c>
      <c r="C661" s="246">
        <v>269.11</v>
      </c>
      <c r="D661" s="246">
        <v>634.21</v>
      </c>
      <c r="E661" s="246">
        <v>46.12</v>
      </c>
      <c r="F661" s="248">
        <f t="shared" si="140"/>
        <v>4.9667637612966775E-3</v>
      </c>
      <c r="G661" s="248">
        <f t="shared" si="141"/>
        <v>8.5074579397641514E-3</v>
      </c>
      <c r="H661" s="248">
        <f t="shared" si="142"/>
        <v>3.3721309692156254E-3</v>
      </c>
      <c r="I661" s="249">
        <f t="shared" si="143"/>
        <v>0.49680182435062892</v>
      </c>
      <c r="J661" s="249">
        <f t="shared" si="144"/>
        <v>0.56800257126609677</v>
      </c>
      <c r="K661" s="249">
        <f t="shared" si="145"/>
        <v>0.10825423525171241</v>
      </c>
      <c r="L661" s="250">
        <f t="shared" si="135"/>
        <v>149.68018243506313</v>
      </c>
      <c r="M661" s="250">
        <f t="shared" si="136"/>
        <v>156.80025712661012</v>
      </c>
      <c r="N661" s="250">
        <f t="shared" si="137"/>
        <v>110.8254235251712</v>
      </c>
      <c r="O661" s="248">
        <f t="shared" si="138"/>
        <v>-4.5408565151762614E-2</v>
      </c>
      <c r="P661" s="247">
        <f t="shared" si="139"/>
        <v>0.350594274075269</v>
      </c>
      <c r="Q661" s="251">
        <f t="shared" si="146"/>
        <v>1.4968018243506289</v>
      </c>
      <c r="R661" s="251">
        <f t="shared" si="147"/>
        <v>1.6258412592468956</v>
      </c>
      <c r="S661" s="251">
        <f t="shared" si="148"/>
        <v>-7.9367794464780039E-2</v>
      </c>
      <c r="T661" s="252">
        <f>C661*'1. Share_Price_Analysis'!$E$11+T660*(1-'1. Share_Price_Analysis'!$E$11)</f>
        <v>257.78223633406134</v>
      </c>
      <c r="U661" s="253">
        <f t="shared" si="149"/>
        <v>263.05948987675248</v>
      </c>
    </row>
    <row r="662" spans="2:21" x14ac:dyDescent="0.2">
      <c r="B662" s="245">
        <v>45862</v>
      </c>
      <c r="C662" s="246">
        <v>271.42</v>
      </c>
      <c r="D662" s="246">
        <v>634.41999999999996</v>
      </c>
      <c r="E662" s="246">
        <v>45.645000000000003</v>
      </c>
      <c r="F662" s="248">
        <f t="shared" si="140"/>
        <v>8.583850470067933E-3</v>
      </c>
      <c r="G662" s="248">
        <f t="shared" si="141"/>
        <v>3.3112060673889943E-4</v>
      </c>
      <c r="H662" s="248">
        <f t="shared" si="142"/>
        <v>-1.0299219427580053E-2</v>
      </c>
      <c r="I662" s="249">
        <f t="shared" si="143"/>
        <v>0.50965014739417969</v>
      </c>
      <c r="J662" s="249">
        <f t="shared" si="144"/>
        <v>0.56852176922886266</v>
      </c>
      <c r="K662" s="249">
        <f t="shared" si="145"/>
        <v>9.6840081701310199E-2</v>
      </c>
      <c r="L662" s="250">
        <f t="shared" si="135"/>
        <v>150.96501473941822</v>
      </c>
      <c r="M662" s="250">
        <f t="shared" si="136"/>
        <v>156.85217692288671</v>
      </c>
      <c r="N662" s="250">
        <f t="shared" si="137"/>
        <v>109.68400817013098</v>
      </c>
      <c r="O662" s="248">
        <f t="shared" si="138"/>
        <v>-3.753318760990243E-2</v>
      </c>
      <c r="P662" s="247">
        <f t="shared" si="139"/>
        <v>0.37636303831326012</v>
      </c>
      <c r="Q662" s="251">
        <f t="shared" si="146"/>
        <v>1.5096501473941797</v>
      </c>
      <c r="R662" s="251">
        <f t="shared" si="147"/>
        <v>1.6258412592468956</v>
      </c>
      <c r="S662" s="251">
        <f t="shared" si="148"/>
        <v>-7.1465225274536803E-2</v>
      </c>
      <c r="T662" s="252">
        <f>C662*'1. Share_Price_Analysis'!$E$11+T661*(1-'1. Share_Price_Analysis'!$E$11)</f>
        <v>257.91793547501595</v>
      </c>
      <c r="U662" s="253">
        <f t="shared" si="149"/>
        <v>263.3873530188406</v>
      </c>
    </row>
    <row r="663" spans="2:21" x14ac:dyDescent="0.2">
      <c r="B663" s="245">
        <v>45863</v>
      </c>
      <c r="C663" s="246">
        <v>274.83</v>
      </c>
      <c r="D663" s="246">
        <v>637.1</v>
      </c>
      <c r="E663" s="246">
        <v>46.185000000000002</v>
      </c>
      <c r="F663" s="248">
        <f t="shared" si="140"/>
        <v>1.2563554638567398E-2</v>
      </c>
      <c r="G663" s="248">
        <f t="shared" si="141"/>
        <v>4.2243308849028161E-3</v>
      </c>
      <c r="H663" s="248">
        <f t="shared" si="142"/>
        <v>1.1830430496220901E-2</v>
      </c>
      <c r="I663" s="249">
        <f t="shared" si="143"/>
        <v>0.5286167195060878</v>
      </c>
      <c r="J663" s="249">
        <f t="shared" si="144"/>
        <v>0.57514772418225846</v>
      </c>
      <c r="K663" s="249">
        <f t="shared" si="145"/>
        <v>0.10981617205334682</v>
      </c>
      <c r="L663" s="250">
        <f t="shared" si="135"/>
        <v>152.86167195060904</v>
      </c>
      <c r="M663" s="250">
        <f t="shared" si="136"/>
        <v>157.5147724182263</v>
      </c>
      <c r="N663" s="250">
        <f t="shared" si="137"/>
        <v>110.98161720533462</v>
      </c>
      <c r="O663" s="248">
        <f t="shared" si="138"/>
        <v>-2.9540724315446298E-2</v>
      </c>
      <c r="P663" s="247">
        <f t="shared" si="139"/>
        <v>0.37736028542266542</v>
      </c>
      <c r="Q663" s="251">
        <f t="shared" si="146"/>
        <v>1.5286167195060878</v>
      </c>
      <c r="R663" s="251">
        <f t="shared" si="147"/>
        <v>1.6258412592468956</v>
      </c>
      <c r="S663" s="251">
        <f t="shared" si="148"/>
        <v>-5.9799527898463545E-2</v>
      </c>
      <c r="T663" s="252">
        <f>C663*'1. Share_Price_Analysis'!$E$11+T662*(1-'1. Share_Price_Analysis'!$E$11)</f>
        <v>258.08621472402081</v>
      </c>
      <c r="U663" s="253">
        <f t="shared" si="149"/>
        <v>263.83608427300373</v>
      </c>
    </row>
    <row r="664" spans="2:21" x14ac:dyDescent="0.2">
      <c r="B664" s="245">
        <v>45866</v>
      </c>
      <c r="C664" s="246">
        <v>270.11</v>
      </c>
      <c r="D664" s="246">
        <v>636.94000000000005</v>
      </c>
      <c r="E664" s="246">
        <v>45.515000000000001</v>
      </c>
      <c r="F664" s="248">
        <f t="shared" si="140"/>
        <v>-1.717425317468968E-2</v>
      </c>
      <c r="G664" s="248">
        <f t="shared" si="141"/>
        <v>-2.5113796892162199E-4</v>
      </c>
      <c r="H664" s="248">
        <f t="shared" si="142"/>
        <v>-1.4506874526361457E-2</v>
      </c>
      <c r="I664" s="249">
        <f t="shared" si="143"/>
        <v>0.5023638689582266</v>
      </c>
      <c r="J664" s="249">
        <f t="shared" si="144"/>
        <v>0.57475214478205583</v>
      </c>
      <c r="K664" s="249">
        <f t="shared" si="145"/>
        <v>9.3716208098042042E-2</v>
      </c>
      <c r="L664" s="250">
        <f t="shared" si="135"/>
        <v>150.23638689582293</v>
      </c>
      <c r="M664" s="250">
        <f t="shared" si="136"/>
        <v>157.47521447820606</v>
      </c>
      <c r="N664" s="250">
        <f t="shared" si="137"/>
        <v>109.37162080980416</v>
      </c>
      <c r="O664" s="248">
        <f t="shared" si="138"/>
        <v>-4.5968043964053629E-2</v>
      </c>
      <c r="P664" s="247">
        <f t="shared" si="139"/>
        <v>0.37363226203881306</v>
      </c>
      <c r="Q664" s="251">
        <f t="shared" si="146"/>
        <v>1.5023638689582266</v>
      </c>
      <c r="R664" s="251">
        <f t="shared" si="147"/>
        <v>1.6258412592468956</v>
      </c>
      <c r="S664" s="251">
        <f t="shared" si="148"/>
        <v>-7.594676884129814E-2</v>
      </c>
      <c r="T664" s="252">
        <f>C664*'1. Share_Price_Analysis'!$E$11+T663*(1-'1. Share_Price_Analysis'!$E$11)</f>
        <v>258.20585437850815</v>
      </c>
      <c r="U664" s="253">
        <f t="shared" si="149"/>
        <v>264.08212018386632</v>
      </c>
    </row>
    <row r="665" spans="2:21" x14ac:dyDescent="0.2">
      <c r="B665" s="245">
        <v>45867</v>
      </c>
      <c r="C665" s="246">
        <v>273.92</v>
      </c>
      <c r="D665" s="246">
        <v>635.26</v>
      </c>
      <c r="E665" s="246">
        <v>45.34</v>
      </c>
      <c r="F665" s="248">
        <f t="shared" si="140"/>
        <v>1.4105364481137306E-2</v>
      </c>
      <c r="G665" s="248">
        <f t="shared" si="141"/>
        <v>-2.6376110779666728E-3</v>
      </c>
      <c r="H665" s="248">
        <f t="shared" si="142"/>
        <v>-3.8448863012192636E-3</v>
      </c>
      <c r="I665" s="249">
        <f t="shared" si="143"/>
        <v>0.523555258913174</v>
      </c>
      <c r="J665" s="249">
        <f t="shared" si="144"/>
        <v>0.5705985610799269</v>
      </c>
      <c r="K665" s="249">
        <f t="shared" si="145"/>
        <v>8.9510993632104352E-2</v>
      </c>
      <c r="L665" s="250">
        <f t="shared" si="135"/>
        <v>152.35552589131765</v>
      </c>
      <c r="M665" s="250">
        <f t="shared" si="136"/>
        <v>157.05985610799317</v>
      </c>
      <c r="N665" s="250">
        <f t="shared" si="137"/>
        <v>108.95109936321039</v>
      </c>
      <c r="O665" s="248">
        <f t="shared" si="138"/>
        <v>-2.9952467379319669E-2</v>
      </c>
      <c r="P665" s="247">
        <f t="shared" si="139"/>
        <v>0.39838447506995389</v>
      </c>
      <c r="Q665" s="251">
        <f t="shared" si="146"/>
        <v>1.523555258913174</v>
      </c>
      <c r="R665" s="251">
        <f t="shared" si="147"/>
        <v>1.6258412592468956</v>
      </c>
      <c r="S665" s="251">
        <f t="shared" si="148"/>
        <v>-6.2912661215831944E-2</v>
      </c>
      <c r="T665" s="252">
        <f>C665*'1. Share_Price_Analysis'!$E$11+T664*(1-'1. Share_Price_Analysis'!$E$11)</f>
        <v>258.36221403643344</v>
      </c>
      <c r="U665" s="253">
        <f t="shared" si="149"/>
        <v>264.46791939234214</v>
      </c>
    </row>
    <row r="666" spans="2:21" x14ac:dyDescent="0.2">
      <c r="B666" s="245">
        <v>45868</v>
      </c>
      <c r="C666" s="246">
        <v>272.77</v>
      </c>
      <c r="D666" s="246">
        <v>634.46</v>
      </c>
      <c r="E666" s="246">
        <v>44.424999999999997</v>
      </c>
      <c r="F666" s="248">
        <f t="shared" si="140"/>
        <v>-4.1983060747664558E-3</v>
      </c>
      <c r="G666" s="248">
        <f t="shared" si="141"/>
        <v>-1.259326889777368E-3</v>
      </c>
      <c r="H666" s="248">
        <f t="shared" si="142"/>
        <v>-2.0180855756506522E-2</v>
      </c>
      <c r="I666" s="249">
        <f t="shared" si="143"/>
        <v>0.5171589076144365</v>
      </c>
      <c r="J666" s="249">
        <f t="shared" si="144"/>
        <v>0.56862066407891332</v>
      </c>
      <c r="K666" s="249">
        <f t="shared" si="145"/>
        <v>6.7523729424486811E-2</v>
      </c>
      <c r="L666" s="250">
        <f t="shared" si="135"/>
        <v>151.71589076144389</v>
      </c>
      <c r="M666" s="250">
        <f t="shared" si="136"/>
        <v>156.8620664078918</v>
      </c>
      <c r="N666" s="250">
        <f t="shared" si="137"/>
        <v>106.75237294244862</v>
      </c>
      <c r="O666" s="248">
        <f t="shared" si="138"/>
        <v>-3.2807011690551002E-2</v>
      </c>
      <c r="P666" s="247">
        <f t="shared" si="139"/>
        <v>0.42119455127461447</v>
      </c>
      <c r="Q666" s="251">
        <f t="shared" si="146"/>
        <v>1.5171589076144365</v>
      </c>
      <c r="R666" s="251">
        <f t="shared" si="147"/>
        <v>1.6258412592468956</v>
      </c>
      <c r="S666" s="251">
        <f t="shared" si="148"/>
        <v>-6.6846840682836195E-2</v>
      </c>
      <c r="T666" s="252">
        <f>C666*'1. Share_Price_Analysis'!$E$11+T665*(1-'1. Share_Price_Analysis'!$E$11)</f>
        <v>258.50557509079732</v>
      </c>
      <c r="U666" s="253">
        <f t="shared" si="149"/>
        <v>264.79349118087777</v>
      </c>
    </row>
    <row r="667" spans="2:21" x14ac:dyDescent="0.2">
      <c r="B667" s="245">
        <v>45869</v>
      </c>
      <c r="C667" s="246">
        <v>274.67</v>
      </c>
      <c r="D667" s="246">
        <v>632.08000000000004</v>
      </c>
      <c r="E667" s="246">
        <v>43.865000000000002</v>
      </c>
      <c r="F667" s="248">
        <f t="shared" si="140"/>
        <v>6.9655753931885389E-3</v>
      </c>
      <c r="G667" s="248">
        <f t="shared" si="141"/>
        <v>-3.7512215112063263E-3</v>
      </c>
      <c r="H667" s="248">
        <f t="shared" si="142"/>
        <v>-1.2605514912774285E-2</v>
      </c>
      <c r="I667" s="249">
        <f t="shared" si="143"/>
        <v>0.52772679236887243</v>
      </c>
      <c r="J667" s="249">
        <f t="shared" si="144"/>
        <v>0.56273642050089778</v>
      </c>
      <c r="K667" s="249">
        <f t="shared" si="145"/>
        <v>5.4067043133485981E-2</v>
      </c>
      <c r="L667" s="250">
        <f t="shared" si="135"/>
        <v>152.77267923688748</v>
      </c>
      <c r="M667" s="250">
        <f t="shared" si="136"/>
        <v>156.27364205009025</v>
      </c>
      <c r="N667" s="250">
        <f t="shared" si="137"/>
        <v>105.40670431334856</v>
      </c>
      <c r="O667" s="248">
        <f t="shared" si="138"/>
        <v>-2.2402772260727066E-2</v>
      </c>
      <c r="P667" s="247">
        <f t="shared" si="139"/>
        <v>0.4493639681848991</v>
      </c>
      <c r="Q667" s="251">
        <f t="shared" si="146"/>
        <v>1.5277267923688724</v>
      </c>
      <c r="R667" s="251">
        <f t="shared" si="147"/>
        <v>1.6258412592468956</v>
      </c>
      <c r="S667" s="251">
        <f t="shared" si="148"/>
        <v>-6.0346891998220409E-2</v>
      </c>
      <c r="T667" s="252">
        <f>C667*'1. Share_Price_Analysis'!$E$11+T666*(1-'1. Share_Price_Analysis'!$E$11)</f>
        <v>258.66641513964515</v>
      </c>
      <c r="U667" s="253">
        <f t="shared" si="149"/>
        <v>265.18080525221592</v>
      </c>
    </row>
    <row r="668" spans="2:21" x14ac:dyDescent="0.2">
      <c r="B668" s="245">
        <v>45870</v>
      </c>
      <c r="C668" s="246">
        <v>274.94</v>
      </c>
      <c r="D668" s="246">
        <v>621.72</v>
      </c>
      <c r="E668" s="246">
        <v>43.36</v>
      </c>
      <c r="F668" s="248">
        <f t="shared" si="140"/>
        <v>9.8299777915311637E-4</v>
      </c>
      <c r="G668" s="248">
        <f t="shared" si="141"/>
        <v>-1.6390330337931913E-2</v>
      </c>
      <c r="H668" s="248">
        <f t="shared" si="142"/>
        <v>-1.1512595463353481E-2</v>
      </c>
      <c r="I668" s="249">
        <f t="shared" si="143"/>
        <v>0.52922854441292366</v>
      </c>
      <c r="J668" s="249">
        <f t="shared" si="144"/>
        <v>0.53712265433777073</v>
      </c>
      <c r="K668" s="249">
        <f t="shared" si="145"/>
        <v>4.1931995674636902E-2</v>
      </c>
      <c r="L668" s="250">
        <f t="shared" si="135"/>
        <v>152.92285444129263</v>
      </c>
      <c r="M668" s="250">
        <f t="shared" si="136"/>
        <v>153.71226543377753</v>
      </c>
      <c r="N668" s="250">
        <f t="shared" si="137"/>
        <v>104.19319956746365</v>
      </c>
      <c r="O668" s="248">
        <f t="shared" si="138"/>
        <v>-5.1356408693671307E-3</v>
      </c>
      <c r="P668" s="247">
        <f t="shared" si="139"/>
        <v>0.46768555986493987</v>
      </c>
      <c r="Q668" s="251">
        <f t="shared" si="146"/>
        <v>1.5292285444129237</v>
      </c>
      <c r="R668" s="251">
        <f t="shared" si="147"/>
        <v>1.6258412592468956</v>
      </c>
      <c r="S668" s="251">
        <f t="shared" si="148"/>
        <v>-5.9423215079880465E-2</v>
      </c>
      <c r="T668" s="252">
        <f>C668*'1. Share_Price_Analysis'!$E$11+T667*(1-'1. Share_Price_Analysis'!$E$11)</f>
        <v>258.82834135716115</v>
      </c>
      <c r="U668" s="253">
        <f t="shared" si="149"/>
        <v>265.56351877173688</v>
      </c>
    </row>
    <row r="669" spans="2:21" x14ac:dyDescent="0.2">
      <c r="B669" s="245">
        <v>45873</v>
      </c>
      <c r="C669" s="246">
        <v>281.85000000000002</v>
      </c>
      <c r="D669" s="246">
        <v>631.16999999999996</v>
      </c>
      <c r="E669" s="246">
        <v>43.935000000000002</v>
      </c>
      <c r="F669" s="248">
        <f t="shared" si="140"/>
        <v>2.5132756237724596E-2</v>
      </c>
      <c r="G669" s="248">
        <f t="shared" si="141"/>
        <v>1.519976838448156E-2</v>
      </c>
      <c r="H669" s="248">
        <f t="shared" si="142"/>
        <v>1.3261070110701212E-2</v>
      </c>
      <c r="I669" s="249">
        <f t="shared" si="143"/>
        <v>0.56766227265142399</v>
      </c>
      <c r="J669" s="249">
        <f t="shared" si="144"/>
        <v>0.56048656266224439</v>
      </c>
      <c r="K669" s="249">
        <f t="shared" si="145"/>
        <v>5.5749128919861057E-2</v>
      </c>
      <c r="L669" s="250">
        <f t="shared" si="135"/>
        <v>156.76622726514267</v>
      </c>
      <c r="M669" s="250">
        <f t="shared" si="136"/>
        <v>156.0486562662249</v>
      </c>
      <c r="N669" s="250">
        <f t="shared" si="137"/>
        <v>105.57491289198606</v>
      </c>
      <c r="O669" s="248">
        <f t="shared" si="138"/>
        <v>4.598379864891422E-3</v>
      </c>
      <c r="P669" s="247">
        <f t="shared" si="139"/>
        <v>0.48488142657082012</v>
      </c>
      <c r="Q669" s="251">
        <f t="shared" si="146"/>
        <v>1.567662272651424</v>
      </c>
      <c r="R669" s="251">
        <f t="shared" si="147"/>
        <v>1.6258412592468956</v>
      </c>
      <c r="S669" s="251">
        <f t="shared" si="148"/>
        <v>-3.5783928021620448E-2</v>
      </c>
      <c r="T669" s="252">
        <f>C669*'1. Share_Price_Analysis'!$E$11+T668*(1-'1. Share_Price_Analysis'!$E$11)</f>
        <v>259.05741258743814</v>
      </c>
      <c r="U669" s="253">
        <f t="shared" si="149"/>
        <v>266.20220431010011</v>
      </c>
    </row>
    <row r="670" spans="2:21" x14ac:dyDescent="0.2">
      <c r="B670" s="245">
        <v>45874</v>
      </c>
      <c r="C670" s="246">
        <v>283.17</v>
      </c>
      <c r="D670" s="246">
        <v>627.97</v>
      </c>
      <c r="E670" s="246">
        <v>44.244999999999997</v>
      </c>
      <c r="F670" s="248">
        <f t="shared" si="140"/>
        <v>4.6833422032996896E-3</v>
      </c>
      <c r="G670" s="248">
        <f t="shared" si="141"/>
        <v>-5.0699494589412364E-3</v>
      </c>
      <c r="H670" s="248">
        <f t="shared" si="142"/>
        <v>7.055878001593241E-3</v>
      </c>
      <c r="I670" s="249">
        <f t="shared" si="143"/>
        <v>0.57500417153345307</v>
      </c>
      <c r="J670" s="249">
        <f t="shared" si="144"/>
        <v>0.55257497465818983</v>
      </c>
      <c r="K670" s="249">
        <f t="shared" si="145"/>
        <v>6.3198365973808013E-2</v>
      </c>
      <c r="L670" s="250">
        <f t="shared" si="135"/>
        <v>157.50041715334561</v>
      </c>
      <c r="M670" s="250">
        <f t="shared" si="136"/>
        <v>155.25749746581948</v>
      </c>
      <c r="N670" s="250">
        <f t="shared" si="137"/>
        <v>106.31983659738073</v>
      </c>
      <c r="O670" s="248">
        <f t="shared" si="138"/>
        <v>1.4446450085414453E-2</v>
      </c>
      <c r="P670" s="247">
        <f t="shared" si="139"/>
        <v>0.48138317546309461</v>
      </c>
      <c r="Q670" s="251">
        <f t="shared" si="146"/>
        <v>1.5750041715334531</v>
      </c>
      <c r="R670" s="251">
        <f t="shared" si="147"/>
        <v>1.6258412592468956</v>
      </c>
      <c r="S670" s="251">
        <f t="shared" si="148"/>
        <v>-3.1268174198624266E-2</v>
      </c>
      <c r="T670" s="252">
        <f>C670*'1. Share_Price_Analysis'!$E$11+T669*(1-'1. Share_Price_Analysis'!$E$11)</f>
        <v>259.29733883034919</v>
      </c>
      <c r="U670" s="253">
        <f t="shared" si="149"/>
        <v>266.86760806264522</v>
      </c>
    </row>
    <row r="671" spans="2:21" x14ac:dyDescent="0.2">
      <c r="B671" s="245">
        <v>45875</v>
      </c>
      <c r="C671" s="246">
        <v>281.58999999999997</v>
      </c>
      <c r="D671" s="246">
        <v>632.78</v>
      </c>
      <c r="E671" s="246">
        <v>43.765000000000001</v>
      </c>
      <c r="F671" s="248">
        <f t="shared" si="140"/>
        <v>-5.5796871137481219E-3</v>
      </c>
      <c r="G671" s="248">
        <f t="shared" si="141"/>
        <v>7.6596015733234601E-3</v>
      </c>
      <c r="H671" s="248">
        <f t="shared" si="142"/>
        <v>-1.0848683467058362E-2</v>
      </c>
      <c r="I671" s="249">
        <f t="shared" si="143"/>
        <v>0.56621614105344831</v>
      </c>
      <c r="J671" s="249">
        <f t="shared" si="144"/>
        <v>0.56446708037678439</v>
      </c>
      <c r="K671" s="249">
        <f t="shared" si="145"/>
        <v>5.1664063438664476E-2</v>
      </c>
      <c r="L671" s="250">
        <f t="shared" si="135"/>
        <v>156.62161410534512</v>
      </c>
      <c r="M671" s="250">
        <f t="shared" si="136"/>
        <v>156.44670803767892</v>
      </c>
      <c r="N671" s="250">
        <f t="shared" si="137"/>
        <v>105.16640634386638</v>
      </c>
      <c r="O671" s="248">
        <f t="shared" si="138"/>
        <v>1.1179913585925849E-3</v>
      </c>
      <c r="P671" s="247">
        <f t="shared" si="139"/>
        <v>0.48927418507801246</v>
      </c>
      <c r="Q671" s="251">
        <f t="shared" si="146"/>
        <v>1.5662161410534483</v>
      </c>
      <c r="R671" s="251">
        <f t="shared" si="147"/>
        <v>1.6258412592468956</v>
      </c>
      <c r="S671" s="251">
        <f t="shared" si="148"/>
        <v>-3.667339468372588E-2</v>
      </c>
      <c r="T671" s="252">
        <f>C671*'1. Share_Price_Analysis'!$E$11+T670*(1-'1. Share_Price_Analysis'!$E$11)</f>
        <v>259.51915635442532</v>
      </c>
      <c r="U671" s="253">
        <f t="shared" si="149"/>
        <v>267.4449567660709</v>
      </c>
    </row>
    <row r="672" spans="2:21" x14ac:dyDescent="0.2">
      <c r="B672" s="245">
        <v>45876</v>
      </c>
      <c r="C672" s="246">
        <v>282.10000000000002</v>
      </c>
      <c r="D672" s="246">
        <v>632.25</v>
      </c>
      <c r="E672" s="246">
        <v>43.954999999999998</v>
      </c>
      <c r="F672" s="248">
        <f t="shared" si="140"/>
        <v>1.8111438616430497E-3</v>
      </c>
      <c r="G672" s="248">
        <f t="shared" si="141"/>
        <v>-8.3757388033756097E-4</v>
      </c>
      <c r="H672" s="248">
        <f t="shared" si="142"/>
        <v>4.3413686735975787E-3</v>
      </c>
      <c r="I672" s="249">
        <f t="shared" si="143"/>
        <v>0.56905278380332347</v>
      </c>
      <c r="J672" s="249">
        <f t="shared" si="144"/>
        <v>0.5631567236136128</v>
      </c>
      <c r="K672" s="249">
        <f t="shared" si="145"/>
        <v>5.6229724858825492E-2</v>
      </c>
      <c r="L672" s="250">
        <f t="shared" si="135"/>
        <v>156.90527838033265</v>
      </c>
      <c r="M672" s="250">
        <f t="shared" si="136"/>
        <v>156.31567236136178</v>
      </c>
      <c r="N672" s="250">
        <f t="shared" si="137"/>
        <v>105.62297248588249</v>
      </c>
      <c r="O672" s="248">
        <f t="shared" si="138"/>
        <v>3.7718931829691105E-3</v>
      </c>
      <c r="P672" s="247">
        <f t="shared" si="139"/>
        <v>0.48552227500796885</v>
      </c>
      <c r="Q672" s="251">
        <f t="shared" si="146"/>
        <v>1.5690527838033235</v>
      </c>
      <c r="R672" s="251">
        <f t="shared" si="147"/>
        <v>1.6258412592468956</v>
      </c>
      <c r="S672" s="251">
        <f t="shared" si="148"/>
        <v>-3.4928671615749862E-2</v>
      </c>
      <c r="T672" s="252">
        <f>C672*'1. Share_Price_Analysis'!$E$11+T671*(1-'1. Share_Price_Analysis'!$E$11)</f>
        <v>259.7438413658241</v>
      </c>
      <c r="U672" s="253">
        <f t="shared" si="149"/>
        <v>268.01966434387202</v>
      </c>
    </row>
    <row r="673" spans="2:21" x14ac:dyDescent="0.2">
      <c r="B673" s="245">
        <v>45877</v>
      </c>
      <c r="C673" s="246">
        <v>286.52</v>
      </c>
      <c r="D673" s="246">
        <v>637.17999999999995</v>
      </c>
      <c r="E673" s="246">
        <v>44.174999999999997</v>
      </c>
      <c r="F673" s="248">
        <f t="shared" si="140"/>
        <v>1.5668202764976824E-2</v>
      </c>
      <c r="G673" s="248">
        <f t="shared" si="141"/>
        <v>7.7975484381178628E-3</v>
      </c>
      <c r="H673" s="248">
        <f t="shared" si="142"/>
        <v>5.0051188715731776E-3</v>
      </c>
      <c r="I673" s="249">
        <f t="shared" si="143"/>
        <v>0.59363702096890525</v>
      </c>
      <c r="J673" s="249">
        <f t="shared" si="144"/>
        <v>0.57534551388235955</v>
      </c>
      <c r="K673" s="249">
        <f t="shared" si="145"/>
        <v>6.1516280187432937E-2</v>
      </c>
      <c r="L673" s="250">
        <f t="shared" si="135"/>
        <v>159.36370209689082</v>
      </c>
      <c r="M673" s="250">
        <f t="shared" si="136"/>
        <v>157.53455138823645</v>
      </c>
      <c r="N673" s="250">
        <f t="shared" si="137"/>
        <v>106.15162801874322</v>
      </c>
      <c r="O673" s="248">
        <f t="shared" si="138"/>
        <v>1.1611108119048197E-2</v>
      </c>
      <c r="P673" s="247">
        <f t="shared" si="139"/>
        <v>0.50128363616572624</v>
      </c>
      <c r="Q673" s="251">
        <f t="shared" si="146"/>
        <v>1.5936370209689052</v>
      </c>
      <c r="R673" s="251">
        <f t="shared" si="147"/>
        <v>1.6258412592468956</v>
      </c>
      <c r="S673" s="251">
        <f t="shared" si="148"/>
        <v>-1.980773835995997E-2</v>
      </c>
      <c r="T673" s="252">
        <f>C673*'1. Share_Price_Analysis'!$E$11+T672*(1-'1. Share_Price_Analysis'!$E$11)</f>
        <v>260.01027080497016</v>
      </c>
      <c r="U673" s="253">
        <f t="shared" si="149"/>
        <v>268.74516770293587</v>
      </c>
    </row>
    <row r="674" spans="2:21" x14ac:dyDescent="0.2">
      <c r="B674" s="245">
        <v>45880</v>
      </c>
      <c r="C674" s="246">
        <v>285.24</v>
      </c>
      <c r="D674" s="246">
        <v>635.91999999999996</v>
      </c>
      <c r="E674" s="246">
        <v>44.075000000000003</v>
      </c>
      <c r="F674" s="248">
        <f t="shared" si="140"/>
        <v>-4.4674019265670273E-3</v>
      </c>
      <c r="G674" s="248">
        <f t="shared" si="141"/>
        <v>-1.9774631972127032E-3</v>
      </c>
      <c r="H674" s="248">
        <f t="shared" si="142"/>
        <v>-2.2637238256931758E-3</v>
      </c>
      <c r="I674" s="249">
        <f t="shared" si="143"/>
        <v>0.58651760387118013</v>
      </c>
      <c r="J674" s="249">
        <f t="shared" si="144"/>
        <v>0.57223032610576308</v>
      </c>
      <c r="K674" s="249">
        <f t="shared" si="145"/>
        <v>5.9113300492611431E-2</v>
      </c>
      <c r="L674" s="250">
        <f t="shared" si="135"/>
        <v>158.65176038711832</v>
      </c>
      <c r="M674" s="250">
        <f t="shared" si="136"/>
        <v>157.22303261057678</v>
      </c>
      <c r="N674" s="250">
        <f t="shared" si="137"/>
        <v>105.91133004926108</v>
      </c>
      <c r="O674" s="248">
        <f t="shared" si="138"/>
        <v>9.0872676402349306E-3</v>
      </c>
      <c r="P674" s="247">
        <f t="shared" si="139"/>
        <v>0.49796778412022968</v>
      </c>
      <c r="Q674" s="251">
        <f t="shared" si="146"/>
        <v>1.5865176038711801</v>
      </c>
      <c r="R674" s="251">
        <f t="shared" si="147"/>
        <v>1.6258412592468956</v>
      </c>
      <c r="S674" s="251">
        <f t="shared" si="148"/>
        <v>-2.4186651158016881E-2</v>
      </c>
      <c r="T674" s="252">
        <f>C674*'1. Share_Price_Analysis'!$E$11+T673*(1-'1. Share_Price_Analysis'!$E$11)</f>
        <v>260.26131288651277</v>
      </c>
      <c r="U674" s="253">
        <f t="shared" si="149"/>
        <v>269.3920238714482</v>
      </c>
    </row>
    <row r="675" spans="2:21" x14ac:dyDescent="0.2">
      <c r="B675" s="245">
        <v>45881</v>
      </c>
      <c r="C675" s="246">
        <v>291.89</v>
      </c>
      <c r="D675" s="246">
        <v>642.69000000000005</v>
      </c>
      <c r="E675" s="246">
        <v>44.65</v>
      </c>
      <c r="F675" s="248">
        <f t="shared" si="140"/>
        <v>2.3313700743233579E-2</v>
      </c>
      <c r="G675" s="248">
        <f t="shared" si="141"/>
        <v>1.0645993206692905E-2</v>
      </c>
      <c r="H675" s="248">
        <f t="shared" si="142"/>
        <v>1.3045944412932498E-2</v>
      </c>
      <c r="I675" s="249">
        <f t="shared" si="143"/>
        <v>0.62350520051170477</v>
      </c>
      <c r="J675" s="249">
        <f t="shared" si="144"/>
        <v>0.58896827947684161</v>
      </c>
      <c r="K675" s="249">
        <f t="shared" si="145"/>
        <v>7.2930433737835587E-2</v>
      </c>
      <c r="L675" s="250">
        <f t="shared" si="135"/>
        <v>162.3505200511708</v>
      </c>
      <c r="M675" s="250">
        <f t="shared" si="136"/>
        <v>158.89682794768461</v>
      </c>
      <c r="N675" s="250">
        <f t="shared" si="137"/>
        <v>107.29304337378349</v>
      </c>
      <c r="O675" s="248">
        <f t="shared" si="138"/>
        <v>2.1735437693088722E-2</v>
      </c>
      <c r="P675" s="247">
        <f t="shared" si="139"/>
        <v>0.51315047971544359</v>
      </c>
      <c r="Q675" s="251">
        <f t="shared" si="146"/>
        <v>1.6235052005117048</v>
      </c>
      <c r="R675" s="251">
        <f t="shared" si="147"/>
        <v>1.6258412592468956</v>
      </c>
      <c r="S675" s="251">
        <f t="shared" si="148"/>
        <v>-1.4368307618622955E-3</v>
      </c>
      <c r="T675" s="252">
        <f>C675*'1. Share_Price_Analysis'!$E$11+T674*(1-'1. Share_Price_Analysis'!$E$11)</f>
        <v>260.57602619112458</v>
      </c>
      <c r="U675" s="253">
        <f t="shared" si="149"/>
        <v>270.27429744511687</v>
      </c>
    </row>
    <row r="676" spans="2:21" x14ac:dyDescent="0.2">
      <c r="B676" s="245">
        <v>45882</v>
      </c>
      <c r="C676" s="246">
        <v>295.64</v>
      </c>
      <c r="D676" s="246">
        <v>644.89</v>
      </c>
      <c r="E676" s="246">
        <v>45.49</v>
      </c>
      <c r="F676" s="248">
        <f t="shared" si="140"/>
        <v>1.2847305491794803E-2</v>
      </c>
      <c r="G676" s="248">
        <f t="shared" si="141"/>
        <v>3.4231122314023477E-3</v>
      </c>
      <c r="H676" s="248">
        <f t="shared" si="142"/>
        <v>1.8812989921612511E-2</v>
      </c>
      <c r="I676" s="249">
        <f t="shared" si="143"/>
        <v>0.64436286779019625</v>
      </c>
      <c r="J676" s="249">
        <f t="shared" si="144"/>
        <v>0.59440749622962907</v>
      </c>
      <c r="K676" s="249">
        <f t="shared" si="145"/>
        <v>9.3115463174336721E-2</v>
      </c>
      <c r="L676" s="250">
        <f t="shared" si="135"/>
        <v>164.43628677901995</v>
      </c>
      <c r="M676" s="250">
        <f t="shared" si="136"/>
        <v>159.44074962296338</v>
      </c>
      <c r="N676" s="250">
        <f t="shared" si="137"/>
        <v>109.31154631743362</v>
      </c>
      <c r="O676" s="248">
        <f t="shared" si="138"/>
        <v>3.133162110608434E-2</v>
      </c>
      <c r="P676" s="247">
        <f t="shared" si="139"/>
        <v>0.50429018999975783</v>
      </c>
      <c r="Q676" s="251">
        <f t="shared" si="146"/>
        <v>1.6443628677901962</v>
      </c>
      <c r="R676" s="251">
        <f t="shared" si="147"/>
        <v>1.6443628677901962</v>
      </c>
      <c r="S676" s="251">
        <f t="shared" si="148"/>
        <v>0</v>
      </c>
      <c r="T676" s="252">
        <f>C676*'1. Share_Price_Analysis'!$E$11+T675*(1-'1. Share_Price_Analysis'!$E$11)</f>
        <v>260.92492145290441</v>
      </c>
      <c r="U676" s="253">
        <f t="shared" si="149"/>
        <v>271.26903087864173</v>
      </c>
    </row>
    <row r="677" spans="2:21" x14ac:dyDescent="0.2">
      <c r="B677" s="245">
        <v>45883</v>
      </c>
      <c r="C677" s="246">
        <v>293.10000000000002</v>
      </c>
      <c r="D677" s="246">
        <v>644.95000000000005</v>
      </c>
      <c r="E677" s="246">
        <v>45.015000000000001</v>
      </c>
      <c r="F677" s="248">
        <f t="shared" si="140"/>
        <v>-8.5915302394803383E-3</v>
      </c>
      <c r="G677" s="248">
        <f t="shared" si="141"/>
        <v>9.3039122951221742E-5</v>
      </c>
      <c r="H677" s="248">
        <f t="shared" si="142"/>
        <v>-1.0441855352824825E-2</v>
      </c>
      <c r="I677" s="249">
        <f t="shared" si="143"/>
        <v>0.6302352744868982</v>
      </c>
      <c r="J677" s="249">
        <f t="shared" si="144"/>
        <v>0.59455583850470517</v>
      </c>
      <c r="K677" s="249">
        <f t="shared" si="145"/>
        <v>8.1701309623934293E-2</v>
      </c>
      <c r="L677" s="250">
        <f t="shared" si="135"/>
        <v>163.02352744869015</v>
      </c>
      <c r="M677" s="250">
        <f t="shared" si="136"/>
        <v>159.45558385047099</v>
      </c>
      <c r="N677" s="250">
        <f t="shared" si="137"/>
        <v>108.17013096239336</v>
      </c>
      <c r="O677" s="248">
        <f t="shared" si="138"/>
        <v>2.2375783350209622E-2</v>
      </c>
      <c r="P677" s="247">
        <f t="shared" si="139"/>
        <v>0.50710298673269416</v>
      </c>
      <c r="Q677" s="251">
        <f t="shared" si="146"/>
        <v>1.6302352744868982</v>
      </c>
      <c r="R677" s="251">
        <f t="shared" si="147"/>
        <v>1.6443628677901962</v>
      </c>
      <c r="S677" s="251">
        <f t="shared" si="148"/>
        <v>-8.5915302394803383E-3</v>
      </c>
      <c r="T677" s="252">
        <f>C677*'1. Share_Price_Analysis'!$E$11+T676*(1-'1. Share_Price_Analysis'!$E$11)</f>
        <v>261.2450714881989</v>
      </c>
      <c r="U677" s="253">
        <f t="shared" si="149"/>
        <v>272.12514731477341</v>
      </c>
    </row>
    <row r="678" spans="2:21" x14ac:dyDescent="0.2">
      <c r="B678" s="245">
        <v>45884</v>
      </c>
      <c r="C678" s="246">
        <v>291.62</v>
      </c>
      <c r="D678" s="246">
        <v>643.44000000000005</v>
      </c>
      <c r="E678" s="246">
        <v>45.015000000000001</v>
      </c>
      <c r="F678" s="248">
        <f t="shared" si="140"/>
        <v>-5.0494711702491202E-3</v>
      </c>
      <c r="G678" s="248">
        <f t="shared" si="141"/>
        <v>-2.3412667648654573E-3</v>
      </c>
      <c r="H678" s="248">
        <f t="shared" si="142"/>
        <v>0</v>
      </c>
      <c r="I678" s="249">
        <f t="shared" si="143"/>
        <v>0.62200344846765354</v>
      </c>
      <c r="J678" s="249">
        <f t="shared" si="144"/>
        <v>0.59082255791529192</v>
      </c>
      <c r="K678" s="249">
        <f t="shared" si="145"/>
        <v>8.1701309623934293E-2</v>
      </c>
      <c r="L678" s="250">
        <f t="shared" si="135"/>
        <v>162.20034484676569</v>
      </c>
      <c r="M678" s="250">
        <f t="shared" si="136"/>
        <v>159.08225579152966</v>
      </c>
      <c r="N678" s="250">
        <f t="shared" si="137"/>
        <v>108.17013096239336</v>
      </c>
      <c r="O678" s="248">
        <f t="shared" si="138"/>
        <v>1.9600483031384064E-2</v>
      </c>
      <c r="P678" s="247">
        <f t="shared" si="139"/>
        <v>0.49949291365059123</v>
      </c>
      <c r="Q678" s="251">
        <f t="shared" si="146"/>
        <v>1.6220034484676535</v>
      </c>
      <c r="R678" s="251">
        <f t="shared" si="147"/>
        <v>1.6443628677901962</v>
      </c>
      <c r="S678" s="251">
        <f t="shared" si="148"/>
        <v>-1.3597618725476823E-2</v>
      </c>
      <c r="T678" s="252">
        <f>C678*'1. Share_Price_Analysis'!$E$11+T677*(1-'1. Share_Price_Analysis'!$E$11)</f>
        <v>261.5473095828437</v>
      </c>
      <c r="U678" s="253">
        <f t="shared" si="149"/>
        <v>272.88965134164505</v>
      </c>
    </row>
    <row r="679" spans="2:21" x14ac:dyDescent="0.2">
      <c r="B679" s="245">
        <v>45887</v>
      </c>
      <c r="C679" s="246">
        <v>289.88</v>
      </c>
      <c r="D679" s="246">
        <v>643.29999999999995</v>
      </c>
      <c r="E679" s="246">
        <v>44.755000000000003</v>
      </c>
      <c r="F679" s="248">
        <f t="shared" si="140"/>
        <v>-5.9666689527467787E-3</v>
      </c>
      <c r="G679" s="248">
        <f t="shared" si="141"/>
        <v>-2.1758050478692947E-4</v>
      </c>
      <c r="H679" s="248">
        <f t="shared" si="142"/>
        <v>-5.7758524936132316E-3</v>
      </c>
      <c r="I679" s="249">
        <f t="shared" si="143"/>
        <v>0.61232549085043342</v>
      </c>
      <c r="J679" s="249">
        <f t="shared" si="144"/>
        <v>0.59047642594011429</v>
      </c>
      <c r="K679" s="249">
        <f t="shared" si="145"/>
        <v>7.5453562417398201E-2</v>
      </c>
      <c r="L679" s="250">
        <f t="shared" si="135"/>
        <v>161.23254908504367</v>
      </c>
      <c r="M679" s="250">
        <f t="shared" si="136"/>
        <v>159.0476425940119</v>
      </c>
      <c r="N679" s="250">
        <f t="shared" si="137"/>
        <v>107.54535624173975</v>
      </c>
      <c r="O679" s="248">
        <f t="shared" si="138"/>
        <v>1.3737433987683456E-2</v>
      </c>
      <c r="P679" s="247">
        <f t="shared" si="139"/>
        <v>0.49920512348878887</v>
      </c>
      <c r="Q679" s="251">
        <f t="shared" si="146"/>
        <v>1.6123254908504334</v>
      </c>
      <c r="R679" s="251">
        <f t="shared" si="147"/>
        <v>1.6443628677901962</v>
      </c>
      <c r="S679" s="251">
        <f t="shared" si="148"/>
        <v>-1.9483155188742995E-2</v>
      </c>
      <c r="T679" s="252">
        <f>C679*'1. Share_Price_Analysis'!$E$11+T678*(1-'1. Share_Price_Analysis'!$E$11)</f>
        <v>261.82922690042733</v>
      </c>
      <c r="U679" s="253">
        <f t="shared" si="149"/>
        <v>273.55593952432565</v>
      </c>
    </row>
    <row r="680" spans="2:21" x14ac:dyDescent="0.2">
      <c r="B680" s="245">
        <v>45888</v>
      </c>
      <c r="C680" s="246">
        <v>292.83999999999997</v>
      </c>
      <c r="D680" s="246">
        <v>639.80999999999995</v>
      </c>
      <c r="E680" s="246">
        <v>45.024999999999999</v>
      </c>
      <c r="F680" s="248">
        <f t="shared" si="140"/>
        <v>1.0211121843521465E-2</v>
      </c>
      <c r="G680" s="248">
        <f t="shared" si="141"/>
        <v>-5.4251515622570912E-3</v>
      </c>
      <c r="H680" s="248">
        <f t="shared" si="142"/>
        <v>6.032845492123684E-3</v>
      </c>
      <c r="I680" s="249">
        <f t="shared" si="143"/>
        <v>0.62878914288892274</v>
      </c>
      <c r="J680" s="249">
        <f t="shared" si="144"/>
        <v>0.5818478502731923</v>
      </c>
      <c r="K680" s="249">
        <f t="shared" si="145"/>
        <v>8.1941607593416288E-2</v>
      </c>
      <c r="L680" s="250">
        <f t="shared" si="135"/>
        <v>162.87891428889259</v>
      </c>
      <c r="M680" s="250">
        <f t="shared" si="136"/>
        <v>158.18478502731966</v>
      </c>
      <c r="N680" s="250">
        <f t="shared" si="137"/>
        <v>108.19416075934159</v>
      </c>
      <c r="O680" s="248">
        <f t="shared" si="138"/>
        <v>2.9674973233123181E-2</v>
      </c>
      <c r="P680" s="247">
        <f t="shared" si="139"/>
        <v>0.50543165311099369</v>
      </c>
      <c r="Q680" s="251">
        <f t="shared" si="146"/>
        <v>1.6287891428889227</v>
      </c>
      <c r="R680" s="251">
        <f t="shared" si="147"/>
        <v>1.6443628677901962</v>
      </c>
      <c r="S680" s="251">
        <f t="shared" si="148"/>
        <v>-9.4709782167500256E-3</v>
      </c>
      <c r="T680" s="252">
        <f>C680*'1. Share_Price_Analysis'!$E$11+T679*(1-'1. Share_Price_Analysis'!$E$11)</f>
        <v>262.13779180689073</v>
      </c>
      <c r="U680" s="253">
        <f t="shared" si="149"/>
        <v>274.31217719003837</v>
      </c>
    </row>
    <row r="681" spans="2:21" x14ac:dyDescent="0.2">
      <c r="B681" s="245">
        <v>45889</v>
      </c>
      <c r="C681" s="246">
        <v>286.27999999999997</v>
      </c>
      <c r="D681" s="246">
        <v>638.11</v>
      </c>
      <c r="E681" s="246">
        <v>45.06</v>
      </c>
      <c r="F681" s="248">
        <f t="shared" si="140"/>
        <v>-2.2401311296270987E-2</v>
      </c>
      <c r="G681" s="248">
        <f t="shared" si="141"/>
        <v>-2.6570388083961838E-3</v>
      </c>
      <c r="H681" s="248">
        <f t="shared" si="142"/>
        <v>7.7734591893396932E-4</v>
      </c>
      <c r="I681" s="249">
        <f t="shared" si="143"/>
        <v>0.59230213026308154</v>
      </c>
      <c r="J681" s="249">
        <f t="shared" si="144"/>
        <v>0.57764481914603838</v>
      </c>
      <c r="K681" s="249">
        <f t="shared" si="145"/>
        <v>8.2782650486603826E-2</v>
      </c>
      <c r="L681" s="250">
        <f t="shared" si="135"/>
        <v>159.23021302630846</v>
      </c>
      <c r="M681" s="250">
        <f t="shared" si="136"/>
        <v>157.76448191460429</v>
      </c>
      <c r="N681" s="250">
        <f t="shared" si="137"/>
        <v>108.27826504866034</v>
      </c>
      <c r="O681" s="248">
        <f t="shared" si="138"/>
        <v>9.2906279912718936E-3</v>
      </c>
      <c r="P681" s="247">
        <f t="shared" si="139"/>
        <v>0.47056487241229727</v>
      </c>
      <c r="Q681" s="251">
        <f t="shared" si="146"/>
        <v>1.5923021302630815</v>
      </c>
      <c r="R681" s="251">
        <f t="shared" si="147"/>
        <v>1.6443628677901962</v>
      </c>
      <c r="S681" s="251">
        <f t="shared" si="148"/>
        <v>-3.1660127181707409E-2</v>
      </c>
      <c r="T681" s="252">
        <f>C681*'1. Share_Price_Analysis'!$E$11+T680*(1-'1. Share_Price_Analysis'!$E$11)</f>
        <v>262.37801278393658</v>
      </c>
      <c r="U681" s="253">
        <f t="shared" si="149"/>
        <v>274.78150357474277</v>
      </c>
    </row>
    <row r="682" spans="2:21" x14ac:dyDescent="0.2">
      <c r="B682" s="245">
        <v>45890</v>
      </c>
      <c r="C682" s="246">
        <v>288.27999999999997</v>
      </c>
      <c r="D682" s="246">
        <v>635.54999999999995</v>
      </c>
      <c r="E682" s="246">
        <v>45.195</v>
      </c>
      <c r="F682" s="248">
        <f t="shared" si="140"/>
        <v>6.9861673885707187E-3</v>
      </c>
      <c r="G682" s="248">
        <f t="shared" si="141"/>
        <v>-4.0118474871104759E-3</v>
      </c>
      <c r="H682" s="248">
        <f t="shared" si="142"/>
        <v>2.9960053262316766E-3</v>
      </c>
      <c r="I682" s="249">
        <f t="shared" si="143"/>
        <v>0.60342621947827713</v>
      </c>
      <c r="J682" s="249">
        <f t="shared" si="144"/>
        <v>0.57131554874279455</v>
      </c>
      <c r="K682" s="249">
        <f t="shared" si="145"/>
        <v>8.6026673074612869E-2</v>
      </c>
      <c r="L682" s="250">
        <f t="shared" si="135"/>
        <v>160.34262194782804</v>
      </c>
      <c r="M682" s="250">
        <f t="shared" si="136"/>
        <v>157.13155487427991</v>
      </c>
      <c r="N682" s="250">
        <f t="shared" si="137"/>
        <v>108.60266730746125</v>
      </c>
      <c r="O682" s="248">
        <f t="shared" si="138"/>
        <v>2.0435532990922267E-2</v>
      </c>
      <c r="P682" s="247">
        <f t="shared" si="139"/>
        <v>0.47641513715208506</v>
      </c>
      <c r="Q682" s="251">
        <f t="shared" si="146"/>
        <v>1.6034262194782771</v>
      </c>
      <c r="R682" s="251">
        <f t="shared" si="147"/>
        <v>1.6443628677901962</v>
      </c>
      <c r="S682" s="251">
        <f t="shared" si="148"/>
        <v>-2.489514274117155E-2</v>
      </c>
      <c r="T682" s="252">
        <f>C682*'1. Share_Price_Analysis'!$E$11+T681*(1-'1. Share_Price_Analysis'!$E$11)</f>
        <v>262.63574400001681</v>
      </c>
      <c r="U682" s="253">
        <f t="shared" si="149"/>
        <v>275.31085637573324</v>
      </c>
    </row>
    <row r="683" spans="2:21" x14ac:dyDescent="0.2">
      <c r="B683" s="245">
        <v>45891</v>
      </c>
      <c r="C683" s="246">
        <v>292.39999999999998</v>
      </c>
      <c r="D683" s="246">
        <v>645.30999999999995</v>
      </c>
      <c r="E683" s="246">
        <v>46.09</v>
      </c>
      <c r="F683" s="248">
        <f t="shared" si="140"/>
        <v>1.4291660885250579E-2</v>
      </c>
      <c r="G683" s="248">
        <f t="shared" si="141"/>
        <v>1.5356777594209836E-2</v>
      </c>
      <c r="H683" s="248">
        <f t="shared" si="142"/>
        <v>1.9803075561455996E-2</v>
      </c>
      <c r="I683" s="249">
        <f t="shared" si="143"/>
        <v>0.62634184326157993</v>
      </c>
      <c r="J683" s="249">
        <f t="shared" si="144"/>
        <v>0.59544589215516153</v>
      </c>
      <c r="K683" s="249">
        <f t="shared" si="145"/>
        <v>0.1075333413432662</v>
      </c>
      <c r="L683" s="250">
        <f t="shared" si="135"/>
        <v>162.63418432615828</v>
      </c>
      <c r="M683" s="250">
        <f t="shared" si="136"/>
        <v>159.54458921551657</v>
      </c>
      <c r="N683" s="250">
        <f t="shared" si="137"/>
        <v>110.75333413432658</v>
      </c>
      <c r="O683" s="248">
        <f t="shared" si="138"/>
        <v>1.9365088630290961E-2</v>
      </c>
      <c r="P683" s="247">
        <f t="shared" si="139"/>
        <v>0.46843601230919107</v>
      </c>
      <c r="Q683" s="251">
        <f t="shared" si="146"/>
        <v>1.6263418432615799</v>
      </c>
      <c r="R683" s="251">
        <f t="shared" si="147"/>
        <v>1.6443628677901962</v>
      </c>
      <c r="S683" s="251">
        <f t="shared" si="148"/>
        <v>-1.0959274793667761E-2</v>
      </c>
      <c r="T683" s="252">
        <f>C683*'1. Share_Price_Analysis'!$E$11+T682*(1-'1. Share_Price_Analysis'!$E$11)</f>
        <v>262.93190575126044</v>
      </c>
      <c r="U683" s="253">
        <f t="shared" si="149"/>
        <v>275.98101887080253</v>
      </c>
    </row>
    <row r="684" spans="2:21" x14ac:dyDescent="0.2">
      <c r="B684" s="245">
        <v>45894</v>
      </c>
      <c r="C684" s="246">
        <v>290.3</v>
      </c>
      <c r="D684" s="246">
        <v>642.47</v>
      </c>
      <c r="E684" s="246">
        <v>45.835000000000001</v>
      </c>
      <c r="F684" s="248">
        <f t="shared" si="140"/>
        <v>-7.1819425444594742E-3</v>
      </c>
      <c r="G684" s="248">
        <f t="shared" si="141"/>
        <v>-4.4009855728253111E-3</v>
      </c>
      <c r="H684" s="248">
        <f t="shared" si="142"/>
        <v>-5.5326535040139957E-3</v>
      </c>
      <c r="I684" s="249">
        <f t="shared" si="143"/>
        <v>0.61466154958562491</v>
      </c>
      <c r="J684" s="249">
        <f t="shared" si="144"/>
        <v>0.58842435780156332</v>
      </c>
      <c r="K684" s="249">
        <f t="shared" si="145"/>
        <v>0.10140574312147099</v>
      </c>
      <c r="L684" s="250">
        <f t="shared" si="135"/>
        <v>161.46615495856278</v>
      </c>
      <c r="M684" s="250">
        <f t="shared" si="136"/>
        <v>158.84243578015676</v>
      </c>
      <c r="N684" s="250">
        <f t="shared" si="137"/>
        <v>110.14057431214705</v>
      </c>
      <c r="O684" s="248">
        <f t="shared" si="138"/>
        <v>1.6517747071302047E-2</v>
      </c>
      <c r="P684" s="247">
        <f t="shared" si="139"/>
        <v>0.46600066294329134</v>
      </c>
      <c r="Q684" s="251">
        <f t="shared" si="146"/>
        <v>1.6146615495856249</v>
      </c>
      <c r="R684" s="251">
        <f t="shared" si="147"/>
        <v>1.6443628677901962</v>
      </c>
      <c r="S684" s="251">
        <f t="shared" si="148"/>
        <v>-1.8062508456230142E-2</v>
      </c>
      <c r="T684" s="252">
        <f>C684*'1. Share_Price_Analysis'!$E$11+T683*(1-'1. Share_Price_Analysis'!$E$11)</f>
        <v>263.2042250970191</v>
      </c>
      <c r="U684" s="253">
        <f t="shared" si="149"/>
        <v>276.54254754253577</v>
      </c>
    </row>
    <row r="685" spans="2:21" x14ac:dyDescent="0.2">
      <c r="B685" s="245">
        <v>45895</v>
      </c>
      <c r="C685" s="246">
        <v>291.2</v>
      </c>
      <c r="D685" s="246">
        <v>645.16</v>
      </c>
      <c r="E685" s="246">
        <v>45.96</v>
      </c>
      <c r="F685" s="248">
        <f t="shared" si="140"/>
        <v>3.1002411298655108E-3</v>
      </c>
      <c r="G685" s="248">
        <f t="shared" si="141"/>
        <v>4.186965928370201E-3</v>
      </c>
      <c r="H685" s="248">
        <f t="shared" si="142"/>
        <v>2.7271735573251021E-3</v>
      </c>
      <c r="I685" s="249">
        <f t="shared" si="143"/>
        <v>0.61966738973246271</v>
      </c>
      <c r="J685" s="249">
        <f t="shared" si="144"/>
        <v>0.59507503646747173</v>
      </c>
      <c r="K685" s="249">
        <f t="shared" si="145"/>
        <v>0.10440946773999782</v>
      </c>
      <c r="L685" s="250">
        <f t="shared" si="135"/>
        <v>161.96673897324655</v>
      </c>
      <c r="M685" s="250">
        <f t="shared" si="136"/>
        <v>159.50750364674758</v>
      </c>
      <c r="N685" s="250">
        <f t="shared" si="137"/>
        <v>110.44094677399976</v>
      </c>
      <c r="O685" s="248">
        <f t="shared" si="138"/>
        <v>1.541767797924698E-2</v>
      </c>
      <c r="P685" s="247">
        <f t="shared" si="139"/>
        <v>0.46654609277015724</v>
      </c>
      <c r="Q685" s="251">
        <f t="shared" si="146"/>
        <v>1.6196673897324627</v>
      </c>
      <c r="R685" s="251">
        <f t="shared" si="147"/>
        <v>1.6443628677901962</v>
      </c>
      <c r="S685" s="251">
        <f t="shared" si="148"/>
        <v>-1.5018265457989233E-2</v>
      </c>
      <c r="T685" s="252">
        <f>C685*'1. Share_Price_Analysis'!$E$11+T684*(1-'1. Share_Price_Analysis'!$E$11)</f>
        <v>263.48279002142687</v>
      </c>
      <c r="U685" s="253">
        <f t="shared" si="149"/>
        <v>277.11734959969124</v>
      </c>
    </row>
    <row r="686" spans="2:21" x14ac:dyDescent="0.2">
      <c r="B686" s="245">
        <v>45896</v>
      </c>
      <c r="C686" s="246">
        <v>291.14999999999998</v>
      </c>
      <c r="D686" s="246">
        <v>646.63</v>
      </c>
      <c r="E686" s="246">
        <v>46.075000000000003</v>
      </c>
      <c r="F686" s="248">
        <f t="shared" si="140"/>
        <v>-1.717032967033516E-4</v>
      </c>
      <c r="G686" s="248">
        <f t="shared" si="141"/>
        <v>2.2785045570090645E-3</v>
      </c>
      <c r="H686" s="248">
        <f t="shared" si="142"/>
        <v>2.5021758050478571E-3</v>
      </c>
      <c r="I686" s="249">
        <f t="shared" si="143"/>
        <v>0.61938928750208277</v>
      </c>
      <c r="J686" s="249">
        <f t="shared" si="144"/>
        <v>0.59870942220683432</v>
      </c>
      <c r="K686" s="249">
        <f t="shared" si="145"/>
        <v>0.10717289438904265</v>
      </c>
      <c r="L686" s="250">
        <f t="shared" si="135"/>
        <v>161.93892875020856</v>
      </c>
      <c r="M686" s="250">
        <f t="shared" si="136"/>
        <v>159.87094222068384</v>
      </c>
      <c r="N686" s="250">
        <f t="shared" si="137"/>
        <v>110.71728943890425</v>
      </c>
      <c r="O686" s="248">
        <f t="shared" si="138"/>
        <v>1.2935349606373325E-2</v>
      </c>
      <c r="P686" s="247">
        <f t="shared" si="139"/>
        <v>0.46263451328050276</v>
      </c>
      <c r="Q686" s="251">
        <f t="shared" si="146"/>
        <v>1.6193892875020828</v>
      </c>
      <c r="R686" s="251">
        <f t="shared" si="147"/>
        <v>1.6443628677901962</v>
      </c>
      <c r="S686" s="251">
        <f t="shared" si="148"/>
        <v>-1.5187390069002604E-2</v>
      </c>
      <c r="T686" s="252">
        <f>C686*'1. Share_Price_Analysis'!$E$11+T685*(1-'1. Share_Price_Analysis'!$E$11)</f>
        <v>263.75808564310421</v>
      </c>
      <c r="U686" s="253">
        <f t="shared" si="149"/>
        <v>277.66764961538962</v>
      </c>
    </row>
    <row r="687" spans="2:21" x14ac:dyDescent="0.2">
      <c r="B687" s="245">
        <v>45897</v>
      </c>
      <c r="C687" s="246">
        <v>291.16000000000003</v>
      </c>
      <c r="D687" s="246">
        <v>648.91999999999996</v>
      </c>
      <c r="E687" s="246">
        <v>46.075000000000003</v>
      </c>
      <c r="F687" s="248">
        <f t="shared" si="140"/>
        <v>3.4346556757824942E-5</v>
      </c>
      <c r="G687" s="248">
        <f t="shared" si="141"/>
        <v>3.5414379165827903E-3</v>
      </c>
      <c r="H687" s="248">
        <f t="shared" si="142"/>
        <v>0</v>
      </c>
      <c r="I687" s="249">
        <f t="shared" si="143"/>
        <v>0.61944490794815898</v>
      </c>
      <c r="J687" s="249">
        <f t="shared" si="144"/>
        <v>0.60437115237223571</v>
      </c>
      <c r="K687" s="249">
        <f t="shared" si="145"/>
        <v>0.10717289438904265</v>
      </c>
      <c r="L687" s="250">
        <f t="shared" si="135"/>
        <v>161.94449079481618</v>
      </c>
      <c r="M687" s="250">
        <f t="shared" si="136"/>
        <v>160.43711523722399</v>
      </c>
      <c r="N687" s="250">
        <f t="shared" si="137"/>
        <v>110.71728943890425</v>
      </c>
      <c r="O687" s="248">
        <f t="shared" si="138"/>
        <v>9.3954292020490549E-3</v>
      </c>
      <c r="P687" s="247">
        <f t="shared" si="139"/>
        <v>0.46268474973982898</v>
      </c>
      <c r="Q687" s="251">
        <f t="shared" si="146"/>
        <v>1.619444907948159</v>
      </c>
      <c r="R687" s="251">
        <f t="shared" si="147"/>
        <v>1.6443628677901962</v>
      </c>
      <c r="S687" s="251">
        <f t="shared" si="148"/>
        <v>-1.5153565146799775E-2</v>
      </c>
      <c r="T687" s="252">
        <f>C687*'1. Share_Price_Analysis'!$E$11+T686*(1-'1. Share_Price_Analysis'!$E$11)</f>
        <v>264.03074150735193</v>
      </c>
      <c r="U687" s="253">
        <f t="shared" si="149"/>
        <v>278.19676139517827</v>
      </c>
    </row>
    <row r="688" spans="2:21" x14ac:dyDescent="0.2">
      <c r="B688" s="245">
        <v>45898</v>
      </c>
      <c r="C688" s="246">
        <v>291.16000000000003</v>
      </c>
      <c r="D688" s="246">
        <v>645.04999999999995</v>
      </c>
      <c r="E688" s="246">
        <v>46.14</v>
      </c>
      <c r="F688" s="248">
        <f t="shared" si="140"/>
        <v>0</v>
      </c>
      <c r="G688" s="248">
        <f t="shared" si="141"/>
        <v>-5.9637551624237561E-3</v>
      </c>
      <c r="H688" s="248">
        <f t="shared" si="142"/>
        <v>1.4107433532284386E-3</v>
      </c>
      <c r="I688" s="249">
        <f t="shared" si="143"/>
        <v>0.61944490794815898</v>
      </c>
      <c r="J688" s="249">
        <f t="shared" si="144"/>
        <v>0.59480307562983215</v>
      </c>
      <c r="K688" s="249">
        <f t="shared" si="145"/>
        <v>0.10873483119067662</v>
      </c>
      <c r="L688" s="250">
        <f t="shared" si="135"/>
        <v>161.94449079481618</v>
      </c>
      <c r="M688" s="250">
        <f t="shared" si="136"/>
        <v>159.48030756298363</v>
      </c>
      <c r="N688" s="250">
        <f t="shared" si="137"/>
        <v>110.87348311906764</v>
      </c>
      <c r="O688" s="248">
        <f t="shared" si="138"/>
        <v>1.5451332327406586E-2</v>
      </c>
      <c r="P688" s="247">
        <f t="shared" si="139"/>
        <v>0.46062418388085447</v>
      </c>
      <c r="Q688" s="251">
        <f t="shared" si="146"/>
        <v>1.619444907948159</v>
      </c>
      <c r="R688" s="251">
        <f t="shared" si="147"/>
        <v>1.6443628677901962</v>
      </c>
      <c r="S688" s="251">
        <f t="shared" si="148"/>
        <v>-1.5153565146799775E-2</v>
      </c>
      <c r="T688" s="252">
        <f>C688*'1. Share_Price_Analysis'!$E$11+T687*(1-'1. Share_Price_Analysis'!$E$11)</f>
        <v>264.30068437792556</v>
      </c>
      <c r="U688" s="253">
        <f t="shared" si="149"/>
        <v>278.70512369340662</v>
      </c>
    </row>
    <row r="689" spans="2:21" x14ac:dyDescent="0.2">
      <c r="B689" s="245">
        <v>45902</v>
      </c>
      <c r="C689" s="246">
        <v>292.49</v>
      </c>
      <c r="D689" s="246">
        <v>640.27</v>
      </c>
      <c r="E689" s="246">
        <v>45.795000000000002</v>
      </c>
      <c r="F689" s="248">
        <f t="shared" si="140"/>
        <v>4.5679351559280157E-3</v>
      </c>
      <c r="G689" s="248">
        <f t="shared" si="141"/>
        <v>-7.4102782730020023E-3</v>
      </c>
      <c r="H689" s="248">
        <f t="shared" si="142"/>
        <v>-7.4772431729518418E-3</v>
      </c>
      <c r="I689" s="249">
        <f t="shared" si="143"/>
        <v>0.62684242727626405</v>
      </c>
      <c r="J689" s="249">
        <f t="shared" si="144"/>
        <v>0.58298514104877563</v>
      </c>
      <c r="K689" s="249">
        <f t="shared" si="145"/>
        <v>0.10044455124354212</v>
      </c>
      <c r="L689" s="250">
        <f t="shared" si="135"/>
        <v>162.6842427276267</v>
      </c>
      <c r="M689" s="250">
        <f t="shared" si="136"/>
        <v>158.29851410487797</v>
      </c>
      <c r="N689" s="250">
        <f t="shared" si="137"/>
        <v>110.04445512435419</v>
      </c>
      <c r="O689" s="248">
        <f t="shared" si="138"/>
        <v>2.7705431396804814E-2</v>
      </c>
      <c r="P689" s="247">
        <f t="shared" si="139"/>
        <v>0.4783502044131831</v>
      </c>
      <c r="Q689" s="251">
        <f t="shared" si="146"/>
        <v>1.626842427276264</v>
      </c>
      <c r="R689" s="251">
        <f t="shared" si="147"/>
        <v>1.6443628677901962</v>
      </c>
      <c r="S689" s="251">
        <f t="shared" si="148"/>
        <v>-1.0654850493843404E-2</v>
      </c>
      <c r="T689" s="252">
        <f>C689*'1. Share_Price_Analysis'!$E$11+T688*(1-'1. Share_Price_Analysis'!$E$11)</f>
        <v>264.58117508063276</v>
      </c>
      <c r="U689" s="253">
        <f t="shared" si="149"/>
        <v>279.24570707797892</v>
      </c>
    </row>
    <row r="690" spans="2:21" x14ac:dyDescent="0.2">
      <c r="B690" s="245">
        <v>45903</v>
      </c>
      <c r="C690" s="246">
        <v>288.05</v>
      </c>
      <c r="D690" s="246">
        <v>643.74</v>
      </c>
      <c r="E690" s="246">
        <v>45.484999999999999</v>
      </c>
      <c r="F690" s="248">
        <f t="shared" si="140"/>
        <v>-1.5180006154056569E-2</v>
      </c>
      <c r="G690" s="248">
        <f t="shared" si="141"/>
        <v>5.4195886110548486E-3</v>
      </c>
      <c r="H690" s="248">
        <f t="shared" si="142"/>
        <v>-6.7692979582923973E-3</v>
      </c>
      <c r="I690" s="249">
        <f t="shared" si="143"/>
        <v>0.60214694921853007</v>
      </c>
      <c r="J690" s="249">
        <f t="shared" si="144"/>
        <v>0.59156426929067263</v>
      </c>
      <c r="K690" s="249">
        <f t="shared" si="145"/>
        <v>9.2995314189595168E-2</v>
      </c>
      <c r="L690" s="250">
        <f t="shared" si="135"/>
        <v>160.21469492185329</v>
      </c>
      <c r="M690" s="250">
        <f t="shared" si="136"/>
        <v>159.15642692906766</v>
      </c>
      <c r="N690" s="250">
        <f t="shared" si="137"/>
        <v>109.29953141895949</v>
      </c>
      <c r="O690" s="248">
        <f t="shared" si="138"/>
        <v>6.6492319110518228E-3</v>
      </c>
      <c r="P690" s="247">
        <f t="shared" si="139"/>
        <v>0.46583148932019625</v>
      </c>
      <c r="Q690" s="251">
        <f t="shared" si="146"/>
        <v>1.6021469492185301</v>
      </c>
      <c r="R690" s="251">
        <f t="shared" si="147"/>
        <v>1.6443628677901962</v>
      </c>
      <c r="S690" s="251">
        <f t="shared" si="148"/>
        <v>-2.5673115951832859E-2</v>
      </c>
      <c r="T690" s="252">
        <f>C690*'1. Share_Price_Analysis'!$E$11+T689*(1-'1. Share_Price_Analysis'!$E$11)</f>
        <v>264.8146957265966</v>
      </c>
      <c r="U690" s="253">
        <f t="shared" si="149"/>
        <v>279.59097346707779</v>
      </c>
    </row>
    <row r="691" spans="2:21" x14ac:dyDescent="0.2">
      <c r="B691" s="245">
        <v>45904</v>
      </c>
      <c r="C691" s="246">
        <v>292.33</v>
      </c>
      <c r="D691" s="246">
        <v>649.12</v>
      </c>
      <c r="E691" s="246">
        <v>45.66</v>
      </c>
      <c r="F691" s="248">
        <f t="shared" si="140"/>
        <v>1.4858531504946981E-2</v>
      </c>
      <c r="G691" s="248">
        <f t="shared" si="141"/>
        <v>8.3574113772642011E-3</v>
      </c>
      <c r="H691" s="248">
        <f t="shared" si="142"/>
        <v>3.8474222271078773E-3</v>
      </c>
      <c r="I691" s="249">
        <f t="shared" si="143"/>
        <v>0.62595250013904824</v>
      </c>
      <c r="J691" s="249">
        <f t="shared" si="144"/>
        <v>0.60486562662248966</v>
      </c>
      <c r="K691" s="249">
        <f t="shared" si="145"/>
        <v>9.7200528655533081E-2</v>
      </c>
      <c r="L691" s="250">
        <f t="shared" si="135"/>
        <v>162.59525001390512</v>
      </c>
      <c r="M691" s="250">
        <f t="shared" si="136"/>
        <v>160.48656266224936</v>
      </c>
      <c r="N691" s="250">
        <f t="shared" si="137"/>
        <v>109.72005286555327</v>
      </c>
      <c r="O691" s="248">
        <f t="shared" si="138"/>
        <v>1.3139338999325956E-2</v>
      </c>
      <c r="P691" s="247">
        <f t="shared" si="139"/>
        <v>0.48191005898568728</v>
      </c>
      <c r="Q691" s="251">
        <f t="shared" si="146"/>
        <v>1.6259525001390482</v>
      </c>
      <c r="R691" s="251">
        <f t="shared" si="147"/>
        <v>1.6443628677901962</v>
      </c>
      <c r="S691" s="251">
        <f t="shared" si="148"/>
        <v>-1.1196049249086459E-2</v>
      </c>
      <c r="T691" s="252">
        <f>C691*'1. Share_Price_Analysis'!$E$11+T690*(1-'1. Share_Price_Analysis'!$E$11)</f>
        <v>265.08847984872</v>
      </c>
      <c r="U691" s="253">
        <f t="shared" si="149"/>
        <v>280.09054313503549</v>
      </c>
    </row>
    <row r="692" spans="2:21" x14ac:dyDescent="0.2">
      <c r="B692" s="245">
        <v>45905</v>
      </c>
      <c r="C692" s="246">
        <v>294.81</v>
      </c>
      <c r="D692" s="246">
        <v>647.24</v>
      </c>
      <c r="E692" s="246">
        <v>45.98</v>
      </c>
      <c r="F692" s="248">
        <f t="shared" si="140"/>
        <v>8.4835630965005571E-3</v>
      </c>
      <c r="G692" s="248">
        <f t="shared" si="141"/>
        <v>-2.896228740448592E-3</v>
      </c>
      <c r="H692" s="248">
        <f t="shared" si="142"/>
        <v>7.0083223828296681E-3</v>
      </c>
      <c r="I692" s="249">
        <f t="shared" si="143"/>
        <v>0.63974637076589058</v>
      </c>
      <c r="J692" s="249">
        <f t="shared" si="144"/>
        <v>0.60021756867010767</v>
      </c>
      <c r="K692" s="249">
        <f t="shared" si="145"/>
        <v>0.10489006367896225</v>
      </c>
      <c r="L692" s="250">
        <f t="shared" si="135"/>
        <v>163.97463707658937</v>
      </c>
      <c r="M692" s="250">
        <f t="shared" si="136"/>
        <v>160.02175686701113</v>
      </c>
      <c r="N692" s="250">
        <f t="shared" si="137"/>
        <v>110.48900636789618</v>
      </c>
      <c r="O692" s="248">
        <f t="shared" si="138"/>
        <v>2.4702142302208463E-2</v>
      </c>
      <c r="P692" s="247">
        <f t="shared" si="139"/>
        <v>0.48408101825625316</v>
      </c>
      <c r="Q692" s="251">
        <f t="shared" si="146"/>
        <v>1.6397463707658906</v>
      </c>
      <c r="R692" s="251">
        <f t="shared" si="147"/>
        <v>1.6443628677901962</v>
      </c>
      <c r="S692" s="251">
        <f t="shared" si="148"/>
        <v>-2.8074685428221002E-3</v>
      </c>
      <c r="T692" s="252">
        <f>C692*'1. Share_Price_Analysis'!$E$11+T691*(1-'1. Share_Price_Analysis'!$E$11)</f>
        <v>265.3842163676382</v>
      </c>
      <c r="U692" s="253">
        <f t="shared" si="149"/>
        <v>280.66777673758315</v>
      </c>
    </row>
    <row r="693" spans="2:21" x14ac:dyDescent="0.2">
      <c r="B693" s="245">
        <v>45908</v>
      </c>
      <c r="C693" s="246">
        <v>298.91000000000003</v>
      </c>
      <c r="D693" s="246">
        <v>648.83000000000004</v>
      </c>
      <c r="E693" s="246">
        <v>46.02</v>
      </c>
      <c r="F693" s="248">
        <f t="shared" si="140"/>
        <v>1.3907262304535095E-2</v>
      </c>
      <c r="G693" s="248">
        <f t="shared" si="141"/>
        <v>2.4565848835054194E-3</v>
      </c>
      <c r="H693" s="248">
        <f t="shared" si="142"/>
        <v>8.6994345367563675E-4</v>
      </c>
      <c r="I693" s="249">
        <f t="shared" si="143"/>
        <v>0.66255075365704119</v>
      </c>
      <c r="J693" s="249">
        <f t="shared" si="144"/>
        <v>0.60414863895962245</v>
      </c>
      <c r="K693" s="249">
        <f t="shared" si="145"/>
        <v>0.10585125555689112</v>
      </c>
      <c r="L693" s="250">
        <f t="shared" si="135"/>
        <v>166.25507536570444</v>
      </c>
      <c r="M693" s="250">
        <f t="shared" si="136"/>
        <v>160.41486389596261</v>
      </c>
      <c r="N693" s="250">
        <f t="shared" si="137"/>
        <v>110.58512555568905</v>
      </c>
      <c r="O693" s="248">
        <f t="shared" si="138"/>
        <v>3.6406922200984848E-2</v>
      </c>
      <c r="P693" s="247">
        <f t="shared" si="139"/>
        <v>0.5034126382754831</v>
      </c>
      <c r="Q693" s="251">
        <f t="shared" si="146"/>
        <v>1.6625507536570412</v>
      </c>
      <c r="R693" s="251">
        <f t="shared" si="147"/>
        <v>1.6625507536570412</v>
      </c>
      <c r="S693" s="251">
        <f t="shared" si="148"/>
        <v>0</v>
      </c>
      <c r="T693" s="252">
        <f>C693*'1. Share_Price_Analysis'!$E$11+T692*(1-'1. Share_Price_Analysis'!$E$11)</f>
        <v>265.71780625452737</v>
      </c>
      <c r="U693" s="253">
        <f t="shared" si="149"/>
        <v>281.38315804199169</v>
      </c>
    </row>
    <row r="694" spans="2:21" x14ac:dyDescent="0.2">
      <c r="B694" s="245">
        <v>45909</v>
      </c>
      <c r="C694" s="246">
        <v>292.44</v>
      </c>
      <c r="D694" s="246">
        <v>650.33000000000004</v>
      </c>
      <c r="E694" s="246">
        <v>45.27</v>
      </c>
      <c r="F694" s="248">
        <f t="shared" si="140"/>
        <v>-2.1645311297715075E-2</v>
      </c>
      <c r="G694" s="248">
        <f t="shared" si="141"/>
        <v>2.3118536442519044E-3</v>
      </c>
      <c r="H694" s="248">
        <f t="shared" si="142"/>
        <v>-1.6297262059973949E-2</v>
      </c>
      <c r="I694" s="249">
        <f t="shared" si="143"/>
        <v>0.62656432504588366</v>
      </c>
      <c r="J694" s="249">
        <f t="shared" si="144"/>
        <v>0.60785719583652309</v>
      </c>
      <c r="K694" s="249">
        <f t="shared" si="145"/>
        <v>8.7828907845729276E-2</v>
      </c>
      <c r="L694" s="250">
        <f t="shared" si="135"/>
        <v>162.65643250458871</v>
      </c>
      <c r="M694" s="250">
        <f t="shared" si="136"/>
        <v>160.78571958365268</v>
      </c>
      <c r="N694" s="250">
        <f t="shared" si="137"/>
        <v>108.78289078457288</v>
      </c>
      <c r="O694" s="248">
        <f t="shared" si="138"/>
        <v>1.1634820093352705E-2</v>
      </c>
      <c r="P694" s="247">
        <f t="shared" si="139"/>
        <v>0.49523910728483345</v>
      </c>
      <c r="Q694" s="251">
        <f t="shared" si="146"/>
        <v>1.6265643250458837</v>
      </c>
      <c r="R694" s="251">
        <f t="shared" si="147"/>
        <v>1.6625507536570412</v>
      </c>
      <c r="S694" s="251">
        <f t="shared" si="148"/>
        <v>-2.1645311297715075E-2</v>
      </c>
      <c r="T694" s="252">
        <f>C694*'1. Share_Price_Analysis'!$E$11+T693*(1-'1. Share_Price_Analysis'!$E$11)</f>
        <v>265.98369872960672</v>
      </c>
      <c r="U694" s="253">
        <f t="shared" si="149"/>
        <v>281.81675968740376</v>
      </c>
    </row>
    <row r="695" spans="2:21" x14ac:dyDescent="0.2">
      <c r="B695" s="245">
        <v>45910</v>
      </c>
      <c r="C695" s="246">
        <v>294.43</v>
      </c>
      <c r="D695" s="246">
        <v>652.21</v>
      </c>
      <c r="E695" s="246">
        <v>45.354999999999997</v>
      </c>
      <c r="F695" s="248">
        <f t="shared" si="140"/>
        <v>6.8048146628367778E-3</v>
      </c>
      <c r="G695" s="248">
        <f t="shared" si="141"/>
        <v>2.8908400350591279E-3</v>
      </c>
      <c r="H695" s="248">
        <f t="shared" si="142"/>
        <v>1.8776231499888496E-3</v>
      </c>
      <c r="I695" s="249">
        <f t="shared" si="143"/>
        <v>0.63763279381500304</v>
      </c>
      <c r="J695" s="249">
        <f t="shared" si="144"/>
        <v>0.6125052537889053</v>
      </c>
      <c r="K695" s="249">
        <f t="shared" si="145"/>
        <v>8.9871440586327456E-2</v>
      </c>
      <c r="L695" s="250">
        <f t="shared" si="135"/>
        <v>163.76327938150067</v>
      </c>
      <c r="M695" s="250">
        <f t="shared" si="136"/>
        <v>161.2505253788909</v>
      </c>
      <c r="N695" s="250">
        <f t="shared" si="137"/>
        <v>108.98714405863271</v>
      </c>
      <c r="O695" s="248">
        <f t="shared" si="138"/>
        <v>1.5582919787117344E-2</v>
      </c>
      <c r="P695" s="247">
        <f t="shared" si="139"/>
        <v>0.50259262958022988</v>
      </c>
      <c r="Q695" s="251">
        <f t="shared" si="146"/>
        <v>1.637632793815003</v>
      </c>
      <c r="R695" s="251">
        <f t="shared" si="147"/>
        <v>1.6625507536570412</v>
      </c>
      <c r="S695" s="251">
        <f t="shared" si="148"/>
        <v>-1.4987788966578708E-2</v>
      </c>
      <c r="T695" s="252">
        <f>C695*'1. Share_Price_Analysis'!$E$11+T694*(1-'1. Share_Price_Analysis'!$E$11)</f>
        <v>266.26674650344148</v>
      </c>
      <c r="U695" s="253">
        <f t="shared" si="149"/>
        <v>282.31139656240754</v>
      </c>
    </row>
    <row r="696" spans="2:21" x14ac:dyDescent="0.2">
      <c r="B696" s="245">
        <v>45911</v>
      </c>
      <c r="C696" s="246">
        <v>301.64999999999998</v>
      </c>
      <c r="D696" s="246">
        <v>657.63</v>
      </c>
      <c r="E696" s="246">
        <v>46.305</v>
      </c>
      <c r="F696" s="248">
        <f t="shared" si="140"/>
        <v>2.4521957680942785E-2</v>
      </c>
      <c r="G696" s="248">
        <f t="shared" si="141"/>
        <v>8.3102068352216563E-3</v>
      </c>
      <c r="H696" s="248">
        <f t="shared" si="142"/>
        <v>2.0945871458494247E-2</v>
      </c>
      <c r="I696" s="249">
        <f t="shared" si="143"/>
        <v>0.67779075588185855</v>
      </c>
      <c r="J696" s="249">
        <f t="shared" si="144"/>
        <v>0.62590550597077277</v>
      </c>
      <c r="K696" s="249">
        <f t="shared" si="145"/>
        <v>0.11269974768713253</v>
      </c>
      <c r="L696" s="250">
        <f t="shared" si="135"/>
        <v>167.7790755881862</v>
      </c>
      <c r="M696" s="250">
        <f t="shared" si="136"/>
        <v>162.59055059707765</v>
      </c>
      <c r="N696" s="250">
        <f t="shared" si="137"/>
        <v>111.26997476871321</v>
      </c>
      <c r="O696" s="248">
        <f t="shared" si="138"/>
        <v>3.191160231670831E-2</v>
      </c>
      <c r="P696" s="247">
        <f t="shared" si="139"/>
        <v>0.50785578892179051</v>
      </c>
      <c r="Q696" s="251">
        <f t="shared" si="146"/>
        <v>1.6777907558818586</v>
      </c>
      <c r="R696" s="251">
        <f t="shared" si="147"/>
        <v>1.6777907558818586</v>
      </c>
      <c r="S696" s="251">
        <f t="shared" si="148"/>
        <v>0</v>
      </c>
      <c r="T696" s="252">
        <f>C696*'1. Share_Price_Analysis'!$E$11+T695*(1-'1. Share_Price_Analysis'!$E$11)</f>
        <v>266.61881867753658</v>
      </c>
      <c r="U696" s="253">
        <f t="shared" si="149"/>
        <v>283.06977316780331</v>
      </c>
    </row>
    <row r="697" spans="2:21" x14ac:dyDescent="0.2">
      <c r="B697" s="245">
        <v>45912</v>
      </c>
      <c r="C697" s="246">
        <v>294.94</v>
      </c>
      <c r="D697" s="246">
        <v>657.41</v>
      </c>
      <c r="E697" s="246">
        <v>45.84</v>
      </c>
      <c r="F697" s="248">
        <f t="shared" si="140"/>
        <v>-2.2244322890767387E-2</v>
      </c>
      <c r="G697" s="248">
        <f t="shared" si="141"/>
        <v>-3.3453461672983131E-4</v>
      </c>
      <c r="H697" s="248">
        <f t="shared" si="142"/>
        <v>-1.0042112082928378E-2</v>
      </c>
      <c r="I697" s="249">
        <f t="shared" si="143"/>
        <v>0.64046943656487776</v>
      </c>
      <c r="J697" s="249">
        <f t="shared" si="144"/>
        <v>0.62536158429549382</v>
      </c>
      <c r="K697" s="249">
        <f t="shared" si="145"/>
        <v>0.10152589210621232</v>
      </c>
      <c r="L697" s="250">
        <f t="shared" si="135"/>
        <v>164.04694365648814</v>
      </c>
      <c r="M697" s="250">
        <f t="shared" si="136"/>
        <v>162.53615842954977</v>
      </c>
      <c r="N697" s="250">
        <f t="shared" si="137"/>
        <v>110.15258921062116</v>
      </c>
      <c r="O697" s="248">
        <f t="shared" si="138"/>
        <v>9.2950715799846595E-3</v>
      </c>
      <c r="P697" s="247">
        <f t="shared" si="139"/>
        <v>0.48926997387974147</v>
      </c>
      <c r="Q697" s="251">
        <f t="shared" si="146"/>
        <v>1.6404694365648778</v>
      </c>
      <c r="R697" s="251">
        <f t="shared" si="147"/>
        <v>1.6777907558818586</v>
      </c>
      <c r="S697" s="251">
        <f t="shared" si="148"/>
        <v>-2.2244322890767387E-2</v>
      </c>
      <c r="T697" s="252">
        <f>C697*'1. Share_Price_Analysis'!$E$11+T696*(1-'1. Share_Price_Analysis'!$E$11)</f>
        <v>266.90062147676508</v>
      </c>
      <c r="U697" s="253">
        <f t="shared" si="149"/>
        <v>283.535272259262</v>
      </c>
    </row>
    <row r="698" spans="2:21" x14ac:dyDescent="0.2">
      <c r="B698" s="245">
        <v>45915</v>
      </c>
      <c r="C698" s="246">
        <v>294.02999999999997</v>
      </c>
      <c r="D698" s="246">
        <v>660.91</v>
      </c>
      <c r="E698" s="246">
        <v>45.47</v>
      </c>
      <c r="F698" s="248">
        <f t="shared" si="140"/>
        <v>-3.0853732962636826E-3</v>
      </c>
      <c r="G698" s="248">
        <f t="shared" si="141"/>
        <v>5.3239226662205041E-3</v>
      </c>
      <c r="H698" s="248">
        <f t="shared" si="142"/>
        <v>-8.0715532286214087E-3</v>
      </c>
      <c r="I698" s="249">
        <f t="shared" si="143"/>
        <v>0.63540797597196375</v>
      </c>
      <c r="J698" s="249">
        <f t="shared" si="144"/>
        <v>0.63401488367492864</v>
      </c>
      <c r="K698" s="249">
        <f t="shared" si="145"/>
        <v>9.2634867235372287E-2</v>
      </c>
      <c r="L698" s="250">
        <f t="shared" si="135"/>
        <v>163.54079759719673</v>
      </c>
      <c r="M698" s="250">
        <f t="shared" si="136"/>
        <v>163.40148836749324</v>
      </c>
      <c r="N698" s="250">
        <f t="shared" si="137"/>
        <v>109.26348672353718</v>
      </c>
      <c r="O698" s="248">
        <f t="shared" si="138"/>
        <v>8.5255789953508909E-4</v>
      </c>
      <c r="P698" s="247">
        <f t="shared" si="139"/>
        <v>0.49675616714478221</v>
      </c>
      <c r="Q698" s="251">
        <f t="shared" si="146"/>
        <v>1.6354079759719637</v>
      </c>
      <c r="R698" s="251">
        <f t="shared" si="147"/>
        <v>1.6777907558818586</v>
      </c>
      <c r="S698" s="251">
        <f t="shared" si="148"/>
        <v>-2.5261064147190426E-2</v>
      </c>
      <c r="T698" s="252">
        <f>C698*'1. Share_Price_Analysis'!$E$11+T697*(1-'1. Share_Price_Analysis'!$E$11)</f>
        <v>267.17056554167289</v>
      </c>
      <c r="U698" s="253">
        <f t="shared" si="149"/>
        <v>283.94683020987918</v>
      </c>
    </row>
    <row r="699" spans="2:21" x14ac:dyDescent="0.2">
      <c r="B699" s="245">
        <v>45916</v>
      </c>
      <c r="C699" s="246">
        <v>291.95999999999998</v>
      </c>
      <c r="D699" s="246">
        <v>660</v>
      </c>
      <c r="E699" s="246">
        <v>45.33</v>
      </c>
      <c r="F699" s="248">
        <f t="shared" si="140"/>
        <v>-7.040097949188806E-3</v>
      </c>
      <c r="G699" s="248">
        <f t="shared" si="141"/>
        <v>-1.3768894403171084E-3</v>
      </c>
      <c r="H699" s="248">
        <f t="shared" si="142"/>
        <v>-3.0789531559269889E-3</v>
      </c>
      <c r="I699" s="249">
        <f t="shared" si="143"/>
        <v>0.62389454363423646</v>
      </c>
      <c r="J699" s="249">
        <f t="shared" si="144"/>
        <v>0.6317650258362757</v>
      </c>
      <c r="K699" s="249">
        <f t="shared" si="145"/>
        <v>8.9270695662622135E-2</v>
      </c>
      <c r="L699" s="250">
        <f t="shared" si="135"/>
        <v>162.38945436342397</v>
      </c>
      <c r="M699" s="250">
        <f t="shared" si="136"/>
        <v>163.17650258362795</v>
      </c>
      <c r="N699" s="250">
        <f t="shared" si="137"/>
        <v>108.92706956626215</v>
      </c>
      <c r="O699" s="248">
        <f t="shared" si="138"/>
        <v>-4.823293842816434E-3</v>
      </c>
      <c r="P699" s="247">
        <f t="shared" si="139"/>
        <v>0.49080898816101293</v>
      </c>
      <c r="Q699" s="251">
        <f t="shared" si="146"/>
        <v>1.6238945436342365</v>
      </c>
      <c r="R699" s="251">
        <f t="shared" si="147"/>
        <v>1.6777907558818586</v>
      </c>
      <c r="S699" s="251">
        <f t="shared" si="148"/>
        <v>-3.2123321730482379E-2</v>
      </c>
      <c r="T699" s="252">
        <f>C699*'1. Share_Price_Analysis'!$E$11+T698*(1-'1. Share_Price_Analysis'!$E$11)</f>
        <v>267.4172265810592</v>
      </c>
      <c r="U699" s="253">
        <f t="shared" si="149"/>
        <v>284.26107216243292</v>
      </c>
    </row>
    <row r="700" spans="2:21" x14ac:dyDescent="0.2">
      <c r="B700" s="245">
        <v>45917</v>
      </c>
      <c r="C700" s="246">
        <v>292.25</v>
      </c>
      <c r="D700" s="246">
        <v>659.18</v>
      </c>
      <c r="E700" s="246">
        <v>45.435000000000002</v>
      </c>
      <c r="F700" s="248">
        <f t="shared" si="140"/>
        <v>9.9328675160981206E-4</v>
      </c>
      <c r="G700" s="248">
        <f t="shared" si="141"/>
        <v>-1.2424242424242671E-3</v>
      </c>
      <c r="H700" s="248">
        <f t="shared" si="142"/>
        <v>2.3163467902052037E-3</v>
      </c>
      <c r="I700" s="249">
        <f t="shared" si="143"/>
        <v>0.62550753657043989</v>
      </c>
      <c r="J700" s="249">
        <f t="shared" si="144"/>
        <v>0.62973768141023667</v>
      </c>
      <c r="K700" s="249">
        <f t="shared" si="145"/>
        <v>9.1793824342184749E-2</v>
      </c>
      <c r="L700" s="250">
        <f t="shared" si="135"/>
        <v>162.55075365704434</v>
      </c>
      <c r="M700" s="250">
        <f t="shared" si="136"/>
        <v>162.97376814102401</v>
      </c>
      <c r="N700" s="250">
        <f t="shared" si="137"/>
        <v>109.17938243421843</v>
      </c>
      <c r="O700" s="248">
        <f t="shared" si="138"/>
        <v>-2.5955985972763163E-3</v>
      </c>
      <c r="P700" s="247">
        <f t="shared" si="139"/>
        <v>0.48884111663648788</v>
      </c>
      <c r="Q700" s="251">
        <f t="shared" si="146"/>
        <v>1.6255075365704399</v>
      </c>
      <c r="R700" s="251">
        <f t="shared" si="147"/>
        <v>1.6777907558818586</v>
      </c>
      <c r="S700" s="251">
        <f t="shared" si="148"/>
        <v>-3.116194264876504E-2</v>
      </c>
      <c r="T700" s="252">
        <f>C700*'1. Share_Price_Analysis'!$E$11+T699*(1-'1. Share_Price_Analysis'!$E$11)</f>
        <v>267.66431885388454</v>
      </c>
      <c r="U700" s="253">
        <f t="shared" si="149"/>
        <v>284.57436345018061</v>
      </c>
    </row>
    <row r="701" spans="2:21" x14ac:dyDescent="0.2">
      <c r="B701" s="245">
        <v>45918</v>
      </c>
      <c r="C701" s="246">
        <v>298.58</v>
      </c>
      <c r="D701" s="246">
        <v>662.26</v>
      </c>
      <c r="E701" s="246">
        <v>45.435000000000002</v>
      </c>
      <c r="F701" s="248">
        <f t="shared" si="140"/>
        <v>2.1659538066723716E-2</v>
      </c>
      <c r="G701" s="248">
        <f t="shared" si="141"/>
        <v>4.6724718589763459E-3</v>
      </c>
      <c r="H701" s="248">
        <f t="shared" si="142"/>
        <v>0</v>
      </c>
      <c r="I701" s="249">
        <f t="shared" si="143"/>
        <v>0.66071527893653359</v>
      </c>
      <c r="J701" s="249">
        <f t="shared" si="144"/>
        <v>0.63735258486413926</v>
      </c>
      <c r="K701" s="249">
        <f t="shared" si="145"/>
        <v>9.1793824342184749E-2</v>
      </c>
      <c r="L701" s="250">
        <f t="shared" si="135"/>
        <v>166.07152789365372</v>
      </c>
      <c r="M701" s="250">
        <f t="shared" si="136"/>
        <v>163.7352584864143</v>
      </c>
      <c r="N701" s="250">
        <f t="shared" si="137"/>
        <v>109.17938243421843</v>
      </c>
      <c r="O701" s="248">
        <f t="shared" si="138"/>
        <v>1.4268578611816185E-2</v>
      </c>
      <c r="P701" s="247">
        <f t="shared" si="139"/>
        <v>0.52108872747757928</v>
      </c>
      <c r="Q701" s="251">
        <f t="shared" si="146"/>
        <v>1.6607152789365336</v>
      </c>
      <c r="R701" s="251">
        <f t="shared" si="147"/>
        <v>1.6777907558818586</v>
      </c>
      <c r="S701" s="251">
        <f t="shared" si="148"/>
        <v>-1.0177357865075343E-2</v>
      </c>
      <c r="T701" s="252">
        <f>C701*'1. Share_Price_Analysis'!$E$11+T700*(1-'1. Share_Price_Analysis'!$E$11)</f>
        <v>267.97193757175637</v>
      </c>
      <c r="U701" s="253">
        <f t="shared" si="149"/>
        <v>285.12360409919313</v>
      </c>
    </row>
    <row r="702" spans="2:21" x14ac:dyDescent="0.2">
      <c r="B702" s="245">
        <v>45919</v>
      </c>
      <c r="C702" s="246">
        <v>297.79000000000002</v>
      </c>
      <c r="D702" s="246">
        <v>663.7</v>
      </c>
      <c r="E702" s="246">
        <v>45.414999999999999</v>
      </c>
      <c r="F702" s="248">
        <f t="shared" si="140"/>
        <v>-2.6458570567351458E-3</v>
      </c>
      <c r="G702" s="248">
        <f t="shared" si="141"/>
        <v>2.1743726029053168E-3</v>
      </c>
      <c r="H702" s="248">
        <f t="shared" si="142"/>
        <v>-4.4018928139111235E-4</v>
      </c>
      <c r="I702" s="249">
        <f t="shared" si="143"/>
        <v>0.65632126369653143</v>
      </c>
      <c r="J702" s="249">
        <f t="shared" si="144"/>
        <v>0.64091279946596402</v>
      </c>
      <c r="K702" s="249">
        <f t="shared" si="145"/>
        <v>9.1313228403220315E-2</v>
      </c>
      <c r="L702" s="250">
        <f t="shared" si="135"/>
        <v>165.63212636965349</v>
      </c>
      <c r="M702" s="250">
        <f t="shared" si="136"/>
        <v>164.09127994659679</v>
      </c>
      <c r="N702" s="250">
        <f t="shared" si="137"/>
        <v>109.13132284032199</v>
      </c>
      <c r="O702" s="248">
        <f t="shared" si="138"/>
        <v>9.3901785857128939E-3</v>
      </c>
      <c r="P702" s="247">
        <f t="shared" si="139"/>
        <v>0.51773223359531295</v>
      </c>
      <c r="Q702" s="251">
        <f t="shared" si="146"/>
        <v>1.6563212636965314</v>
      </c>
      <c r="R702" s="251">
        <f t="shared" si="147"/>
        <v>1.6777907558818586</v>
      </c>
      <c r="S702" s="251">
        <f t="shared" si="148"/>
        <v>-1.2796287087684322E-2</v>
      </c>
      <c r="T702" s="252">
        <f>C702*'1. Share_Price_Analysis'!$E$11+T701*(1-'1. Share_Price_Analysis'!$E$11)</f>
        <v>268.26863471034591</v>
      </c>
      <c r="U702" s="253">
        <f t="shared" si="149"/>
        <v>285.62032550706795</v>
      </c>
    </row>
    <row r="703" spans="2:21" x14ac:dyDescent="0.2">
      <c r="B703" s="245">
        <v>45922</v>
      </c>
      <c r="C703" s="246">
        <v>298.89</v>
      </c>
      <c r="D703" s="246">
        <v>666.84</v>
      </c>
      <c r="E703" s="246">
        <v>45.185000000000002</v>
      </c>
      <c r="F703" s="248">
        <f t="shared" si="140"/>
        <v>3.6938782363409306E-3</v>
      </c>
      <c r="G703" s="248">
        <f t="shared" si="141"/>
        <v>4.731053186680656E-3</v>
      </c>
      <c r="H703" s="248">
        <f t="shared" si="142"/>
        <v>-5.0644060332488694E-3</v>
      </c>
      <c r="I703" s="249">
        <f t="shared" si="143"/>
        <v>0.66243951276488877</v>
      </c>
      <c r="J703" s="249">
        <f t="shared" si="144"/>
        <v>0.64867604519494249</v>
      </c>
      <c r="K703" s="249">
        <f t="shared" si="145"/>
        <v>8.5786375105130652E-2</v>
      </c>
      <c r="L703" s="250">
        <f t="shared" si="135"/>
        <v>166.24395127648924</v>
      </c>
      <c r="M703" s="250">
        <f t="shared" si="136"/>
        <v>164.86760451949465</v>
      </c>
      <c r="N703" s="250">
        <f t="shared" si="137"/>
        <v>108.57863751051305</v>
      </c>
      <c r="O703" s="248">
        <f t="shared" si="138"/>
        <v>8.3481940615681705E-3</v>
      </c>
      <c r="P703" s="247">
        <f t="shared" si="139"/>
        <v>0.5310926263961675</v>
      </c>
      <c r="Q703" s="251">
        <f t="shared" si="146"/>
        <v>1.6624395127648888</v>
      </c>
      <c r="R703" s="251">
        <f t="shared" si="147"/>
        <v>1.6777907558818586</v>
      </c>
      <c r="S703" s="251">
        <f t="shared" si="148"/>
        <v>-9.149676777722493E-3</v>
      </c>
      <c r="T703" s="252">
        <f>C703*'1. Share_Price_Analysis'!$E$11+T702*(1-'1. Share_Price_Analysis'!$E$11)</f>
        <v>268.57332491223303</v>
      </c>
      <c r="U703" s="253">
        <f t="shared" si="149"/>
        <v>286.14070489894766</v>
      </c>
    </row>
    <row r="704" spans="2:21" x14ac:dyDescent="0.2">
      <c r="B704" s="245">
        <v>45923</v>
      </c>
      <c r="C704" s="246">
        <v>297.58999999999997</v>
      </c>
      <c r="D704" s="246">
        <v>663.21</v>
      </c>
      <c r="E704" s="246">
        <v>45.04</v>
      </c>
      <c r="F704" s="248">
        <f t="shared" si="140"/>
        <v>-4.3494262103115355E-3</v>
      </c>
      <c r="G704" s="248">
        <f t="shared" si="141"/>
        <v>-5.4435846679863342E-3</v>
      </c>
      <c r="H704" s="248">
        <f t="shared" si="142"/>
        <v>-3.2090295452030793E-3</v>
      </c>
      <c r="I704" s="249">
        <f t="shared" si="143"/>
        <v>0.65520885477501167</v>
      </c>
      <c r="J704" s="249">
        <f t="shared" si="144"/>
        <v>0.63970133755284286</v>
      </c>
      <c r="K704" s="249">
        <f t="shared" si="145"/>
        <v>8.2302054547639392E-2</v>
      </c>
      <c r="L704" s="250">
        <f t="shared" ref="L704:L767" si="150">(C704/$C$64)*100</f>
        <v>165.52088547750151</v>
      </c>
      <c r="M704" s="250">
        <f t="shared" ref="M704:M767" si="151">(D704/$D$64)*100</f>
        <v>163.97013375528468</v>
      </c>
      <c r="N704" s="250">
        <f t="shared" ref="N704:N767" si="152">(E704/$E$64)*100</f>
        <v>108.23020545476389</v>
      </c>
      <c r="O704" s="248">
        <f t="shared" ref="O704:O767" si="153">(1+I704)/(1+J704)-1</f>
        <v>9.4575255060247443E-3</v>
      </c>
      <c r="P704" s="247">
        <f t="shared" ref="P704:P767" si="154">(1+I704)/(1+K704)-1</f>
        <v>0.52934095229711575</v>
      </c>
      <c r="Q704" s="251">
        <f t="shared" si="146"/>
        <v>1.6552088547750117</v>
      </c>
      <c r="R704" s="251">
        <f t="shared" si="147"/>
        <v>1.6777907558818586</v>
      </c>
      <c r="S704" s="251">
        <f t="shared" si="148"/>
        <v>-1.3459307144041088E-2</v>
      </c>
      <c r="T704" s="252">
        <f>C704*'1. Share_Price_Analysis'!$E$11+T703*(1-'1. Share_Price_Analysis'!$E$11)</f>
        <v>268.86204804743471</v>
      </c>
      <c r="U704" s="253">
        <f t="shared" si="149"/>
        <v>286.58969686369483</v>
      </c>
    </row>
    <row r="705" spans="2:21" x14ac:dyDescent="0.2">
      <c r="B705" s="245">
        <v>45924</v>
      </c>
      <c r="C705" s="246">
        <v>293.81</v>
      </c>
      <c r="D705" s="246">
        <v>661.1</v>
      </c>
      <c r="E705" s="246">
        <v>44.49</v>
      </c>
      <c r="F705" s="248">
        <f t="shared" ref="F705:F768" si="155">C705/C704-1</f>
        <v>-1.2702039719076463E-2</v>
      </c>
      <c r="G705" s="248">
        <f t="shared" ref="G705:G768" si="156">D705/D704 - 1</f>
        <v>-3.1814960570558659E-3</v>
      </c>
      <c r="H705" s="248">
        <f t="shared" ref="H705:H768" si="157">E705/E704 - 1</f>
        <v>-1.2211367673179319E-2</v>
      </c>
      <c r="I705" s="249">
        <f t="shared" ref="I705:I768" si="158">(1+F705)*(1+I704)-1</f>
        <v>0.63418432615829246</v>
      </c>
      <c r="J705" s="249">
        <f t="shared" ref="J705:J768" si="159">(1+G705)*(1+J704)-1</f>
        <v>0.63448463421266932</v>
      </c>
      <c r="K705" s="249">
        <f t="shared" ref="K705:K768" si="160">(1+H705)*(1+K704)-1</f>
        <v>6.9085666226120779E-2</v>
      </c>
      <c r="L705" s="250">
        <f t="shared" si="150"/>
        <v>163.41843261582957</v>
      </c>
      <c r="M705" s="250">
        <f t="shared" si="151"/>
        <v>163.44846342126732</v>
      </c>
      <c r="N705" s="250">
        <f t="shared" si="152"/>
        <v>106.90856662261203</v>
      </c>
      <c r="O705" s="248">
        <f t="shared" si="153"/>
        <v>-1.8373256504888857E-4</v>
      </c>
      <c r="P705" s="247">
        <f t="shared" si="154"/>
        <v>0.52858127069178051</v>
      </c>
      <c r="Q705" s="251">
        <f t="shared" ref="Q705:Q768" si="161">Q704*(1+F705)</f>
        <v>1.6341843261582925</v>
      </c>
      <c r="R705" s="251">
        <f t="shared" ref="R705:R768" si="162">MAX(Q705,R704)</f>
        <v>1.6777907558818586</v>
      </c>
      <c r="S705" s="251">
        <f t="shared" ref="S705:S768" si="163">Q705/R705-1</f>
        <v>-2.5990386209182703E-2</v>
      </c>
      <c r="T705" s="252">
        <f>C705*'1. Share_Price_Analysis'!$E$11+T704*(1-'1. Share_Price_Analysis'!$E$11)</f>
        <v>269.11028637532092</v>
      </c>
      <c r="U705" s="253">
        <f t="shared" ref="U705:U768" si="164">C705*$L$5+U704*(1-$L$5)</f>
        <v>286.87284600629499</v>
      </c>
    </row>
    <row r="706" spans="2:21" x14ac:dyDescent="0.2">
      <c r="B706" s="245">
        <v>45925</v>
      </c>
      <c r="C706" s="246">
        <v>294.76</v>
      </c>
      <c r="D706" s="246">
        <v>658.05</v>
      </c>
      <c r="E706" s="246">
        <v>43.91</v>
      </c>
      <c r="F706" s="248">
        <f t="shared" si="155"/>
        <v>3.2333821176950828E-3</v>
      </c>
      <c r="G706" s="248">
        <f t="shared" si="156"/>
        <v>-4.6135229163516422E-3</v>
      </c>
      <c r="H706" s="248">
        <f t="shared" si="157"/>
        <v>-1.3036637446617316E-2</v>
      </c>
      <c r="I706" s="249">
        <f t="shared" si="158"/>
        <v>0.6394682685355102</v>
      </c>
      <c r="J706" s="249">
        <f t="shared" si="159"/>
        <v>0.62694390189630456</v>
      </c>
      <c r="K706" s="249">
        <f t="shared" si="160"/>
        <v>5.5148383996155514E-2</v>
      </c>
      <c r="L706" s="250">
        <f t="shared" si="150"/>
        <v>163.94682685355139</v>
      </c>
      <c r="M706" s="250">
        <f t="shared" si="151"/>
        <v>162.69439018963087</v>
      </c>
      <c r="N706" s="250">
        <f t="shared" si="152"/>
        <v>105.51483839961551</v>
      </c>
      <c r="O706" s="248">
        <f t="shared" si="153"/>
        <v>7.6980937232118407E-3</v>
      </c>
      <c r="P706" s="247">
        <f t="shared" si="154"/>
        <v>0.5537798222524537</v>
      </c>
      <c r="Q706" s="251">
        <f t="shared" si="161"/>
        <v>1.6394682685355102</v>
      </c>
      <c r="R706" s="251">
        <f t="shared" si="162"/>
        <v>1.6777907558818586</v>
      </c>
      <c r="S706" s="251">
        <f t="shared" si="163"/>
        <v>-2.2841040941488422E-2</v>
      </c>
      <c r="T706" s="252">
        <f>C706*'1. Share_Price_Analysis'!$E$11+T705*(1-'1. Share_Price_Analysis'!$E$11)</f>
        <v>269.36550740641229</v>
      </c>
      <c r="U706" s="253">
        <f t="shared" si="164"/>
        <v>287.1821461629109</v>
      </c>
    </row>
    <row r="707" spans="2:21" x14ac:dyDescent="0.2">
      <c r="B707" s="245">
        <v>45926</v>
      </c>
      <c r="C707" s="246">
        <v>299.29000000000002</v>
      </c>
      <c r="D707" s="246">
        <v>661.82</v>
      </c>
      <c r="E707" s="246">
        <v>44.42</v>
      </c>
      <c r="F707" s="248">
        <f t="shared" si="155"/>
        <v>1.5368435337223652E-2</v>
      </c>
      <c r="G707" s="248">
        <f t="shared" si="156"/>
        <v>5.7290479446852061E-3</v>
      </c>
      <c r="H707" s="248">
        <f t="shared" si="157"/>
        <v>1.1614666363015447E-2</v>
      </c>
      <c r="I707" s="249">
        <f t="shared" si="158"/>
        <v>0.66466433060792829</v>
      </c>
      <c r="J707" s="249">
        <f t="shared" si="159"/>
        <v>0.63626474151358181</v>
      </c>
      <c r="K707" s="249">
        <f t="shared" si="160"/>
        <v>6.7403580439745703E-2</v>
      </c>
      <c r="L707" s="250">
        <f t="shared" si="150"/>
        <v>166.46643306079315</v>
      </c>
      <c r="M707" s="250">
        <f t="shared" si="151"/>
        <v>163.62647415135856</v>
      </c>
      <c r="N707" s="250">
        <f t="shared" si="152"/>
        <v>106.74035804397452</v>
      </c>
      <c r="O707" s="248">
        <f t="shared" si="153"/>
        <v>1.7356353390635348E-2</v>
      </c>
      <c r="P707" s="247">
        <f t="shared" si="154"/>
        <v>0.55954538762379347</v>
      </c>
      <c r="Q707" s="251">
        <f t="shared" si="161"/>
        <v>1.6646643306079283</v>
      </c>
      <c r="R707" s="251">
        <f t="shared" si="162"/>
        <v>1.6777907558818586</v>
      </c>
      <c r="S707" s="251">
        <f t="shared" si="163"/>
        <v>-7.8236366650088485E-3</v>
      </c>
      <c r="T707" s="252">
        <f>C707*'1. Share_Price_Analysis'!$E$11+T706*(1-'1. Share_Price_Analysis'!$E$11)</f>
        <v>269.66326355162209</v>
      </c>
      <c r="U707" s="253">
        <f t="shared" si="164"/>
        <v>287.65696396044382</v>
      </c>
    </row>
    <row r="708" spans="2:21" x14ac:dyDescent="0.2">
      <c r="B708" s="245">
        <v>45929</v>
      </c>
      <c r="C708" s="246">
        <v>303.02</v>
      </c>
      <c r="D708" s="246">
        <v>663.68</v>
      </c>
      <c r="E708" s="246">
        <v>44.59</v>
      </c>
      <c r="F708" s="248">
        <f t="shared" si="155"/>
        <v>1.2462828694576933E-2</v>
      </c>
      <c r="G708" s="248">
        <f t="shared" si="156"/>
        <v>2.8104318394728267E-3</v>
      </c>
      <c r="H708" s="248">
        <f t="shared" si="157"/>
        <v>3.8271049076992192E-3</v>
      </c>
      <c r="I708" s="249">
        <f t="shared" si="158"/>
        <v>0.68541075699426757</v>
      </c>
      <c r="J708" s="249">
        <f t="shared" si="159"/>
        <v>0.64086335204093836</v>
      </c>
      <c r="K708" s="249">
        <f t="shared" si="160"/>
        <v>7.1488645920942284E-2</v>
      </c>
      <c r="L708" s="250">
        <f t="shared" si="150"/>
        <v>168.54107569942713</v>
      </c>
      <c r="M708" s="250">
        <f t="shared" si="151"/>
        <v>164.08633520409421</v>
      </c>
      <c r="N708" s="250">
        <f t="shared" si="152"/>
        <v>107.14886459209421</v>
      </c>
      <c r="O708" s="248">
        <f t="shared" si="153"/>
        <v>2.7148759765961206E-2</v>
      </c>
      <c r="P708" s="247">
        <f t="shared" si="154"/>
        <v>0.5729618446359368</v>
      </c>
      <c r="Q708" s="251">
        <f t="shared" si="161"/>
        <v>1.6854107569942676</v>
      </c>
      <c r="R708" s="251">
        <f t="shared" si="162"/>
        <v>1.6854107569942676</v>
      </c>
      <c r="S708" s="251">
        <f t="shared" si="163"/>
        <v>0</v>
      </c>
      <c r="T708" s="252">
        <f>C708*'1. Share_Price_Analysis'!$E$11+T707*(1-'1. Share_Price_Analysis'!$E$11)</f>
        <v>269.9951713769791</v>
      </c>
      <c r="U708" s="253">
        <f t="shared" si="164"/>
        <v>288.25943596199505</v>
      </c>
    </row>
    <row r="709" spans="2:21" x14ac:dyDescent="0.2">
      <c r="B709" s="245">
        <v>45930</v>
      </c>
      <c r="C709" s="246">
        <v>307.62</v>
      </c>
      <c r="D709" s="246">
        <v>666.18</v>
      </c>
      <c r="E709" s="246">
        <v>44.81</v>
      </c>
      <c r="F709" s="248">
        <f t="shared" si="155"/>
        <v>1.5180516137548672E-2</v>
      </c>
      <c r="G709" s="248">
        <f t="shared" si="156"/>
        <v>3.7668756027000594E-3</v>
      </c>
      <c r="H709" s="248">
        <f t="shared" si="157"/>
        <v>4.9338416685356101E-3</v>
      </c>
      <c r="I709" s="249">
        <f t="shared" si="158"/>
        <v>0.71099616218921713</v>
      </c>
      <c r="J709" s="249">
        <f t="shared" si="159"/>
        <v>0.64704428016910609</v>
      </c>
      <c r="K709" s="249">
        <f t="shared" si="160"/>
        <v>7.6775201249549729E-2</v>
      </c>
      <c r="L709" s="250">
        <f t="shared" si="150"/>
        <v>171.09961621892208</v>
      </c>
      <c r="M709" s="250">
        <f t="shared" si="151"/>
        <v>164.70442801691098</v>
      </c>
      <c r="N709" s="250">
        <f t="shared" si="152"/>
        <v>107.67752012495495</v>
      </c>
      <c r="O709" s="248">
        <f t="shared" si="153"/>
        <v>3.8828271219001342E-2</v>
      </c>
      <c r="P709" s="247">
        <f t="shared" si="154"/>
        <v>0.58900034120741473</v>
      </c>
      <c r="Q709" s="251">
        <f t="shared" si="161"/>
        <v>1.7109961621892171</v>
      </c>
      <c r="R709" s="251">
        <f t="shared" si="162"/>
        <v>1.7109961621892171</v>
      </c>
      <c r="S709" s="251">
        <f t="shared" si="163"/>
        <v>0</v>
      </c>
      <c r="T709" s="252">
        <f>C709*'1. Share_Price_Analysis'!$E$11+T708*(1-'1. Share_Price_Analysis'!$E$11)</f>
        <v>270.36954778118832</v>
      </c>
      <c r="U709" s="253">
        <f t="shared" si="164"/>
        <v>289.01867376740699</v>
      </c>
    </row>
    <row r="710" spans="2:21" x14ac:dyDescent="0.2">
      <c r="B710" s="245">
        <v>45931</v>
      </c>
      <c r="C710" s="246">
        <v>301.64</v>
      </c>
      <c r="D710" s="246">
        <v>668.45</v>
      </c>
      <c r="E710" s="246">
        <v>44.34</v>
      </c>
      <c r="F710" s="248">
        <f t="shared" si="155"/>
        <v>-1.9439568298550203E-2</v>
      </c>
      <c r="G710" s="248">
        <f t="shared" si="156"/>
        <v>3.4074874658502896E-3</v>
      </c>
      <c r="H710" s="248">
        <f t="shared" si="157"/>
        <v>-1.0488730194153084E-2</v>
      </c>
      <c r="I710" s="249">
        <f t="shared" si="158"/>
        <v>0.67773513543578257</v>
      </c>
      <c r="J710" s="249">
        <f t="shared" si="159"/>
        <v>0.65265656290948271</v>
      </c>
      <c r="K710" s="249">
        <f t="shared" si="160"/>
        <v>6.548119668388841E-2</v>
      </c>
      <c r="L710" s="250">
        <f t="shared" si="150"/>
        <v>167.77351354357862</v>
      </c>
      <c r="M710" s="250">
        <f t="shared" si="151"/>
        <v>165.26565629094864</v>
      </c>
      <c r="N710" s="250">
        <f t="shared" si="152"/>
        <v>106.54811966838879</v>
      </c>
      <c r="O710" s="248">
        <f t="shared" si="153"/>
        <v>1.5174703014006363E-2</v>
      </c>
      <c r="P710" s="247">
        <f t="shared" si="154"/>
        <v>0.57462669510960906</v>
      </c>
      <c r="Q710" s="251">
        <f t="shared" si="161"/>
        <v>1.6777351354357826</v>
      </c>
      <c r="R710" s="251">
        <f t="shared" si="162"/>
        <v>1.7109961621892171</v>
      </c>
      <c r="S710" s="251">
        <f t="shared" si="163"/>
        <v>-1.9439568298550203E-2</v>
      </c>
      <c r="T710" s="252">
        <f>C710*'1. Share_Price_Analysis'!$E$11+T709*(1-'1. Share_Price_Analysis'!$E$11)</f>
        <v>270.68069655948494</v>
      </c>
      <c r="U710" s="253">
        <f t="shared" si="164"/>
        <v>289.51362773731262</v>
      </c>
    </row>
    <row r="711" spans="2:21" x14ac:dyDescent="0.2">
      <c r="B711" s="245">
        <v>45932</v>
      </c>
      <c r="C711" s="246">
        <v>303.37</v>
      </c>
      <c r="D711" s="246">
        <v>669.22</v>
      </c>
      <c r="E711" s="246">
        <v>44.854999999999997</v>
      </c>
      <c r="F711" s="248">
        <f t="shared" si="155"/>
        <v>5.7353136188835752E-3</v>
      </c>
      <c r="G711" s="248">
        <f t="shared" si="156"/>
        <v>1.1519186176975893E-3</v>
      </c>
      <c r="H711" s="248">
        <f t="shared" si="157"/>
        <v>1.1614794767703884E-2</v>
      </c>
      <c r="I711" s="249">
        <f t="shared" si="158"/>
        <v>0.68735747260692692</v>
      </c>
      <c r="J711" s="249">
        <f t="shared" si="159"/>
        <v>0.65456028877295824</v>
      </c>
      <c r="K711" s="249">
        <f t="shared" si="160"/>
        <v>7.7856542112219262E-2</v>
      </c>
      <c r="L711" s="250">
        <f t="shared" si="150"/>
        <v>168.73574726069305</v>
      </c>
      <c r="M711" s="250">
        <f t="shared" si="151"/>
        <v>165.45602887729621</v>
      </c>
      <c r="N711" s="250">
        <f t="shared" si="152"/>
        <v>107.78565421122191</v>
      </c>
      <c r="O711" s="248">
        <f t="shared" si="153"/>
        <v>1.9822296024215369E-2</v>
      </c>
      <c r="P711" s="247">
        <f t="shared" si="154"/>
        <v>0.56547500217450142</v>
      </c>
      <c r="Q711" s="251">
        <f t="shared" si="161"/>
        <v>1.6873574726069269</v>
      </c>
      <c r="R711" s="251">
        <f t="shared" si="162"/>
        <v>1.7109961621892171</v>
      </c>
      <c r="S711" s="251">
        <f t="shared" si="163"/>
        <v>-1.3815746700474474E-2</v>
      </c>
      <c r="T711" s="252">
        <f>C711*'1. Share_Price_Analysis'!$E$11+T710*(1-'1. Share_Price_Analysis'!$E$11)</f>
        <v>271.00596326038561</v>
      </c>
      <c r="U711" s="253">
        <f t="shared" si="164"/>
        <v>290.05701488486898</v>
      </c>
    </row>
    <row r="712" spans="2:21" x14ac:dyDescent="0.2">
      <c r="B712" s="245">
        <v>45933</v>
      </c>
      <c r="C712" s="246">
        <v>304.7</v>
      </c>
      <c r="D712" s="246">
        <v>669.21</v>
      </c>
      <c r="E712" s="246">
        <v>44.93</v>
      </c>
      <c r="F712" s="248">
        <f t="shared" si="155"/>
        <v>4.3840854402215079E-3</v>
      </c>
      <c r="G712" s="248">
        <f t="shared" si="156"/>
        <v>-1.4942769194004057E-5</v>
      </c>
      <c r="H712" s="248">
        <f t="shared" si="157"/>
        <v>1.6720543975030644E-3</v>
      </c>
      <c r="I712" s="249">
        <f t="shared" si="158"/>
        <v>0.69475499193503198</v>
      </c>
      <c r="J712" s="249">
        <f t="shared" si="159"/>
        <v>0.65453556506044563</v>
      </c>
      <c r="K712" s="249">
        <f t="shared" si="160"/>
        <v>7.9658776883335447E-2</v>
      </c>
      <c r="L712" s="250">
        <f t="shared" si="150"/>
        <v>169.47549919350354</v>
      </c>
      <c r="M712" s="250">
        <f t="shared" si="151"/>
        <v>165.45355650604495</v>
      </c>
      <c r="N712" s="250">
        <f t="shared" si="152"/>
        <v>107.96587768833352</v>
      </c>
      <c r="O712" s="248">
        <f t="shared" si="153"/>
        <v>2.4308590110673656E-2</v>
      </c>
      <c r="P712" s="247">
        <f t="shared" si="154"/>
        <v>0.56971353192469065</v>
      </c>
      <c r="Q712" s="251">
        <f t="shared" si="161"/>
        <v>1.694754991935032</v>
      </c>
      <c r="R712" s="251">
        <f t="shared" si="162"/>
        <v>1.7109961621892171</v>
      </c>
      <c r="S712" s="251">
        <f t="shared" si="163"/>
        <v>-9.4922306742082352E-3</v>
      </c>
      <c r="T712" s="252">
        <f>C712*'1. Share_Price_Analysis'!$E$11+T711*(1-'1. Share_Price_Analysis'!$E$11)</f>
        <v>271.34122730754592</v>
      </c>
      <c r="U712" s="253">
        <f t="shared" si="164"/>
        <v>290.6312495952663</v>
      </c>
    </row>
    <row r="713" spans="2:21" x14ac:dyDescent="0.2">
      <c r="B713" s="245">
        <v>45936</v>
      </c>
      <c r="C713" s="246">
        <v>304.67</v>
      </c>
      <c r="D713" s="246">
        <v>671.61</v>
      </c>
      <c r="E713" s="246">
        <v>44.89</v>
      </c>
      <c r="F713" s="248">
        <f t="shared" si="155"/>
        <v>-9.8457499179471775E-5</v>
      </c>
      <c r="G713" s="248">
        <f t="shared" si="156"/>
        <v>3.5863181960820167E-3</v>
      </c>
      <c r="H713" s="248">
        <f t="shared" si="157"/>
        <v>-8.9027375918093732E-4</v>
      </c>
      <c r="I713" s="249">
        <f t="shared" si="158"/>
        <v>0.69458813059680424</v>
      </c>
      <c r="J713" s="249">
        <f t="shared" si="159"/>
        <v>0.66046925606348683</v>
      </c>
      <c r="K713" s="249">
        <f t="shared" si="160"/>
        <v>7.86975850054068E-2</v>
      </c>
      <c r="L713" s="250">
        <f t="shared" si="150"/>
        <v>169.45881305968075</v>
      </c>
      <c r="M713" s="250">
        <f t="shared" si="151"/>
        <v>166.04692560634905</v>
      </c>
      <c r="N713" s="250">
        <f t="shared" si="152"/>
        <v>107.86975850054066</v>
      </c>
      <c r="O713" s="248">
        <f t="shared" si="153"/>
        <v>2.0547730353167593E-2</v>
      </c>
      <c r="P713" s="247">
        <f t="shared" si="154"/>
        <v>0.57095756415206056</v>
      </c>
      <c r="Q713" s="251">
        <f t="shared" si="161"/>
        <v>1.6945881305968042</v>
      </c>
      <c r="R713" s="251">
        <f t="shared" si="162"/>
        <v>1.7109961621892171</v>
      </c>
      <c r="S713" s="251">
        <f t="shared" si="163"/>
        <v>-9.5897535920939081E-3</v>
      </c>
      <c r="T713" s="252">
        <f>C713*'1. Share_Price_Analysis'!$E$11+T712*(1-'1. Share_Price_Analysis'!$E$11)</f>
        <v>271.67285688657535</v>
      </c>
      <c r="U713" s="253">
        <f t="shared" si="164"/>
        <v>291.18178882682446</v>
      </c>
    </row>
    <row r="714" spans="2:21" x14ac:dyDescent="0.2">
      <c r="B714" s="245">
        <v>45937</v>
      </c>
      <c r="C714" s="246">
        <v>300.89999999999998</v>
      </c>
      <c r="D714" s="246">
        <v>669.12</v>
      </c>
      <c r="E714" s="246">
        <v>44.71</v>
      </c>
      <c r="F714" s="248">
        <f t="shared" si="155"/>
        <v>-1.2374044047658295E-2</v>
      </c>
      <c r="G714" s="248">
        <f t="shared" si="156"/>
        <v>-3.70750882208426E-3</v>
      </c>
      <c r="H714" s="248">
        <f t="shared" si="157"/>
        <v>-4.0098017375806982E-3</v>
      </c>
      <c r="I714" s="249">
        <f t="shared" si="158"/>
        <v>0.67361922242616057</v>
      </c>
      <c r="J714" s="249">
        <f t="shared" si="159"/>
        <v>0.65431305164783171</v>
      </c>
      <c r="K714" s="249">
        <f t="shared" si="160"/>
        <v>7.4372221554728002E-2</v>
      </c>
      <c r="L714" s="250">
        <f t="shared" si="150"/>
        <v>167.3619222426164</v>
      </c>
      <c r="M714" s="250">
        <f t="shared" si="151"/>
        <v>165.43130516478354</v>
      </c>
      <c r="N714" s="250">
        <f t="shared" si="152"/>
        <v>107.43722215547278</v>
      </c>
      <c r="O714" s="248">
        <f t="shared" si="153"/>
        <v>1.1670203991377859E-2</v>
      </c>
      <c r="P714" s="247">
        <f t="shared" si="154"/>
        <v>0.55776479403410106</v>
      </c>
      <c r="Q714" s="251">
        <f t="shared" si="161"/>
        <v>1.6736192224261606</v>
      </c>
      <c r="R714" s="251">
        <f t="shared" si="162"/>
        <v>1.7109961621892171</v>
      </c>
      <c r="S714" s="251">
        <f t="shared" si="163"/>
        <v>-2.1845133606397393E-2</v>
      </c>
      <c r="T714" s="252">
        <f>C714*'1. Share_Price_Analysis'!$E$11+T713*(1-'1. Share_Price_Analysis'!$E$11)</f>
        <v>271.96367423098752</v>
      </c>
      <c r="U714" s="253">
        <f t="shared" si="164"/>
        <v>291.56289514734118</v>
      </c>
    </row>
    <row r="715" spans="2:21" x14ac:dyDescent="0.2">
      <c r="B715" s="245">
        <v>45938</v>
      </c>
      <c r="C715" s="246">
        <v>304.43</v>
      </c>
      <c r="D715" s="246">
        <v>673.11</v>
      </c>
      <c r="E715" s="246">
        <v>44.95</v>
      </c>
      <c r="F715" s="248">
        <f t="shared" si="155"/>
        <v>1.1731472249917108E-2</v>
      </c>
      <c r="G715" s="248">
        <f t="shared" si="156"/>
        <v>5.9630559540888584E-3</v>
      </c>
      <c r="H715" s="248">
        <f t="shared" si="157"/>
        <v>5.3679266383359625E-3</v>
      </c>
      <c r="I715" s="249">
        <f t="shared" si="158"/>
        <v>0.69325323989098098</v>
      </c>
      <c r="J715" s="249">
        <f t="shared" si="159"/>
        <v>0.66417781294038725</v>
      </c>
      <c r="K715" s="249">
        <f t="shared" si="160"/>
        <v>8.0139372822299881E-2</v>
      </c>
      <c r="L715" s="250">
        <f t="shared" si="150"/>
        <v>169.32532398909842</v>
      </c>
      <c r="M715" s="250">
        <f t="shared" si="151"/>
        <v>166.41778129403912</v>
      </c>
      <c r="N715" s="250">
        <f t="shared" si="152"/>
        <v>108.01393728222996</v>
      </c>
      <c r="O715" s="248">
        <f t="shared" si="153"/>
        <v>1.7471346345629524E-2</v>
      </c>
      <c r="P715" s="247">
        <f t="shared" si="154"/>
        <v>0.56762477370552067</v>
      </c>
      <c r="Q715" s="251">
        <f t="shared" si="161"/>
        <v>1.693253239890981</v>
      </c>
      <c r="R715" s="251">
        <f t="shared" si="162"/>
        <v>1.7109961621892171</v>
      </c>
      <c r="S715" s="251">
        <f t="shared" si="163"/>
        <v>-1.0369936935179402E-2</v>
      </c>
      <c r="T715" s="252">
        <f>C715*'1. Share_Price_Analysis'!$E$11+T714*(1-'1. Share_Price_Analysis'!$E$11)</f>
        <v>272.28672224858963</v>
      </c>
      <c r="U715" s="253">
        <f t="shared" si="164"/>
        <v>292.06748749450429</v>
      </c>
    </row>
    <row r="716" spans="2:21" x14ac:dyDescent="0.2">
      <c r="B716" s="245">
        <v>45939</v>
      </c>
      <c r="C716" s="246">
        <v>302.89999999999998</v>
      </c>
      <c r="D716" s="246">
        <v>671.16</v>
      </c>
      <c r="E716" s="246">
        <v>44.335000000000001</v>
      </c>
      <c r="F716" s="248">
        <f t="shared" si="155"/>
        <v>-5.0257858949512846E-3</v>
      </c>
      <c r="G716" s="248">
        <f t="shared" si="156"/>
        <v>-2.8970004902616475E-3</v>
      </c>
      <c r="H716" s="248">
        <f t="shared" si="157"/>
        <v>-1.3681868743047887E-2</v>
      </c>
      <c r="I716" s="249">
        <f t="shared" si="158"/>
        <v>0.68474331164135638</v>
      </c>
      <c r="J716" s="249">
        <f t="shared" si="159"/>
        <v>0.65935668900041633</v>
      </c>
      <c r="K716" s="249">
        <f t="shared" si="160"/>
        <v>6.5361047699147079E-2</v>
      </c>
      <c r="L716" s="250">
        <f t="shared" si="150"/>
        <v>168.47433116413592</v>
      </c>
      <c r="M716" s="250">
        <f t="shared" si="151"/>
        <v>165.935668900042</v>
      </c>
      <c r="N716" s="250">
        <f t="shared" si="152"/>
        <v>106.53610476991469</v>
      </c>
      <c r="O716" s="248">
        <f t="shared" si="153"/>
        <v>1.5299075123042183E-2</v>
      </c>
      <c r="P716" s="247">
        <f t="shared" si="154"/>
        <v>0.5813824949578219</v>
      </c>
      <c r="Q716" s="251">
        <f t="shared" si="161"/>
        <v>1.6847433116413564</v>
      </c>
      <c r="R716" s="251">
        <f t="shared" si="162"/>
        <v>1.7109961621892171</v>
      </c>
      <c r="S716" s="251">
        <f t="shared" si="163"/>
        <v>-1.5343605747350275E-2</v>
      </c>
      <c r="T716" s="252">
        <f>C716*'1. Share_Price_Analysis'!$E$11+T715*(1-'1. Share_Price_Analysis'!$E$11)</f>
        <v>272.59133197745939</v>
      </c>
      <c r="U716" s="253">
        <f t="shared" si="164"/>
        <v>292.49229190648452</v>
      </c>
    </row>
    <row r="717" spans="2:21" x14ac:dyDescent="0.2">
      <c r="B717" s="245">
        <v>45940</v>
      </c>
      <c r="C717" s="246">
        <v>301.43</v>
      </c>
      <c r="D717" s="246">
        <v>653.02</v>
      </c>
      <c r="E717" s="246">
        <v>43.424999999999997</v>
      </c>
      <c r="F717" s="248">
        <f t="shared" si="155"/>
        <v>-4.8530868273356509E-3</v>
      </c>
      <c r="G717" s="248">
        <f t="shared" si="156"/>
        <v>-2.7027832409559527E-2</v>
      </c>
      <c r="H717" s="248">
        <f t="shared" si="157"/>
        <v>-2.0525544152475539E-2</v>
      </c>
      <c r="I717" s="249">
        <f t="shared" si="158"/>
        <v>0.67656710606818793</v>
      </c>
      <c r="J717" s="249">
        <f t="shared" si="159"/>
        <v>0.61450787450243149</v>
      </c>
      <c r="K717" s="249">
        <f t="shared" si="160"/>
        <v>4.3493932476270647E-2</v>
      </c>
      <c r="L717" s="250">
        <f t="shared" si="150"/>
        <v>167.65671060681908</v>
      </c>
      <c r="M717" s="250">
        <f t="shared" si="151"/>
        <v>161.4507874502435</v>
      </c>
      <c r="N717" s="250">
        <f t="shared" si="152"/>
        <v>104.34939324762705</v>
      </c>
      <c r="O717" s="248">
        <f t="shared" si="153"/>
        <v>3.8438481809747849E-2</v>
      </c>
      <c r="P717" s="247">
        <f t="shared" si="154"/>
        <v>0.60668601310368775</v>
      </c>
      <c r="Q717" s="251">
        <f t="shared" si="161"/>
        <v>1.6765671060681879</v>
      </c>
      <c r="R717" s="251">
        <f t="shared" si="162"/>
        <v>1.7109961621892171</v>
      </c>
      <c r="S717" s="251">
        <f t="shared" si="163"/>
        <v>-2.012222872374958E-2</v>
      </c>
      <c r="T717" s="252">
        <f>C717*'1. Share_Price_Analysis'!$E$11+T716*(1-'1. Share_Price_Analysis'!$E$11)</f>
        <v>272.87828389808169</v>
      </c>
      <c r="U717" s="253">
        <f t="shared" si="164"/>
        <v>292.84279026309298</v>
      </c>
    </row>
    <row r="718" spans="2:21" x14ac:dyDescent="0.2">
      <c r="B718" s="245">
        <v>45943</v>
      </c>
      <c r="C718" s="246">
        <v>302.75</v>
      </c>
      <c r="D718" s="246">
        <v>663.04</v>
      </c>
      <c r="E718" s="246">
        <v>44.115000000000002</v>
      </c>
      <c r="F718" s="248">
        <f t="shared" si="155"/>
        <v>4.3791261652788016E-3</v>
      </c>
      <c r="G718" s="248">
        <f t="shared" si="156"/>
        <v>1.5344093595908159E-2</v>
      </c>
      <c r="H718" s="248">
        <f t="shared" si="157"/>
        <v>1.5889464594127878E-2</v>
      </c>
      <c r="I718" s="249">
        <f t="shared" si="158"/>
        <v>0.68390900495021678</v>
      </c>
      <c r="J718" s="249">
        <f t="shared" si="159"/>
        <v>0.63928103444012763</v>
      </c>
      <c r="K718" s="249">
        <f t="shared" si="160"/>
        <v>6.0074492370539634E-2</v>
      </c>
      <c r="L718" s="250">
        <f t="shared" si="150"/>
        <v>168.39090049502198</v>
      </c>
      <c r="M718" s="250">
        <f t="shared" si="151"/>
        <v>163.92810344401315</v>
      </c>
      <c r="N718" s="250">
        <f t="shared" si="152"/>
        <v>106.00744923705395</v>
      </c>
      <c r="O718" s="248">
        <f t="shared" si="153"/>
        <v>2.722411201769992E-2</v>
      </c>
      <c r="P718" s="247">
        <f t="shared" si="154"/>
        <v>0.58848176903554927</v>
      </c>
      <c r="Q718" s="251">
        <f t="shared" si="161"/>
        <v>1.6839090049502168</v>
      </c>
      <c r="R718" s="251">
        <f t="shared" si="162"/>
        <v>1.7109961621892171</v>
      </c>
      <c r="S718" s="251">
        <f t="shared" si="163"/>
        <v>-1.5831220336778751E-2</v>
      </c>
      <c r="T718" s="252">
        <f>C718*'1. Share_Price_Analysis'!$E$11+T717*(1-'1. Share_Price_Analysis'!$E$11)</f>
        <v>273.17551490407095</v>
      </c>
      <c r="U718" s="253">
        <f t="shared" si="164"/>
        <v>293.2313082919913</v>
      </c>
    </row>
    <row r="719" spans="2:21" x14ac:dyDescent="0.2">
      <c r="B719" s="245">
        <v>45944</v>
      </c>
      <c r="C719" s="246">
        <v>309.07</v>
      </c>
      <c r="D719" s="246">
        <v>662.23</v>
      </c>
      <c r="E719" s="246">
        <v>44.555</v>
      </c>
      <c r="F719" s="248">
        <f t="shared" si="155"/>
        <v>2.0875309661436914E-2</v>
      </c>
      <c r="G719" s="248">
        <f t="shared" si="156"/>
        <v>-1.2216457528956282E-3</v>
      </c>
      <c r="H719" s="248">
        <f t="shared" si="157"/>
        <v>9.9739317692393303E-3</v>
      </c>
      <c r="I719" s="249">
        <f t="shared" si="158"/>
        <v>0.71906112687023471</v>
      </c>
      <c r="J719" s="249">
        <f t="shared" si="159"/>
        <v>0.63727841372660143</v>
      </c>
      <c r="K719" s="249">
        <f t="shared" si="160"/>
        <v>7.0647603027754524E-2</v>
      </c>
      <c r="L719" s="250">
        <f t="shared" si="150"/>
        <v>171.90611268702375</v>
      </c>
      <c r="M719" s="250">
        <f t="shared" si="151"/>
        <v>163.72784137266052</v>
      </c>
      <c r="N719" s="250">
        <f t="shared" si="152"/>
        <v>107.06476030277543</v>
      </c>
      <c r="O719" s="248">
        <f t="shared" si="153"/>
        <v>4.9950400895769409E-2</v>
      </c>
      <c r="P719" s="247">
        <f t="shared" si="154"/>
        <v>0.60562739972404467</v>
      </c>
      <c r="Q719" s="251">
        <f t="shared" si="161"/>
        <v>1.7190611268702347</v>
      </c>
      <c r="R719" s="251">
        <f t="shared" si="162"/>
        <v>1.7190611268702347</v>
      </c>
      <c r="S719" s="251">
        <f t="shared" si="163"/>
        <v>0</v>
      </c>
      <c r="T719" s="252">
        <f>C719*'1. Share_Price_Analysis'!$E$11+T718*(1-'1. Share_Price_Analysis'!$E$11)</f>
        <v>273.53267395975189</v>
      </c>
      <c r="U719" s="253">
        <f t="shared" si="164"/>
        <v>293.85243345701127</v>
      </c>
    </row>
    <row r="720" spans="2:21" x14ac:dyDescent="0.2">
      <c r="B720" s="245">
        <v>45945</v>
      </c>
      <c r="C720" s="246">
        <v>303.10000000000002</v>
      </c>
      <c r="D720" s="246">
        <v>665.17</v>
      </c>
      <c r="E720" s="246">
        <v>44.354999999999997</v>
      </c>
      <c r="F720" s="248">
        <f t="shared" si="155"/>
        <v>-1.931601255379034E-2</v>
      </c>
      <c r="G720" s="248">
        <f t="shared" si="156"/>
        <v>4.4395451731271685E-3</v>
      </c>
      <c r="H720" s="248">
        <f t="shared" si="157"/>
        <v>-4.4888340253619319E-3</v>
      </c>
      <c r="I720" s="249">
        <f t="shared" si="158"/>
        <v>0.68585572056287636</v>
      </c>
      <c r="J720" s="249">
        <f t="shared" si="159"/>
        <v>0.64454718520532661</v>
      </c>
      <c r="K720" s="249">
        <f t="shared" si="160"/>
        <v>6.5841643638111291E-2</v>
      </c>
      <c r="L720" s="250">
        <f t="shared" si="150"/>
        <v>168.5855720562879</v>
      </c>
      <c r="M720" s="250">
        <f t="shared" si="151"/>
        <v>164.45471852053302</v>
      </c>
      <c r="N720" s="250">
        <f t="shared" si="152"/>
        <v>106.58416436381111</v>
      </c>
      <c r="O720" s="248">
        <f t="shared" si="153"/>
        <v>2.5118485945048841E-2</v>
      </c>
      <c r="P720" s="247">
        <f t="shared" si="154"/>
        <v>0.58171312842349443</v>
      </c>
      <c r="Q720" s="251">
        <f t="shared" si="161"/>
        <v>1.6858557205628764</v>
      </c>
      <c r="R720" s="251">
        <f t="shared" si="162"/>
        <v>1.7190611268702347</v>
      </c>
      <c r="S720" s="251">
        <f t="shared" si="163"/>
        <v>-1.931601255379034E-2</v>
      </c>
      <c r="T720" s="252">
        <f>C720*'1. Share_Price_Analysis'!$E$11+T719*(1-'1. Share_Price_Analysis'!$E$11)</f>
        <v>273.82687620890857</v>
      </c>
      <c r="U720" s="253">
        <f t="shared" si="164"/>
        <v>294.21508312536378</v>
      </c>
    </row>
    <row r="721" spans="2:21" x14ac:dyDescent="0.2">
      <c r="B721" s="245">
        <v>45946</v>
      </c>
      <c r="C721" s="246">
        <v>296.23</v>
      </c>
      <c r="D721" s="246">
        <v>660.64</v>
      </c>
      <c r="E721" s="246">
        <v>44.024999999999999</v>
      </c>
      <c r="F721" s="248">
        <f t="shared" si="155"/>
        <v>-2.2665786869020099E-2</v>
      </c>
      <c r="G721" s="248">
        <f t="shared" si="156"/>
        <v>-6.8102890990272558E-3</v>
      </c>
      <c r="H721" s="248">
        <f t="shared" si="157"/>
        <v>-7.4399729455528751E-3</v>
      </c>
      <c r="I721" s="249">
        <f t="shared" si="158"/>
        <v>0.64764447410867998</v>
      </c>
      <c r="J721" s="249">
        <f t="shared" si="159"/>
        <v>0.63334734343708687</v>
      </c>
      <c r="K721" s="249">
        <f t="shared" si="160"/>
        <v>5.7911810645200124E-2</v>
      </c>
      <c r="L721" s="250">
        <f t="shared" si="150"/>
        <v>164.76444741086823</v>
      </c>
      <c r="M721" s="250">
        <f t="shared" si="151"/>
        <v>163.33473434370904</v>
      </c>
      <c r="N721" s="250">
        <f t="shared" si="152"/>
        <v>105.79118106451999</v>
      </c>
      <c r="O721" s="248">
        <f t="shared" si="153"/>
        <v>8.7532702269605966E-3</v>
      </c>
      <c r="P721" s="247">
        <f t="shared" si="154"/>
        <v>0.55744973969409917</v>
      </c>
      <c r="Q721" s="251">
        <f t="shared" si="161"/>
        <v>1.64764447410868</v>
      </c>
      <c r="R721" s="251">
        <f t="shared" si="162"/>
        <v>1.7190611268702347</v>
      </c>
      <c r="S721" s="251">
        <f t="shared" si="163"/>
        <v>-4.1543986799106869E-2</v>
      </c>
      <c r="T721" s="252">
        <f>C721*'1. Share_Price_Analysis'!$E$11+T720*(1-'1. Share_Price_Analysis'!$E$11)</f>
        <v>274.04979286354632</v>
      </c>
      <c r="U721" s="253">
        <f t="shared" si="164"/>
        <v>294.29409947338877</v>
      </c>
    </row>
    <row r="722" spans="2:21" x14ac:dyDescent="0.2">
      <c r="B722" s="245">
        <v>45947</v>
      </c>
      <c r="C722" s="246">
        <v>295.35000000000002</v>
      </c>
      <c r="D722" s="246">
        <v>664.39</v>
      </c>
      <c r="E722" s="246">
        <v>43.94</v>
      </c>
      <c r="F722" s="248">
        <f t="shared" si="155"/>
        <v>-2.9706646862235342E-3</v>
      </c>
      <c r="G722" s="248">
        <f t="shared" si="156"/>
        <v>5.6763138774522659E-3</v>
      </c>
      <c r="H722" s="248">
        <f t="shared" si="157"/>
        <v>-1.9307211811471214E-3</v>
      </c>
      <c r="I722" s="249">
        <f t="shared" si="158"/>
        <v>0.64274987485399393</v>
      </c>
      <c r="J722" s="249">
        <f t="shared" si="159"/>
        <v>0.64261873562933869</v>
      </c>
      <c r="K722" s="249">
        <f t="shared" si="160"/>
        <v>5.5869277904601722E-2</v>
      </c>
      <c r="L722" s="250">
        <f t="shared" si="150"/>
        <v>164.27498748539966</v>
      </c>
      <c r="M722" s="250">
        <f t="shared" si="151"/>
        <v>164.2618735629342</v>
      </c>
      <c r="N722" s="250">
        <f t="shared" si="152"/>
        <v>105.58692779046015</v>
      </c>
      <c r="O722" s="248">
        <f t="shared" si="153"/>
        <v>7.983546139511688E-5</v>
      </c>
      <c r="P722" s="247">
        <f t="shared" si="154"/>
        <v>0.5558269467921928</v>
      </c>
      <c r="Q722" s="251">
        <f t="shared" si="161"/>
        <v>1.6427498748539939</v>
      </c>
      <c r="R722" s="251">
        <f t="shared" si="162"/>
        <v>1.7190611268702347</v>
      </c>
      <c r="S722" s="251">
        <f t="shared" si="163"/>
        <v>-4.4391238230821362E-2</v>
      </c>
      <c r="T722" s="252">
        <f>C722*'1. Share_Price_Analysis'!$E$11+T721*(1-'1. Share_Price_Analysis'!$E$11)</f>
        <v>274.26173522311302</v>
      </c>
      <c r="U722" s="253">
        <f t="shared" si="164"/>
        <v>294.33550733717743</v>
      </c>
    </row>
    <row r="723" spans="2:21" x14ac:dyDescent="0.2">
      <c r="B723" s="245">
        <v>45950</v>
      </c>
      <c r="C723" s="246">
        <v>295.47000000000003</v>
      </c>
      <c r="D723" s="246">
        <v>671.3</v>
      </c>
      <c r="E723" s="246">
        <v>44.465000000000003</v>
      </c>
      <c r="F723" s="248">
        <f t="shared" si="155"/>
        <v>4.0629761300148282E-4</v>
      </c>
      <c r="G723" s="248">
        <f t="shared" si="156"/>
        <v>1.0400517768178297E-2</v>
      </c>
      <c r="H723" s="248">
        <f t="shared" si="157"/>
        <v>1.1948111060537281E-2</v>
      </c>
      <c r="I723" s="249">
        <f t="shared" si="158"/>
        <v>0.64341732020690556</v>
      </c>
      <c r="J723" s="249">
        <f t="shared" si="159"/>
        <v>0.65970282097559418</v>
      </c>
      <c r="K723" s="249">
        <f t="shared" si="160"/>
        <v>6.8484921302415236E-2</v>
      </c>
      <c r="L723" s="250">
        <f t="shared" si="150"/>
        <v>164.34173202069081</v>
      </c>
      <c r="M723" s="250">
        <f t="shared" si="151"/>
        <v>165.97028209755976</v>
      </c>
      <c r="N723" s="250">
        <f t="shared" si="152"/>
        <v>106.8484921302415</v>
      </c>
      <c r="O723" s="248">
        <f t="shared" si="153"/>
        <v>-9.8122992639825268E-3</v>
      </c>
      <c r="P723" s="247">
        <f t="shared" si="154"/>
        <v>0.53808190217947516</v>
      </c>
      <c r="Q723" s="251">
        <f t="shared" si="161"/>
        <v>1.6434173202069056</v>
      </c>
      <c r="R723" s="251">
        <f t="shared" si="162"/>
        <v>1.7190611268702347</v>
      </c>
      <c r="S723" s="251">
        <f t="shared" si="163"/>
        <v>-4.4002976671951188E-2</v>
      </c>
      <c r="T723" s="252">
        <f>C723*'1. Share_Price_Analysis'!$E$11+T722*(1-'1. Share_Price_Analysis'!$E$11)</f>
        <v>274.4727627333308</v>
      </c>
      <c r="U723" s="253">
        <f t="shared" si="164"/>
        <v>294.37999724552338</v>
      </c>
    </row>
    <row r="724" spans="2:21" x14ac:dyDescent="0.2">
      <c r="B724" s="245">
        <v>45951</v>
      </c>
      <c r="C724" s="246">
        <v>297.57</v>
      </c>
      <c r="D724" s="246">
        <v>671.29</v>
      </c>
      <c r="E724" s="246">
        <v>44.295000000000002</v>
      </c>
      <c r="F724" s="248">
        <f t="shared" si="155"/>
        <v>7.1073205401561701E-3</v>
      </c>
      <c r="G724" s="248">
        <f t="shared" si="156"/>
        <v>-1.4896469536673784E-5</v>
      </c>
      <c r="H724" s="248">
        <f t="shared" si="157"/>
        <v>-3.8232317553131834E-3</v>
      </c>
      <c r="I724" s="249">
        <f t="shared" si="158"/>
        <v>0.65509761388286059</v>
      </c>
      <c r="J724" s="249">
        <f t="shared" si="159"/>
        <v>0.65967809726308158</v>
      </c>
      <c r="K724" s="249">
        <f t="shared" si="160"/>
        <v>6.4399855821218432E-2</v>
      </c>
      <c r="L724" s="250">
        <f t="shared" si="150"/>
        <v>165.50976138828634</v>
      </c>
      <c r="M724" s="250">
        <f t="shared" si="151"/>
        <v>165.9678097263085</v>
      </c>
      <c r="N724" s="250">
        <f t="shared" si="152"/>
        <v>106.43998558212182</v>
      </c>
      <c r="O724" s="248">
        <f t="shared" si="153"/>
        <v>-2.7598625226027407E-3</v>
      </c>
      <c r="P724" s="247">
        <f t="shared" si="154"/>
        <v>0.55495851002901531</v>
      </c>
      <c r="Q724" s="251">
        <f t="shared" si="161"/>
        <v>1.6550976138828606</v>
      </c>
      <c r="R724" s="251">
        <f t="shared" si="162"/>
        <v>1.7190611268702347</v>
      </c>
      <c r="S724" s="251">
        <f t="shared" si="163"/>
        <v>-3.7208399391723601E-2</v>
      </c>
      <c r="T724" s="252">
        <f>C724*'1. Share_Price_Analysis'!$E$11+T723*(1-'1. Share_Price_Analysis'!$E$11)</f>
        <v>274.7025859897156</v>
      </c>
      <c r="U724" s="253">
        <f t="shared" si="164"/>
        <v>294.50509539275777</v>
      </c>
    </row>
    <row r="725" spans="2:21" x14ac:dyDescent="0.2">
      <c r="B725" s="245">
        <v>45952</v>
      </c>
      <c r="C725" s="246">
        <v>293.67</v>
      </c>
      <c r="D725" s="246">
        <v>667.8</v>
      </c>
      <c r="E725" s="246">
        <v>44.16</v>
      </c>
      <c r="F725" s="248">
        <f t="shared" si="155"/>
        <v>-1.3106159895150626E-2</v>
      </c>
      <c r="G725" s="248">
        <f t="shared" si="156"/>
        <v>-5.1989453142456954E-3</v>
      </c>
      <c r="H725" s="248">
        <f t="shared" si="157"/>
        <v>-3.0477480528277034E-3</v>
      </c>
      <c r="I725" s="249">
        <f t="shared" si="158"/>
        <v>0.63340563991322951</v>
      </c>
      <c r="J725" s="249">
        <f t="shared" si="159"/>
        <v>0.65104952159615936</v>
      </c>
      <c r="K725" s="249">
        <f t="shared" si="160"/>
        <v>6.1155833233209167E-2</v>
      </c>
      <c r="L725" s="250">
        <f t="shared" si="150"/>
        <v>163.34056399132322</v>
      </c>
      <c r="M725" s="250">
        <f t="shared" si="151"/>
        <v>165.10495215961626</v>
      </c>
      <c r="N725" s="250">
        <f t="shared" si="152"/>
        <v>106.11558332332089</v>
      </c>
      <c r="O725" s="248">
        <f t="shared" si="153"/>
        <v>-1.068646424722175E-2</v>
      </c>
      <c r="P725" s="247">
        <f t="shared" si="154"/>
        <v>0.53927028317457082</v>
      </c>
      <c r="Q725" s="251">
        <f t="shared" si="161"/>
        <v>1.6334056399132295</v>
      </c>
      <c r="R725" s="251">
        <f t="shared" si="162"/>
        <v>1.7190611268702347</v>
      </c>
      <c r="S725" s="251">
        <f t="shared" si="163"/>
        <v>-4.9826900055003676E-2</v>
      </c>
      <c r="T725" s="252">
        <f>C725*'1. Share_Price_Analysis'!$E$11+T724*(1-'1. Share_Price_Analysis'!$E$11)</f>
        <v>274.89131647738014</v>
      </c>
      <c r="U725" s="253">
        <f t="shared" si="164"/>
        <v>294.47234655382607</v>
      </c>
    </row>
    <row r="726" spans="2:21" x14ac:dyDescent="0.2">
      <c r="B726" s="245">
        <v>45953</v>
      </c>
      <c r="C726" s="246">
        <v>292.06</v>
      </c>
      <c r="D726" s="246">
        <v>671.76</v>
      </c>
      <c r="E726" s="246">
        <v>44.69</v>
      </c>
      <c r="F726" s="248">
        <f t="shared" si="155"/>
        <v>-5.4823441277624951E-3</v>
      </c>
      <c r="G726" s="248">
        <f t="shared" si="156"/>
        <v>5.9299191374664328E-3</v>
      </c>
      <c r="H726" s="248">
        <f t="shared" si="157"/>
        <v>1.2001811594202882E-2</v>
      </c>
      <c r="I726" s="249">
        <f t="shared" si="158"/>
        <v>0.62445074809499701</v>
      </c>
      <c r="J726" s="249">
        <f t="shared" si="159"/>
        <v>0.66084011175117729</v>
      </c>
      <c r="K726" s="249">
        <f t="shared" si="160"/>
        <v>7.3891625615763568E-2</v>
      </c>
      <c r="L726" s="250">
        <f t="shared" si="150"/>
        <v>162.4450748095</v>
      </c>
      <c r="M726" s="250">
        <f t="shared" si="151"/>
        <v>166.08401117511804</v>
      </c>
      <c r="N726" s="250">
        <f t="shared" si="152"/>
        <v>107.38916256157634</v>
      </c>
      <c r="O726" s="248">
        <f t="shared" si="153"/>
        <v>-2.1910214835678343E-2</v>
      </c>
      <c r="P726" s="247">
        <f t="shared" si="154"/>
        <v>0.51267661405176335</v>
      </c>
      <c r="Q726" s="251">
        <f t="shared" si="161"/>
        <v>1.624450748094997</v>
      </c>
      <c r="R726" s="251">
        <f t="shared" si="162"/>
        <v>1.7190611268702347</v>
      </c>
      <c r="S726" s="251">
        <f t="shared" si="163"/>
        <v>-5.5036075969845055E-2</v>
      </c>
      <c r="T726" s="252">
        <f>C726*'1. Share_Price_Analysis'!$E$11+T725*(1-'1. Share_Price_Analysis'!$E$11)</f>
        <v>275.06214914924703</v>
      </c>
      <c r="U726" s="253">
        <f t="shared" si="164"/>
        <v>294.3777447281858</v>
      </c>
    </row>
    <row r="727" spans="2:21" x14ac:dyDescent="0.2">
      <c r="B727" s="245">
        <v>45954</v>
      </c>
      <c r="C727" s="246">
        <v>292.74</v>
      </c>
      <c r="D727" s="246">
        <v>677.25</v>
      </c>
      <c r="E727" s="246">
        <v>44.505000000000003</v>
      </c>
      <c r="F727" s="248">
        <f t="shared" si="155"/>
        <v>2.3282887077997749E-3</v>
      </c>
      <c r="G727" s="248">
        <f t="shared" si="156"/>
        <v>8.1725616291532521E-3</v>
      </c>
      <c r="H727" s="248">
        <f t="shared" si="157"/>
        <v>-4.1396285522486975E-3</v>
      </c>
      <c r="I727" s="249">
        <f t="shared" si="158"/>
        <v>0.62823293842816352</v>
      </c>
      <c r="J727" s="249">
        <f t="shared" si="159"/>
        <v>0.67441342992063347</v>
      </c>
      <c r="K727" s="249">
        <f t="shared" si="160"/>
        <v>6.9446113180343882E-2</v>
      </c>
      <c r="L727" s="250">
        <f t="shared" si="150"/>
        <v>162.82329384281664</v>
      </c>
      <c r="M727" s="250">
        <f t="shared" si="151"/>
        <v>167.44134299206368</v>
      </c>
      <c r="N727" s="250">
        <f t="shared" si="152"/>
        <v>106.94461131803436</v>
      </c>
      <c r="O727" s="248">
        <f t="shared" si="153"/>
        <v>-2.7580100987758316E-2</v>
      </c>
      <c r="P727" s="247">
        <f t="shared" si="154"/>
        <v>0.52250115116701523</v>
      </c>
      <c r="Q727" s="251">
        <f t="shared" si="161"/>
        <v>1.6282329384281635</v>
      </c>
      <c r="R727" s="251">
        <f t="shared" si="162"/>
        <v>1.7190611268702347</v>
      </c>
      <c r="S727" s="251">
        <f t="shared" si="163"/>
        <v>-5.2835927136247518E-2</v>
      </c>
      <c r="T727" s="252">
        <f>C727*'1. Share_Price_Analysis'!$E$11+T726*(1-'1. Share_Price_Analysis'!$E$11)</f>
        <v>275.23804816268733</v>
      </c>
      <c r="U727" s="253">
        <f t="shared" si="164"/>
        <v>294.31351944472755</v>
      </c>
    </row>
    <row r="728" spans="2:21" x14ac:dyDescent="0.2">
      <c r="B728" s="245">
        <v>45957</v>
      </c>
      <c r="C728" s="246">
        <v>292.01</v>
      </c>
      <c r="D728" s="246">
        <v>685.24</v>
      </c>
      <c r="E728" s="246">
        <v>44.484999999999999</v>
      </c>
      <c r="F728" s="248">
        <f t="shared" si="155"/>
        <v>-2.4936803989888956E-3</v>
      </c>
      <c r="G728" s="248">
        <f t="shared" si="156"/>
        <v>1.1797711332595107E-2</v>
      </c>
      <c r="H728" s="248">
        <f t="shared" si="157"/>
        <v>-4.493877092461851E-4</v>
      </c>
      <c r="I728" s="249">
        <f t="shared" si="158"/>
        <v>0.62417264586461707</v>
      </c>
      <c r="J728" s="249">
        <f t="shared" si="159"/>
        <v>0.69416767621825759</v>
      </c>
      <c r="K728" s="249">
        <f t="shared" si="160"/>
        <v>6.8965517241379448E-2</v>
      </c>
      <c r="L728" s="250">
        <f t="shared" si="150"/>
        <v>162.41726458646198</v>
      </c>
      <c r="M728" s="250">
        <f t="shared" si="151"/>
        <v>169.4167676218261</v>
      </c>
      <c r="N728" s="250">
        <f t="shared" si="152"/>
        <v>106.89655172413792</v>
      </c>
      <c r="O728" s="248">
        <f t="shared" si="153"/>
        <v>-4.1315290886604794E-2</v>
      </c>
      <c r="P728" s="247">
        <f t="shared" si="154"/>
        <v>0.51938731387335135</v>
      </c>
      <c r="Q728" s="251">
        <f t="shared" si="161"/>
        <v>1.6241726458646171</v>
      </c>
      <c r="R728" s="251">
        <f t="shared" si="162"/>
        <v>1.7190611268702347</v>
      </c>
      <c r="S728" s="251">
        <f t="shared" si="163"/>
        <v>-5.5197851619374294E-2</v>
      </c>
      <c r="T728" s="252">
        <f>C728*'1. Share_Price_Analysis'!$E$11+T727*(1-'1. Share_Price_Analysis'!$E$11)</f>
        <v>275.40493325559595</v>
      </c>
      <c r="U728" s="253">
        <f t="shared" si="164"/>
        <v>294.22318534885585</v>
      </c>
    </row>
    <row r="729" spans="2:21" x14ac:dyDescent="0.2">
      <c r="B729" s="245">
        <v>45958</v>
      </c>
      <c r="C729" s="246">
        <v>292.58999999999997</v>
      </c>
      <c r="D729" s="246">
        <v>687.06</v>
      </c>
      <c r="E729" s="246">
        <v>44.545000000000002</v>
      </c>
      <c r="F729" s="248">
        <f t="shared" si="155"/>
        <v>1.9862333481730499E-3</v>
      </c>
      <c r="G729" s="248">
        <f t="shared" si="156"/>
        <v>2.656003735917345E-3</v>
      </c>
      <c r="H729" s="248">
        <f t="shared" si="157"/>
        <v>1.3487692480611546E-3</v>
      </c>
      <c r="I729" s="249">
        <f t="shared" si="158"/>
        <v>0.62739863173702393</v>
      </c>
      <c r="J729" s="249">
        <f t="shared" si="159"/>
        <v>0.69866739189556371</v>
      </c>
      <c r="K729" s="249">
        <f t="shared" si="160"/>
        <v>7.0407305058272307E-2</v>
      </c>
      <c r="L729" s="250">
        <f t="shared" si="150"/>
        <v>162.73986317370264</v>
      </c>
      <c r="M729" s="250">
        <f t="shared" si="151"/>
        <v>169.86673918955668</v>
      </c>
      <c r="N729" s="250">
        <f t="shared" si="152"/>
        <v>107.04073050582723</v>
      </c>
      <c r="O729" s="248">
        <f t="shared" si="153"/>
        <v>-4.1955688617187237E-2</v>
      </c>
      <c r="P729" s="247">
        <f t="shared" si="154"/>
        <v>0.52035456414269277</v>
      </c>
      <c r="Q729" s="251">
        <f t="shared" si="161"/>
        <v>1.6273986317370239</v>
      </c>
      <c r="R729" s="251">
        <f t="shared" si="162"/>
        <v>1.7190611268702347</v>
      </c>
      <c r="S729" s="251">
        <f t="shared" si="163"/>
        <v>-5.3321254084835124E-2</v>
      </c>
      <c r="T729" s="252">
        <f>C729*'1. Share_Price_Analysis'!$E$11+T728*(1-'1. Share_Price_Analysis'!$E$11)</f>
        <v>275.57592894459498</v>
      </c>
      <c r="U729" s="253">
        <f t="shared" si="164"/>
        <v>294.15913886458702</v>
      </c>
    </row>
    <row r="730" spans="2:21" x14ac:dyDescent="0.2">
      <c r="B730" s="245">
        <v>45959</v>
      </c>
      <c r="C730" s="246">
        <v>294.97000000000003</v>
      </c>
      <c r="D730" s="246">
        <v>687.39</v>
      </c>
      <c r="E730" s="246">
        <v>43.67</v>
      </c>
      <c r="F730" s="248">
        <f t="shared" si="155"/>
        <v>8.1342492908167419E-3</v>
      </c>
      <c r="G730" s="248">
        <f t="shared" si="156"/>
        <v>4.8030739673388112E-4</v>
      </c>
      <c r="H730" s="248">
        <f t="shared" si="157"/>
        <v>-1.964305758222018E-2</v>
      </c>
      <c r="I730" s="249">
        <f t="shared" si="158"/>
        <v>0.64063629790310705</v>
      </c>
      <c r="J730" s="249">
        <f t="shared" si="159"/>
        <v>0.69948327440848179</v>
      </c>
      <c r="K730" s="249">
        <f t="shared" si="160"/>
        <v>4.9381232728583635E-2</v>
      </c>
      <c r="L730" s="250">
        <f t="shared" si="150"/>
        <v>164.06362979031096</v>
      </c>
      <c r="M730" s="250">
        <f t="shared" si="151"/>
        <v>169.94832744084852</v>
      </c>
      <c r="N730" s="250">
        <f t="shared" si="152"/>
        <v>104.93812327285835</v>
      </c>
      <c r="O730" s="248">
        <f t="shared" si="153"/>
        <v>-3.4626393440592595E-2</v>
      </c>
      <c r="P730" s="247">
        <f t="shared" si="154"/>
        <v>0.56343209382271087</v>
      </c>
      <c r="Q730" s="251">
        <f t="shared" si="161"/>
        <v>1.6406362979031071</v>
      </c>
      <c r="R730" s="251">
        <f t="shared" si="162"/>
        <v>1.7190611268702347</v>
      </c>
      <c r="S730" s="251">
        <f t="shared" si="163"/>
        <v>-4.5620733167243355E-2</v>
      </c>
      <c r="T730" s="252">
        <f>C730*'1. Share_Price_Analysis'!$E$11+T729*(1-'1. Share_Price_Analysis'!$E$11)</f>
        <v>275.76890477599204</v>
      </c>
      <c r="U730" s="253">
        <f t="shared" si="164"/>
        <v>294.19093734048556</v>
      </c>
    </row>
    <row r="731" spans="2:21" x14ac:dyDescent="0.2">
      <c r="B731" s="245">
        <v>45960</v>
      </c>
      <c r="C731" s="246">
        <v>290</v>
      </c>
      <c r="D731" s="246">
        <v>679.83</v>
      </c>
      <c r="E731" s="246">
        <v>43.085000000000001</v>
      </c>
      <c r="F731" s="248">
        <f t="shared" si="155"/>
        <v>-1.6849171102146121E-2</v>
      </c>
      <c r="G731" s="248">
        <f t="shared" si="156"/>
        <v>-1.0998123336097287E-2</v>
      </c>
      <c r="H731" s="248">
        <f t="shared" si="157"/>
        <v>-1.3395923975269119E-2</v>
      </c>
      <c r="I731" s="249">
        <f t="shared" si="158"/>
        <v>0.61299293620334594</v>
      </c>
      <c r="J731" s="249">
        <f t="shared" si="159"/>
        <v>0.68079214774890273</v>
      </c>
      <c r="K731" s="249">
        <f t="shared" si="160"/>
        <v>3.5323801513877262E-2</v>
      </c>
      <c r="L731" s="250">
        <f t="shared" si="150"/>
        <v>161.29929362033485</v>
      </c>
      <c r="M731" s="250">
        <f t="shared" si="151"/>
        <v>168.0792147748906</v>
      </c>
      <c r="N731" s="250">
        <f t="shared" si="152"/>
        <v>103.53238015138773</v>
      </c>
      <c r="O731" s="248">
        <f t="shared" si="153"/>
        <v>-4.0337653669051732E-2</v>
      </c>
      <c r="P731" s="247">
        <f t="shared" si="154"/>
        <v>0.55795987095514077</v>
      </c>
      <c r="Q731" s="251">
        <f t="shared" si="161"/>
        <v>1.6129929362033459</v>
      </c>
      <c r="R731" s="251">
        <f t="shared" si="162"/>
        <v>1.7190611268702347</v>
      </c>
      <c r="S731" s="251">
        <f t="shared" si="163"/>
        <v>-6.1701232730449251E-2</v>
      </c>
      <c r="T731" s="252">
        <f>C731*'1. Share_Price_Analysis'!$E$11+T730*(1-'1. Share_Price_Analysis'!$E$11)</f>
        <v>275.91050771354435</v>
      </c>
      <c r="U731" s="253">
        <f t="shared" si="164"/>
        <v>294.02658685654495</v>
      </c>
    </row>
    <row r="732" spans="2:21" x14ac:dyDescent="0.2">
      <c r="B732" s="245">
        <v>45961</v>
      </c>
      <c r="C732" s="246">
        <v>289.5</v>
      </c>
      <c r="D732" s="246">
        <v>682.06</v>
      </c>
      <c r="E732" s="246">
        <v>42.835000000000001</v>
      </c>
      <c r="F732" s="248">
        <f t="shared" si="155"/>
        <v>-1.7241379310344307E-3</v>
      </c>
      <c r="G732" s="248">
        <f t="shared" si="156"/>
        <v>3.2802318226614613E-3</v>
      </c>
      <c r="H732" s="248">
        <f t="shared" si="157"/>
        <v>-5.8024834629221145E-3</v>
      </c>
      <c r="I732" s="249">
        <f t="shared" si="158"/>
        <v>0.61021191389954721</v>
      </c>
      <c r="J732" s="249">
        <f t="shared" si="159"/>
        <v>0.68630553563922825</v>
      </c>
      <c r="K732" s="249">
        <f t="shared" si="160"/>
        <v>2.9316352276823388E-2</v>
      </c>
      <c r="L732" s="250">
        <f t="shared" si="150"/>
        <v>161.02119138995496</v>
      </c>
      <c r="M732" s="250">
        <f t="shared" si="151"/>
        <v>168.63055356392314</v>
      </c>
      <c r="N732" s="250">
        <f t="shared" si="152"/>
        <v>102.93163522768232</v>
      </c>
      <c r="O732" s="248">
        <f t="shared" si="153"/>
        <v>-4.5124457063966283E-2</v>
      </c>
      <c r="P732" s="247">
        <f t="shared" si="154"/>
        <v>0.56435085320251321</v>
      </c>
      <c r="Q732" s="251">
        <f t="shared" si="161"/>
        <v>1.6102119138995472</v>
      </c>
      <c r="R732" s="251">
        <f t="shared" si="162"/>
        <v>1.7190611268702347</v>
      </c>
      <c r="S732" s="251">
        <f t="shared" si="163"/>
        <v>-6.3318989225741529E-2</v>
      </c>
      <c r="T732" s="252">
        <f>C732*'1. Share_Price_Analysis'!$E$11+T731*(1-'1. Share_Price_Analysis'!$E$11)</f>
        <v>276.04572654226536</v>
      </c>
      <c r="U732" s="253">
        <f t="shared" si="164"/>
        <v>293.84907364648438</v>
      </c>
    </row>
    <row r="733" spans="2:21" x14ac:dyDescent="0.2">
      <c r="B733" s="245">
        <v>45964</v>
      </c>
      <c r="C733" s="246">
        <v>288.55</v>
      </c>
      <c r="D733" s="246">
        <v>683.34</v>
      </c>
      <c r="E733" s="246">
        <v>42.57</v>
      </c>
      <c r="F733" s="248">
        <f t="shared" si="155"/>
        <v>-3.2815198618306729E-3</v>
      </c>
      <c r="G733" s="248">
        <f t="shared" si="156"/>
        <v>1.8766677418409206E-3</v>
      </c>
      <c r="H733" s="248">
        <f t="shared" si="157"/>
        <v>-6.1865297070152758E-3</v>
      </c>
      <c r="I733" s="249">
        <f t="shared" si="158"/>
        <v>0.60492797152232947</v>
      </c>
      <c r="J733" s="249">
        <f t="shared" si="159"/>
        <v>0.68947017084085016</v>
      </c>
      <c r="K733" s="249">
        <f t="shared" si="160"/>
        <v>2.2948456085546187E-2</v>
      </c>
      <c r="L733" s="250">
        <f t="shared" si="150"/>
        <v>160.49279715223318</v>
      </c>
      <c r="M733" s="250">
        <f t="shared" si="151"/>
        <v>168.94701708408536</v>
      </c>
      <c r="N733" s="250">
        <f t="shared" si="152"/>
        <v>102.2948456085546</v>
      </c>
      <c r="O733" s="248">
        <f t="shared" si="153"/>
        <v>-5.0040658176547792E-2</v>
      </c>
      <c r="P733" s="247">
        <f t="shared" si="154"/>
        <v>0.56892359724927721</v>
      </c>
      <c r="Q733" s="251">
        <f t="shared" si="161"/>
        <v>1.6049279715223295</v>
      </c>
      <c r="R733" s="251">
        <f t="shared" si="162"/>
        <v>1.7190611268702347</v>
      </c>
      <c r="S733" s="251">
        <f t="shared" si="163"/>
        <v>-6.6392726566796845E-2</v>
      </c>
      <c r="T733" s="252">
        <f>C733*'1. Share_Price_Analysis'!$E$11+T732*(1-'1. Share_Price_Analysis'!$E$11)</f>
        <v>276.17014717368562</v>
      </c>
      <c r="U733" s="253">
        <f t="shared" si="164"/>
        <v>293.64126683681832</v>
      </c>
    </row>
    <row r="734" spans="2:21" x14ac:dyDescent="0.2">
      <c r="B734" s="245">
        <v>45965</v>
      </c>
      <c r="C734" s="246">
        <v>292.26</v>
      </c>
      <c r="D734" s="246">
        <v>675.24</v>
      </c>
      <c r="E734" s="246">
        <v>42.36</v>
      </c>
      <c r="F734" s="248">
        <f t="shared" si="155"/>
        <v>1.2857390400277113E-2</v>
      </c>
      <c r="G734" s="248">
        <f t="shared" si="156"/>
        <v>-1.1853542892264479E-2</v>
      </c>
      <c r="H734" s="248">
        <f t="shared" si="157"/>
        <v>-4.9330514446793705E-3</v>
      </c>
      <c r="I734" s="249">
        <f t="shared" si="158"/>
        <v>0.62556315701651699</v>
      </c>
      <c r="J734" s="249">
        <f t="shared" si="159"/>
        <v>0.66944396370558668</v>
      </c>
      <c r="K734" s="249">
        <f t="shared" si="160"/>
        <v>1.7902198726420959E-2</v>
      </c>
      <c r="L734" s="250">
        <f t="shared" si="150"/>
        <v>162.55631570165193</v>
      </c>
      <c r="M734" s="250">
        <f t="shared" si="151"/>
        <v>166.94439637055899</v>
      </c>
      <c r="N734" s="250">
        <f t="shared" si="152"/>
        <v>101.79021987264207</v>
      </c>
      <c r="O734" s="248">
        <f t="shared" si="153"/>
        <v>-2.628468378876847E-2</v>
      </c>
      <c r="P734" s="247">
        <f t="shared" si="154"/>
        <v>0.59697381442970587</v>
      </c>
      <c r="Q734" s="251">
        <f t="shared" si="161"/>
        <v>1.625563157016517</v>
      </c>
      <c r="R734" s="251">
        <f t="shared" si="162"/>
        <v>1.7190611268702347</v>
      </c>
      <c r="S734" s="251">
        <f t="shared" si="163"/>
        <v>-5.4388973371727878E-2</v>
      </c>
      <c r="T734" s="252">
        <f>C734*'1. Share_Price_Analysis'!$E$11+T733*(1-'1. Share_Price_Analysis'!$E$11)</f>
        <v>276.33024521175844</v>
      </c>
      <c r="U734" s="253">
        <f t="shared" si="164"/>
        <v>293.58709950988424</v>
      </c>
    </row>
    <row r="735" spans="2:21" x14ac:dyDescent="0.2">
      <c r="B735" s="245">
        <v>45966</v>
      </c>
      <c r="C735" s="246">
        <v>285.10000000000002</v>
      </c>
      <c r="D735" s="246">
        <v>677.58</v>
      </c>
      <c r="E735" s="246">
        <v>42.61</v>
      </c>
      <c r="F735" s="248">
        <f t="shared" si="155"/>
        <v>-2.4498734003968958E-2</v>
      </c>
      <c r="G735" s="248">
        <f t="shared" si="156"/>
        <v>3.4654345121734043E-3</v>
      </c>
      <c r="H735" s="248">
        <f t="shared" si="157"/>
        <v>5.9017941454202472E-3</v>
      </c>
      <c r="I735" s="249">
        <f t="shared" si="158"/>
        <v>0.58573891762611741</v>
      </c>
      <c r="J735" s="249">
        <f t="shared" si="159"/>
        <v>0.67522931243355155</v>
      </c>
      <c r="K735" s="249">
        <f t="shared" si="160"/>
        <v>2.3909647963475056E-2</v>
      </c>
      <c r="L735" s="250">
        <f t="shared" si="150"/>
        <v>158.57389176261196</v>
      </c>
      <c r="M735" s="250">
        <f t="shared" si="151"/>
        <v>167.52293124335552</v>
      </c>
      <c r="N735" s="250">
        <f t="shared" si="152"/>
        <v>102.39096479634746</v>
      </c>
      <c r="O735" s="248">
        <f t="shared" si="153"/>
        <v>-5.3419788051245587E-2</v>
      </c>
      <c r="P735" s="247">
        <f t="shared" si="154"/>
        <v>0.54870981124174723</v>
      </c>
      <c r="Q735" s="251">
        <f t="shared" si="161"/>
        <v>1.5857389176261174</v>
      </c>
      <c r="R735" s="251">
        <f t="shared" si="162"/>
        <v>1.7190611268702347</v>
      </c>
      <c r="S735" s="251">
        <f t="shared" si="163"/>
        <v>-7.7555246384313881E-2</v>
      </c>
      <c r="T735" s="252">
        <f>C735*'1. Share_Price_Analysis'!$E$11+T734*(1-'1. Share_Price_Analysis'!$E$11)</f>
        <v>276.41750645343251</v>
      </c>
      <c r="U735" s="253">
        <f t="shared" si="164"/>
        <v>293.25427207812407</v>
      </c>
    </row>
    <row r="736" spans="2:21" x14ac:dyDescent="0.2">
      <c r="B736" s="245">
        <v>45967</v>
      </c>
      <c r="C736" s="246">
        <v>286.3</v>
      </c>
      <c r="D736" s="246">
        <v>670.31</v>
      </c>
      <c r="E736" s="246">
        <v>42.4</v>
      </c>
      <c r="F736" s="248">
        <f t="shared" si="155"/>
        <v>4.2090494563311598E-3</v>
      </c>
      <c r="G736" s="248">
        <f t="shared" si="156"/>
        <v>-1.0729360370731245E-2</v>
      </c>
      <c r="H736" s="248">
        <f t="shared" si="157"/>
        <v>-4.9284205585543583E-3</v>
      </c>
      <c r="I736" s="249">
        <f t="shared" si="158"/>
        <v>0.59241337115523485</v>
      </c>
      <c r="J736" s="249">
        <f t="shared" si="159"/>
        <v>0.6572551734368397</v>
      </c>
      <c r="K736" s="249">
        <f t="shared" si="160"/>
        <v>1.8863390604349606E-2</v>
      </c>
      <c r="L736" s="250">
        <f t="shared" si="150"/>
        <v>159.24133711552369</v>
      </c>
      <c r="M736" s="250">
        <f t="shared" si="151"/>
        <v>165.72551734368432</v>
      </c>
      <c r="N736" s="250">
        <f t="shared" si="152"/>
        <v>101.88633906043493</v>
      </c>
      <c r="O736" s="248">
        <f t="shared" si="153"/>
        <v>-3.9126021943340805E-2</v>
      </c>
      <c r="P736" s="247">
        <f t="shared" si="154"/>
        <v>0.56293118963738409</v>
      </c>
      <c r="Q736" s="251">
        <f t="shared" si="161"/>
        <v>1.5924133711552348</v>
      </c>
      <c r="R736" s="251">
        <f t="shared" si="162"/>
        <v>1.7190611268702347</v>
      </c>
      <c r="S736" s="251">
        <f t="shared" si="163"/>
        <v>-7.3672630795612148E-2</v>
      </c>
      <c r="T736" s="252">
        <f>C736*'1. Share_Price_Analysis'!$E$11+T735*(1-'1. Share_Price_Analysis'!$E$11)</f>
        <v>276.51583972255258</v>
      </c>
      <c r="U736" s="253">
        <f t="shared" si="164"/>
        <v>292.98155552604078</v>
      </c>
    </row>
    <row r="737" spans="2:21" x14ac:dyDescent="0.2">
      <c r="B737" s="245">
        <v>45968</v>
      </c>
      <c r="C737" s="246">
        <v>287.3</v>
      </c>
      <c r="D737" s="246">
        <v>670.97</v>
      </c>
      <c r="E737" s="246">
        <v>42.91</v>
      </c>
      <c r="F737" s="248">
        <f t="shared" si="155"/>
        <v>3.4928396786586546E-3</v>
      </c>
      <c r="G737" s="248">
        <f t="shared" si="156"/>
        <v>9.8461905685431894E-4</v>
      </c>
      <c r="H737" s="248">
        <f t="shared" si="157"/>
        <v>1.2028301886792381E-2</v>
      </c>
      <c r="I737" s="249">
        <f t="shared" si="158"/>
        <v>0.59797541576283253</v>
      </c>
      <c r="J737" s="249">
        <f t="shared" si="159"/>
        <v>0.6588869384626761</v>
      </c>
      <c r="K737" s="249">
        <f t="shared" si="160"/>
        <v>3.1118587047939572E-2</v>
      </c>
      <c r="L737" s="250">
        <f t="shared" si="150"/>
        <v>159.79754157628346</v>
      </c>
      <c r="M737" s="250">
        <f t="shared" si="151"/>
        <v>165.88869384626796</v>
      </c>
      <c r="N737" s="250">
        <f t="shared" si="152"/>
        <v>103.11185870479393</v>
      </c>
      <c r="O737" s="248">
        <f t="shared" si="153"/>
        <v>-3.6718308696969681E-2</v>
      </c>
      <c r="P737" s="247">
        <f t="shared" si="154"/>
        <v>0.54974940403100137</v>
      </c>
      <c r="Q737" s="251">
        <f t="shared" si="161"/>
        <v>1.5979754157628325</v>
      </c>
      <c r="R737" s="251">
        <f t="shared" si="162"/>
        <v>1.7190611268702347</v>
      </c>
      <c r="S737" s="251">
        <f t="shared" si="163"/>
        <v>-7.0437117805027594E-2</v>
      </c>
      <c r="T737" s="252">
        <f>C737*'1. Share_Price_Analysis'!$E$11+T736*(1-'1. Share_Price_Analysis'!$E$11)</f>
        <v>276.62314479994012</v>
      </c>
      <c r="U737" s="253">
        <f t="shared" si="164"/>
        <v>292.75874942698033</v>
      </c>
    </row>
    <row r="738" spans="2:21" x14ac:dyDescent="0.2">
      <c r="B738" s="245">
        <v>45971</v>
      </c>
      <c r="C738" s="246">
        <v>292.83999999999997</v>
      </c>
      <c r="D738" s="246">
        <v>681.44</v>
      </c>
      <c r="E738" s="246">
        <v>43.314999999999998</v>
      </c>
      <c r="F738" s="248">
        <f t="shared" si="155"/>
        <v>1.9282979463974836E-2</v>
      </c>
      <c r="G738" s="248">
        <f t="shared" si="156"/>
        <v>1.5604274408691943E-2</v>
      </c>
      <c r="H738" s="248">
        <f t="shared" si="157"/>
        <v>9.4383593567932689E-3</v>
      </c>
      <c r="I738" s="249">
        <f t="shared" si="158"/>
        <v>0.62878914288892385</v>
      </c>
      <c r="J738" s="249">
        <f t="shared" si="159"/>
        <v>0.68477266546344251</v>
      </c>
      <c r="K738" s="249">
        <f t="shared" si="160"/>
        <v>4.0850654811966924E-2</v>
      </c>
      <c r="L738" s="250">
        <f t="shared" si="150"/>
        <v>162.87891428889259</v>
      </c>
      <c r="M738" s="250">
        <f t="shared" si="151"/>
        <v>168.47726654634459</v>
      </c>
      <c r="N738" s="250">
        <f t="shared" si="152"/>
        <v>104.08506548119666</v>
      </c>
      <c r="O738" s="248">
        <f t="shared" si="153"/>
        <v>-3.3229125639404167E-2</v>
      </c>
      <c r="P738" s="247">
        <f t="shared" si="154"/>
        <v>0.56486344641169484</v>
      </c>
      <c r="Q738" s="251">
        <f t="shared" si="161"/>
        <v>1.6287891428889238</v>
      </c>
      <c r="R738" s="251">
        <f t="shared" si="162"/>
        <v>1.7190611268702347</v>
      </c>
      <c r="S738" s="251">
        <f t="shared" si="163"/>
        <v>-5.2512375837188707E-2</v>
      </c>
      <c r="T738" s="252">
        <f>C738*'1. Share_Price_Analysis'!$E$11+T737*(1-'1. Share_Price_Analysis'!$E$11)</f>
        <v>276.78450654322432</v>
      </c>
      <c r="U738" s="253">
        <f t="shared" si="164"/>
        <v>292.76193572396153</v>
      </c>
    </row>
    <row r="739" spans="2:21" x14ac:dyDescent="0.2">
      <c r="B739" s="245">
        <v>45972</v>
      </c>
      <c r="C739" s="246">
        <v>295.10000000000002</v>
      </c>
      <c r="D739" s="246">
        <v>683</v>
      </c>
      <c r="E739" s="246">
        <v>43.765000000000001</v>
      </c>
      <c r="F739" s="248">
        <f t="shared" si="155"/>
        <v>7.7175249282885883E-3</v>
      </c>
      <c r="G739" s="248">
        <f t="shared" si="156"/>
        <v>2.2892697816387919E-3</v>
      </c>
      <c r="H739" s="248">
        <f t="shared" si="157"/>
        <v>1.0389010735311066E-2</v>
      </c>
      <c r="I739" s="249">
        <f t="shared" si="158"/>
        <v>0.6413593637020949</v>
      </c>
      <c r="J739" s="249">
        <f t="shared" si="159"/>
        <v>0.68862956461541902</v>
      </c>
      <c r="K739" s="249">
        <f t="shared" si="160"/>
        <v>5.1664063438664032E-2</v>
      </c>
      <c r="L739" s="250">
        <f t="shared" si="150"/>
        <v>164.13593637020972</v>
      </c>
      <c r="M739" s="250">
        <f t="shared" si="151"/>
        <v>168.86295646154227</v>
      </c>
      <c r="N739" s="250">
        <f t="shared" si="152"/>
        <v>105.16640634386638</v>
      </c>
      <c r="O739" s="248">
        <f t="shared" si="153"/>
        <v>-2.7993233035742637E-2</v>
      </c>
      <c r="P739" s="247">
        <f t="shared" si="154"/>
        <v>0.56072592072347027</v>
      </c>
      <c r="Q739" s="251">
        <f t="shared" si="161"/>
        <v>1.6413593637020949</v>
      </c>
      <c r="R739" s="251">
        <f t="shared" si="162"/>
        <v>1.7190611268702347</v>
      </c>
      <c r="S739" s="251">
        <f t="shared" si="163"/>
        <v>-4.5200116478467223E-2</v>
      </c>
      <c r="T739" s="252">
        <f>C739*'1. Share_Price_Analysis'!$E$11+T738*(1-'1. Share_Price_Analysis'!$E$11)</f>
        <v>276.96675025921212</v>
      </c>
      <c r="U739" s="253">
        <f t="shared" si="164"/>
        <v>292.85362451910026</v>
      </c>
    </row>
    <row r="740" spans="2:21" x14ac:dyDescent="0.2">
      <c r="B740" s="245">
        <v>45973</v>
      </c>
      <c r="C740" s="246">
        <v>295.08999999999997</v>
      </c>
      <c r="D740" s="246">
        <v>683.38</v>
      </c>
      <c r="E740" s="246">
        <v>44.075000000000003</v>
      </c>
      <c r="F740" s="248">
        <f t="shared" si="155"/>
        <v>-3.3886818027961674E-5</v>
      </c>
      <c r="G740" s="248">
        <f t="shared" si="156"/>
        <v>5.5636896046862283E-4</v>
      </c>
      <c r="H740" s="248">
        <f t="shared" si="157"/>
        <v>7.083285730606681E-3</v>
      </c>
      <c r="I740" s="249">
        <f t="shared" si="158"/>
        <v>0.64130374325601869</v>
      </c>
      <c r="J740" s="249">
        <f t="shared" si="159"/>
        <v>0.6895690656909006</v>
      </c>
      <c r="K740" s="249">
        <f t="shared" si="160"/>
        <v>5.9113300492610987E-2</v>
      </c>
      <c r="L740" s="250">
        <f t="shared" si="150"/>
        <v>164.13037432560208</v>
      </c>
      <c r="M740" s="250">
        <f t="shared" si="151"/>
        <v>168.95690656909039</v>
      </c>
      <c r="N740" s="250">
        <f t="shared" si="152"/>
        <v>105.91133004926108</v>
      </c>
      <c r="O740" s="248">
        <f t="shared" si="153"/>
        <v>-2.8566646617162794E-2</v>
      </c>
      <c r="P740" s="247">
        <f t="shared" si="154"/>
        <v>0.54969609246963613</v>
      </c>
      <c r="Q740" s="251">
        <f t="shared" si="161"/>
        <v>1.6413037432560187</v>
      </c>
      <c r="R740" s="251">
        <f t="shared" si="162"/>
        <v>1.7190611268702347</v>
      </c>
      <c r="S740" s="251">
        <f t="shared" si="163"/>
        <v>-4.5232471608373293E-2</v>
      </c>
      <c r="T740" s="252">
        <f>C740*'1. Share_Price_Analysis'!$E$11+T739*(1-'1. Share_Price_Analysis'!$E$11)</f>
        <v>277.14708110240406</v>
      </c>
      <c r="U740" s="253">
        <f t="shared" si="164"/>
        <v>292.94132551835122</v>
      </c>
    </row>
    <row r="741" spans="2:21" x14ac:dyDescent="0.2">
      <c r="B741" s="245">
        <v>45974</v>
      </c>
      <c r="C741" s="246">
        <v>284.08999999999997</v>
      </c>
      <c r="D741" s="246">
        <v>672.04</v>
      </c>
      <c r="E741" s="246">
        <v>43.784999999999997</v>
      </c>
      <c r="F741" s="248">
        <f t="shared" si="155"/>
        <v>-3.7276763021451109E-2</v>
      </c>
      <c r="G741" s="248">
        <f t="shared" si="156"/>
        <v>-1.6593988703210605E-2</v>
      </c>
      <c r="H741" s="248">
        <f t="shared" si="157"/>
        <v>-6.5796937039139802E-3</v>
      </c>
      <c r="I741" s="249">
        <f t="shared" si="158"/>
        <v>0.58012125257244351</v>
      </c>
      <c r="J741" s="249">
        <f t="shared" si="159"/>
        <v>0.66153237570153167</v>
      </c>
      <c r="K741" s="249">
        <f t="shared" si="160"/>
        <v>5.2144659377628244E-2</v>
      </c>
      <c r="L741" s="250">
        <f t="shared" si="150"/>
        <v>158.01212525724455</v>
      </c>
      <c r="M741" s="250">
        <f t="shared" si="151"/>
        <v>166.15323757015352</v>
      </c>
      <c r="N741" s="250">
        <f t="shared" si="152"/>
        <v>105.2144659377628</v>
      </c>
      <c r="O741" s="248">
        <f t="shared" si="153"/>
        <v>-4.8997614683683022E-2</v>
      </c>
      <c r="P741" s="247">
        <f t="shared" si="154"/>
        <v>0.50180988753687883</v>
      </c>
      <c r="Q741" s="251">
        <f t="shared" si="161"/>
        <v>1.5801212525724435</v>
      </c>
      <c r="R741" s="251">
        <f t="shared" si="162"/>
        <v>1.7190611268702347</v>
      </c>
      <c r="S741" s="251">
        <f t="shared" si="163"/>
        <v>-8.0823114504804505E-2</v>
      </c>
      <c r="T741" s="252">
        <f>C741*'1. Share_Price_Analysis'!$E$11+T740*(1-'1. Share_Price_Analysis'!$E$11)</f>
        <v>277.21616487252936</v>
      </c>
      <c r="U741" s="253">
        <f t="shared" si="164"/>
        <v>292.59421471371002</v>
      </c>
    </row>
    <row r="742" spans="2:21" x14ac:dyDescent="0.2">
      <c r="B742" s="245">
        <v>45975</v>
      </c>
      <c r="C742" s="246">
        <v>280.58</v>
      </c>
      <c r="D742" s="246">
        <v>671.93</v>
      </c>
      <c r="E742" s="246">
        <v>43.384999999999998</v>
      </c>
      <c r="F742" s="248">
        <f t="shared" si="155"/>
        <v>-1.2355239536766538E-2</v>
      </c>
      <c r="G742" s="248">
        <f t="shared" si="156"/>
        <v>-1.636807332896506E-4</v>
      </c>
      <c r="H742" s="248">
        <f t="shared" si="157"/>
        <v>-9.135548703893992E-3</v>
      </c>
      <c r="I742" s="249">
        <f t="shared" si="158"/>
        <v>0.5605984759997753</v>
      </c>
      <c r="J742" s="249">
        <f t="shared" si="159"/>
        <v>0.66126041486389231</v>
      </c>
      <c r="K742" s="249">
        <f t="shared" si="160"/>
        <v>4.2532740598342E-2</v>
      </c>
      <c r="L742" s="250">
        <f t="shared" si="150"/>
        <v>156.05984759997776</v>
      </c>
      <c r="M742" s="250">
        <f t="shared" si="151"/>
        <v>166.12604148638957</v>
      </c>
      <c r="N742" s="250">
        <f t="shared" si="152"/>
        <v>104.25327405983418</v>
      </c>
      <c r="O742" s="248">
        <f t="shared" si="153"/>
        <v>-6.0593714244593144E-2</v>
      </c>
      <c r="P742" s="247">
        <f t="shared" si="154"/>
        <v>0.4969299430386227</v>
      </c>
      <c r="Q742" s="251">
        <f t="shared" si="161"/>
        <v>1.5605984759997753</v>
      </c>
      <c r="R742" s="251">
        <f t="shared" si="162"/>
        <v>1.7190611268702347</v>
      </c>
      <c r="S742" s="251">
        <f t="shared" si="163"/>
        <v>-9.2179765101756739E-2</v>
      </c>
      <c r="T742" s="252">
        <f>C742*'1. Share_Price_Analysis'!$E$11+T741*(1-'1. Share_Price_Analysis'!$E$11)</f>
        <v>277.24963586882262</v>
      </c>
      <c r="U742" s="253">
        <f t="shared" si="164"/>
        <v>292.12306903866255</v>
      </c>
    </row>
    <row r="743" spans="2:21" x14ac:dyDescent="0.2">
      <c r="B743" s="245">
        <v>45978</v>
      </c>
      <c r="C743" s="246">
        <v>280.08</v>
      </c>
      <c r="D743" s="246">
        <v>665.67</v>
      </c>
      <c r="E743" s="246">
        <v>42.725000000000001</v>
      </c>
      <c r="F743" s="248">
        <f t="shared" si="155"/>
        <v>-1.7820229524556641E-3</v>
      </c>
      <c r="G743" s="248">
        <f t="shared" si="156"/>
        <v>-9.3164466536692636E-3</v>
      </c>
      <c r="H743" s="248">
        <f t="shared" si="157"/>
        <v>-1.5212631093695861E-2</v>
      </c>
      <c r="I743" s="249">
        <f t="shared" si="158"/>
        <v>0.55781745369597635</v>
      </c>
      <c r="J743" s="249">
        <f t="shared" si="159"/>
        <v>0.64578337083096038</v>
      </c>
      <c r="K743" s="249">
        <f t="shared" si="160"/>
        <v>2.6673074612519665E-2</v>
      </c>
      <c r="L743" s="250">
        <f t="shared" si="150"/>
        <v>155.78174536959784</v>
      </c>
      <c r="M743" s="250">
        <f t="shared" si="151"/>
        <v>164.57833708309636</v>
      </c>
      <c r="N743" s="250">
        <f t="shared" si="152"/>
        <v>102.66730746125194</v>
      </c>
      <c r="O743" s="248">
        <f t="shared" si="153"/>
        <v>-5.3449268411655981E-2</v>
      </c>
      <c r="P743" s="247">
        <f t="shared" si="154"/>
        <v>0.51734519217221875</v>
      </c>
      <c r="Q743" s="251">
        <f t="shared" si="161"/>
        <v>1.5578174536959764</v>
      </c>
      <c r="R743" s="251">
        <f t="shared" si="162"/>
        <v>1.7190611268702347</v>
      </c>
      <c r="S743" s="251">
        <f t="shared" si="163"/>
        <v>-9.3797521597049127E-2</v>
      </c>
      <c r="T743" s="252">
        <f>C743*'1. Share_Price_Analysis'!$E$11+T742*(1-'1. Share_Price_Analysis'!$E$11)</f>
        <v>277.27779869599857</v>
      </c>
      <c r="U743" s="253">
        <f t="shared" si="164"/>
        <v>291.65079182146013</v>
      </c>
    </row>
    <row r="744" spans="2:21" x14ac:dyDescent="0.2">
      <c r="B744" s="245">
        <v>45979</v>
      </c>
      <c r="C744" s="246">
        <v>281.87</v>
      </c>
      <c r="D744" s="246">
        <v>660.08</v>
      </c>
      <c r="E744" s="246">
        <v>42.76</v>
      </c>
      <c r="F744" s="248">
        <f t="shared" si="155"/>
        <v>6.3910311339618886E-3</v>
      </c>
      <c r="G744" s="248">
        <f t="shared" si="156"/>
        <v>-8.397554343743785E-3</v>
      </c>
      <c r="H744" s="248">
        <f t="shared" si="157"/>
        <v>8.1919251023987449E-4</v>
      </c>
      <c r="I744" s="249">
        <f t="shared" si="158"/>
        <v>0.56777351354357664</v>
      </c>
      <c r="J744" s="249">
        <f t="shared" si="159"/>
        <v>0.63196281553637745</v>
      </c>
      <c r="K744" s="249">
        <f t="shared" si="160"/>
        <v>2.7514117505707203E-2</v>
      </c>
      <c r="L744" s="250">
        <f t="shared" si="150"/>
        <v>156.77735135435788</v>
      </c>
      <c r="M744" s="250">
        <f t="shared" si="151"/>
        <v>163.1962815536381</v>
      </c>
      <c r="N744" s="250">
        <f t="shared" si="152"/>
        <v>102.7514117505707</v>
      </c>
      <c r="O744" s="248">
        <f t="shared" si="153"/>
        <v>-3.933257631957976E-2</v>
      </c>
      <c r="P744" s="247">
        <f t="shared" si="154"/>
        <v>0.52579267460514334</v>
      </c>
      <c r="Q744" s="251">
        <f t="shared" si="161"/>
        <v>1.5677735135435766</v>
      </c>
      <c r="R744" s="251">
        <f t="shared" si="162"/>
        <v>1.7190611268702347</v>
      </c>
      <c r="S744" s="251">
        <f t="shared" si="163"/>
        <v>-8.8005953343902377E-2</v>
      </c>
      <c r="T744" s="252">
        <f>C744*'1. Share_Price_Analysis'!$E$11+T743*(1-'1. Share_Price_Analysis'!$E$11)</f>
        <v>277.32349224131201</v>
      </c>
      <c r="U744" s="253">
        <f t="shared" si="164"/>
        <v>291.26723135787347</v>
      </c>
    </row>
    <row r="745" spans="2:21" x14ac:dyDescent="0.2">
      <c r="B745" s="245">
        <v>45980</v>
      </c>
      <c r="C745" s="246">
        <v>284.23</v>
      </c>
      <c r="D745" s="246">
        <v>662.63</v>
      </c>
      <c r="E745" s="246">
        <v>42.87</v>
      </c>
      <c r="F745" s="248">
        <f t="shared" si="155"/>
        <v>8.3726540603825672E-3</v>
      </c>
      <c r="G745" s="248">
        <f t="shared" si="156"/>
        <v>3.8631681008360896E-3</v>
      </c>
      <c r="H745" s="248">
        <f t="shared" si="157"/>
        <v>2.5724976613656914E-3</v>
      </c>
      <c r="I745" s="249">
        <f t="shared" si="158"/>
        <v>0.58089993881750757</v>
      </c>
      <c r="J745" s="249">
        <f t="shared" si="159"/>
        <v>0.63826736222710823</v>
      </c>
      <c r="K745" s="249">
        <f t="shared" si="160"/>
        <v>3.0157395170010926E-2</v>
      </c>
      <c r="L745" s="250">
        <f t="shared" si="150"/>
        <v>158.08999388175096</v>
      </c>
      <c r="M745" s="250">
        <f t="shared" si="151"/>
        <v>163.82673622271119</v>
      </c>
      <c r="N745" s="250">
        <f t="shared" si="152"/>
        <v>103.01573951700107</v>
      </c>
      <c r="O745" s="248">
        <f t="shared" si="153"/>
        <v>-3.501713135004636E-2</v>
      </c>
      <c r="P745" s="247">
        <f t="shared" si="154"/>
        <v>0.53461980298321832</v>
      </c>
      <c r="Q745" s="251">
        <f t="shared" si="161"/>
        <v>1.5808999388175076</v>
      </c>
      <c r="R745" s="251">
        <f t="shared" si="162"/>
        <v>1.7190611268702347</v>
      </c>
      <c r="S745" s="251">
        <f t="shared" si="163"/>
        <v>-8.0370142686122414E-2</v>
      </c>
      <c r="T745" s="252">
        <f>C745*'1. Share_Price_Analysis'!$E$11+T744*(1-'1. Share_Price_Analysis'!$E$11)</f>
        <v>277.3922137115477</v>
      </c>
      <c r="U745" s="253">
        <f t="shared" si="164"/>
        <v>290.99126150070197</v>
      </c>
    </row>
    <row r="746" spans="2:21" x14ac:dyDescent="0.2">
      <c r="B746" s="245">
        <v>45981</v>
      </c>
      <c r="C746" s="246">
        <v>285.97000000000003</v>
      </c>
      <c r="D746" s="246">
        <v>652.53</v>
      </c>
      <c r="E746" s="246">
        <v>42.23</v>
      </c>
      <c r="F746" s="248">
        <f t="shared" si="155"/>
        <v>6.1218027653660023E-3</v>
      </c>
      <c r="G746" s="248">
        <f t="shared" si="156"/>
        <v>-1.5242292078535558E-2</v>
      </c>
      <c r="H746" s="248">
        <f t="shared" si="157"/>
        <v>-1.4928854676930281E-2</v>
      </c>
      <c r="I746" s="249">
        <f t="shared" si="158"/>
        <v>0.59057789643472747</v>
      </c>
      <c r="J746" s="249">
        <f t="shared" si="159"/>
        <v>0.61329641258931056</v>
      </c>
      <c r="K746" s="249">
        <f t="shared" si="160"/>
        <v>1.4778325123152802E-2</v>
      </c>
      <c r="L746" s="250">
        <f t="shared" si="150"/>
        <v>159.05778964347297</v>
      </c>
      <c r="M746" s="250">
        <f t="shared" si="151"/>
        <v>161.32964125893145</v>
      </c>
      <c r="N746" s="250">
        <f t="shared" si="152"/>
        <v>101.47783251231526</v>
      </c>
      <c r="O746" s="248">
        <f t="shared" si="153"/>
        <v>-1.4082047153455401E-2</v>
      </c>
      <c r="P746" s="247">
        <f t="shared" si="154"/>
        <v>0.56741414066140594</v>
      </c>
      <c r="Q746" s="251">
        <f t="shared" si="161"/>
        <v>1.5905778964347275</v>
      </c>
      <c r="R746" s="251">
        <f t="shared" si="162"/>
        <v>1.7190611268702347</v>
      </c>
      <c r="S746" s="251">
        <f t="shared" si="163"/>
        <v>-7.4740350082505236E-2</v>
      </c>
      <c r="T746" s="252">
        <f>C746*'1. Share_Price_Analysis'!$E$11+T745*(1-'1. Share_Price_Analysis'!$E$11)</f>
        <v>277.47756481889553</v>
      </c>
      <c r="U746" s="253">
        <f t="shared" si="164"/>
        <v>290.79434928498813</v>
      </c>
    </row>
    <row r="747" spans="2:21" x14ac:dyDescent="0.2">
      <c r="B747" s="245">
        <v>45982</v>
      </c>
      <c r="C747" s="246">
        <v>287.83</v>
      </c>
      <c r="D747" s="246">
        <v>659.03</v>
      </c>
      <c r="E747" s="246">
        <v>43.174999999999997</v>
      </c>
      <c r="F747" s="248">
        <f t="shared" si="155"/>
        <v>6.5041787600097489E-3</v>
      </c>
      <c r="G747" s="248">
        <f t="shared" si="156"/>
        <v>9.9612278362679607E-3</v>
      </c>
      <c r="H747" s="248">
        <f t="shared" si="157"/>
        <v>2.2377456784276495E-2</v>
      </c>
      <c r="I747" s="249">
        <f t="shared" si="158"/>
        <v>0.60092329940485922</v>
      </c>
      <c r="J747" s="249">
        <f t="shared" si="159"/>
        <v>0.62936682572254643</v>
      </c>
      <c r="K747" s="249">
        <f t="shared" si="160"/>
        <v>3.748648323921655E-2</v>
      </c>
      <c r="L747" s="250">
        <f t="shared" si="150"/>
        <v>160.09232994048611</v>
      </c>
      <c r="M747" s="250">
        <f t="shared" si="151"/>
        <v>162.93668257225505</v>
      </c>
      <c r="N747" s="250">
        <f t="shared" si="152"/>
        <v>103.74864832392166</v>
      </c>
      <c r="O747" s="248">
        <f t="shared" si="153"/>
        <v>-1.7456797247037303E-2</v>
      </c>
      <c r="P747" s="247">
        <f t="shared" si="154"/>
        <v>0.5430787053788817</v>
      </c>
      <c r="Q747" s="251">
        <f t="shared" si="161"/>
        <v>1.6009232994048592</v>
      </c>
      <c r="R747" s="251">
        <f t="shared" si="162"/>
        <v>1.7190611268702347</v>
      </c>
      <c r="S747" s="251">
        <f t="shared" si="163"/>
        <v>-6.8722295920017773E-2</v>
      </c>
      <c r="T747" s="252">
        <f>C747*'1. Share_Price_Analysis'!$E$11+T746*(1-'1. Share_Price_Analysis'!$E$11)</f>
        <v>277.5805741241802</v>
      </c>
      <c r="U747" s="253">
        <f t="shared" si="164"/>
        <v>290.67810029342002</v>
      </c>
    </row>
    <row r="748" spans="2:21" x14ac:dyDescent="0.2">
      <c r="B748" s="245">
        <v>45985</v>
      </c>
      <c r="C748" s="246">
        <v>287.19</v>
      </c>
      <c r="D748" s="246">
        <v>668.73</v>
      </c>
      <c r="E748" s="246">
        <v>43.26</v>
      </c>
      <c r="F748" s="248">
        <f t="shared" si="155"/>
        <v>-2.2235347253586335E-3</v>
      </c>
      <c r="G748" s="248">
        <f t="shared" si="156"/>
        <v>1.4718601581111601E-2</v>
      </c>
      <c r="H748" s="248">
        <f t="shared" si="157"/>
        <v>1.9687319050376573E-3</v>
      </c>
      <c r="I748" s="249">
        <f t="shared" si="158"/>
        <v>0.59736359085599688</v>
      </c>
      <c r="J748" s="249">
        <f t="shared" si="159"/>
        <v>0.65334882685983708</v>
      </c>
      <c r="K748" s="249">
        <f t="shared" si="160"/>
        <v>3.9529015979814952E-2</v>
      </c>
      <c r="L748" s="250">
        <f t="shared" si="150"/>
        <v>159.73635908559987</v>
      </c>
      <c r="M748" s="250">
        <f t="shared" si="151"/>
        <v>165.33488268598413</v>
      </c>
      <c r="N748" s="250">
        <f t="shared" si="152"/>
        <v>103.95290159798149</v>
      </c>
      <c r="O748" s="248">
        <f t="shared" si="153"/>
        <v>-3.3861720584500876E-2</v>
      </c>
      <c r="P748" s="247">
        <f t="shared" si="154"/>
        <v>0.53662241871179628</v>
      </c>
      <c r="Q748" s="251">
        <f t="shared" si="161"/>
        <v>1.5973635908559969</v>
      </c>
      <c r="R748" s="251">
        <f t="shared" si="162"/>
        <v>1.7190611268702347</v>
      </c>
      <c r="S748" s="251">
        <f t="shared" si="163"/>
        <v>-7.0793024233991808E-2</v>
      </c>
      <c r="T748" s="252">
        <f>C748*'1. Share_Price_Analysis'!$E$11+T747*(1-'1. Share_Price_Analysis'!$E$11)</f>
        <v>277.67619030204906</v>
      </c>
      <c r="U748" s="253">
        <f t="shared" si="164"/>
        <v>290.54131204661923</v>
      </c>
    </row>
    <row r="749" spans="2:21" x14ac:dyDescent="0.2">
      <c r="B749" s="245">
        <v>45986</v>
      </c>
      <c r="C749" s="246">
        <v>292.72000000000003</v>
      </c>
      <c r="D749" s="246">
        <v>675.02</v>
      </c>
      <c r="E749" s="246">
        <v>43.905000000000001</v>
      </c>
      <c r="F749" s="248">
        <f t="shared" si="155"/>
        <v>1.9255545109509553E-2</v>
      </c>
      <c r="G749" s="248">
        <f t="shared" si="156"/>
        <v>9.4058887742436426E-3</v>
      </c>
      <c r="H749" s="248">
        <f t="shared" si="157"/>
        <v>1.4909847434119383E-2</v>
      </c>
      <c r="I749" s="249">
        <f t="shared" si="158"/>
        <v>0.62812169753601266</v>
      </c>
      <c r="J749" s="249">
        <f t="shared" si="159"/>
        <v>0.66890004203030684</v>
      </c>
      <c r="K749" s="249">
        <f t="shared" si="160"/>
        <v>5.5028235011414184E-2</v>
      </c>
      <c r="L749" s="250">
        <f t="shared" si="150"/>
        <v>162.81216975360144</v>
      </c>
      <c r="M749" s="250">
        <f t="shared" si="151"/>
        <v>166.89000420303111</v>
      </c>
      <c r="N749" s="250">
        <f t="shared" si="152"/>
        <v>105.50282350114142</v>
      </c>
      <c r="O749" s="248">
        <f t="shared" si="153"/>
        <v>-2.4434264166405706E-2</v>
      </c>
      <c r="P749" s="247">
        <f t="shared" si="154"/>
        <v>0.54320201441660787</v>
      </c>
      <c r="Q749" s="251">
        <f t="shared" si="161"/>
        <v>1.6281216975360127</v>
      </c>
      <c r="R749" s="251">
        <f t="shared" si="162"/>
        <v>1.7190611268702347</v>
      </c>
      <c r="S749" s="251">
        <f t="shared" si="163"/>
        <v>-5.2900637396058547E-2</v>
      </c>
      <c r="T749" s="252">
        <f>C749*'1. Share_Price_Analysis'!$E$11+T748*(1-'1. Share_Price_Analysis'!$E$11)</f>
        <v>277.82587995078489</v>
      </c>
      <c r="U749" s="253">
        <f t="shared" si="164"/>
        <v>290.62675078988906</v>
      </c>
    </row>
    <row r="750" spans="2:21" x14ac:dyDescent="0.2">
      <c r="B750" s="245">
        <v>45987</v>
      </c>
      <c r="C750" s="246">
        <v>295.08</v>
      </c>
      <c r="D750" s="246">
        <v>679.68</v>
      </c>
      <c r="E750" s="246">
        <v>44.445</v>
      </c>
      <c r="F750" s="248">
        <f t="shared" si="155"/>
        <v>8.0623121071330406E-3</v>
      </c>
      <c r="G750" s="248">
        <f t="shared" si="156"/>
        <v>6.9034991555805281E-3</v>
      </c>
      <c r="H750" s="248">
        <f t="shared" si="157"/>
        <v>1.2299282541851753E-2</v>
      </c>
      <c r="I750" s="249">
        <f t="shared" si="158"/>
        <v>0.64124812280994314</v>
      </c>
      <c r="J750" s="249">
        <f t="shared" si="159"/>
        <v>0.68042129206121138</v>
      </c>
      <c r="K750" s="249">
        <f t="shared" si="160"/>
        <v>6.8004325363450802E-2</v>
      </c>
      <c r="L750" s="250">
        <f t="shared" si="150"/>
        <v>164.12481228099449</v>
      </c>
      <c r="M750" s="250">
        <f t="shared" si="151"/>
        <v>168.04212920612156</v>
      </c>
      <c r="N750" s="250">
        <f t="shared" si="152"/>
        <v>106.80043253634506</v>
      </c>
      <c r="O750" s="248">
        <f t="shared" si="153"/>
        <v>-2.3311516841838076E-2</v>
      </c>
      <c r="P750" s="247">
        <f t="shared" si="154"/>
        <v>0.53674295490461876</v>
      </c>
      <c r="Q750" s="251">
        <f t="shared" si="161"/>
        <v>1.6412481228099431</v>
      </c>
      <c r="R750" s="251">
        <f t="shared" si="162"/>
        <v>1.7190611268702347</v>
      </c>
      <c r="S750" s="251">
        <f t="shared" si="163"/>
        <v>-4.5264826738278807E-2</v>
      </c>
      <c r="T750" s="252">
        <f>C750*'1. Share_Price_Analysis'!$E$11+T749*(1-'1. Share_Price_Analysis'!$E$11)</f>
        <v>277.99756273734425</v>
      </c>
      <c r="U750" s="253">
        <f t="shared" si="164"/>
        <v>290.80138801381497</v>
      </c>
    </row>
    <row r="751" spans="2:21" x14ac:dyDescent="0.2">
      <c r="B751" s="245">
        <v>45989</v>
      </c>
      <c r="C751" s="246">
        <v>297.24</v>
      </c>
      <c r="D751" s="246">
        <v>683.39</v>
      </c>
      <c r="E751" s="246">
        <v>44.7</v>
      </c>
      <c r="F751" s="248">
        <f t="shared" si="155"/>
        <v>7.3200488003253295E-3</v>
      </c>
      <c r="G751" s="248">
        <f t="shared" si="156"/>
        <v>5.4584510357815752E-3</v>
      </c>
      <c r="H751" s="248">
        <f t="shared" si="157"/>
        <v>5.7374282821465172E-3</v>
      </c>
      <c r="I751" s="249">
        <f t="shared" si="158"/>
        <v>0.65326213916235432</v>
      </c>
      <c r="J751" s="249">
        <f t="shared" si="159"/>
        <v>0.68959378940341232</v>
      </c>
      <c r="K751" s="249">
        <f t="shared" si="160"/>
        <v>7.4131923585245785E-2</v>
      </c>
      <c r="L751" s="250">
        <f t="shared" si="150"/>
        <v>165.32621391623564</v>
      </c>
      <c r="M751" s="250">
        <f t="shared" si="151"/>
        <v>168.95937894034168</v>
      </c>
      <c r="N751" s="250">
        <f t="shared" si="152"/>
        <v>107.41319235852458</v>
      </c>
      <c r="O751" s="248">
        <f t="shared" si="153"/>
        <v>-2.15031864279559E-2</v>
      </c>
      <c r="P751" s="247">
        <f t="shared" si="154"/>
        <v>0.53916116154902394</v>
      </c>
      <c r="Q751" s="251">
        <f t="shared" si="161"/>
        <v>1.6532621391623543</v>
      </c>
      <c r="R751" s="251">
        <f t="shared" si="162"/>
        <v>1.7190611268702347</v>
      </c>
      <c r="S751" s="251">
        <f t="shared" si="163"/>
        <v>-3.8276118678615911E-2</v>
      </c>
      <c r="T751" s="252">
        <f>C751*'1. Share_Price_Analysis'!$E$11+T750*(1-'1. Share_Price_Analysis'!$E$11)</f>
        <v>278.18902977478365</v>
      </c>
      <c r="U751" s="253">
        <f t="shared" si="164"/>
        <v>291.05388260150846</v>
      </c>
    </row>
    <row r="752" spans="2:21" x14ac:dyDescent="0.2">
      <c r="B752" s="245">
        <v>45992</v>
      </c>
      <c r="C752" s="246">
        <v>291.85000000000002</v>
      </c>
      <c r="D752" s="246">
        <v>680.27</v>
      </c>
      <c r="E752" s="246">
        <v>44.59</v>
      </c>
      <c r="F752" s="248">
        <f t="shared" si="155"/>
        <v>-1.8133494819001394E-2</v>
      </c>
      <c r="G752" s="248">
        <f t="shared" si="156"/>
        <v>-4.5654750581659576E-3</v>
      </c>
      <c r="H752" s="248">
        <f t="shared" si="157"/>
        <v>-2.460850111856816E-3</v>
      </c>
      <c r="I752" s="249">
        <f t="shared" si="158"/>
        <v>0.6232827187274026</v>
      </c>
      <c r="J752" s="249">
        <f t="shared" si="159"/>
        <v>0.68187999109945885</v>
      </c>
      <c r="K752" s="249">
        <f t="shared" si="160"/>
        <v>7.1488645920942062E-2</v>
      </c>
      <c r="L752" s="250">
        <f t="shared" si="150"/>
        <v>162.32827187274043</v>
      </c>
      <c r="M752" s="250">
        <f t="shared" si="151"/>
        <v>168.18799910994633</v>
      </c>
      <c r="N752" s="250">
        <f t="shared" si="152"/>
        <v>107.14886459209421</v>
      </c>
      <c r="O752" s="248">
        <f t="shared" si="153"/>
        <v>-3.4840340976855733E-2</v>
      </c>
      <c r="P752" s="247">
        <f t="shared" si="154"/>
        <v>0.5149789266616025</v>
      </c>
      <c r="Q752" s="251">
        <f t="shared" si="161"/>
        <v>1.6232827187274026</v>
      </c>
      <c r="R752" s="251">
        <f t="shared" si="162"/>
        <v>1.7190611268702347</v>
      </c>
      <c r="S752" s="251">
        <f t="shared" si="163"/>
        <v>-5.5715533697867192E-2</v>
      </c>
      <c r="T752" s="252">
        <f>C752*'1. Share_Price_Analysis'!$E$11+T751*(1-'1. Share_Price_Analysis'!$E$11)</f>
        <v>278.32495982677585</v>
      </c>
      <c r="U752" s="253">
        <f t="shared" si="164"/>
        <v>291.08510289164536</v>
      </c>
    </row>
    <row r="753" spans="2:21" x14ac:dyDescent="0.2">
      <c r="B753" s="245">
        <v>45993</v>
      </c>
      <c r="C753" s="246">
        <v>289.83999999999997</v>
      </c>
      <c r="D753" s="246">
        <v>681.53</v>
      </c>
      <c r="E753" s="246">
        <v>44.185000000000002</v>
      </c>
      <c r="F753" s="248">
        <f t="shared" si="155"/>
        <v>-6.8870995374338273E-3</v>
      </c>
      <c r="G753" s="248">
        <f t="shared" si="156"/>
        <v>1.8522057418377535E-3</v>
      </c>
      <c r="H753" s="248">
        <f t="shared" si="157"/>
        <v>-9.0827539807132318E-3</v>
      </c>
      <c r="I753" s="249">
        <f t="shared" si="158"/>
        <v>0.6121030090661308</v>
      </c>
      <c r="J753" s="249">
        <f t="shared" si="159"/>
        <v>0.68499517887605532</v>
      </c>
      <c r="K753" s="249">
        <f t="shared" si="160"/>
        <v>6.1756578156914488E-2</v>
      </c>
      <c r="L753" s="250">
        <f t="shared" si="150"/>
        <v>161.21030090661327</v>
      </c>
      <c r="M753" s="250">
        <f t="shared" si="151"/>
        <v>168.49951788760598</v>
      </c>
      <c r="N753" s="250">
        <f t="shared" si="152"/>
        <v>106.17565781569145</v>
      </c>
      <c r="O753" s="248">
        <f t="shared" si="153"/>
        <v>-4.3259571732748747E-2</v>
      </c>
      <c r="P753" s="247">
        <f t="shared" si="154"/>
        <v>0.51833578640459521</v>
      </c>
      <c r="Q753" s="251">
        <f t="shared" si="161"/>
        <v>1.6121030090661308</v>
      </c>
      <c r="R753" s="251">
        <f t="shared" si="162"/>
        <v>1.7190611268702347</v>
      </c>
      <c r="S753" s="251">
        <f t="shared" si="163"/>
        <v>-6.2218914808942594E-2</v>
      </c>
      <c r="T753" s="252">
        <f>C753*'1. Share_Price_Analysis'!$E$11+T752*(1-'1. Share_Price_Analysis'!$E$11)</f>
        <v>278.43953734093731</v>
      </c>
      <c r="U753" s="253">
        <f t="shared" si="164"/>
        <v>291.03627532726711</v>
      </c>
    </row>
    <row r="754" spans="2:21" x14ac:dyDescent="0.2">
      <c r="B754" s="245">
        <v>45994</v>
      </c>
      <c r="C754" s="246">
        <v>292.58999999999997</v>
      </c>
      <c r="D754" s="246">
        <v>683.89</v>
      </c>
      <c r="E754" s="246">
        <v>44.494999999999997</v>
      </c>
      <c r="F754" s="248">
        <f t="shared" si="155"/>
        <v>9.4879933756555346E-3</v>
      </c>
      <c r="G754" s="248">
        <f t="shared" si="156"/>
        <v>3.4627969421743288E-3</v>
      </c>
      <c r="H754" s="248">
        <f t="shared" si="157"/>
        <v>7.0159556410545054E-3</v>
      </c>
      <c r="I754" s="249">
        <f t="shared" si="158"/>
        <v>0.62739863173702459</v>
      </c>
      <c r="J754" s="249">
        <f t="shared" si="159"/>
        <v>0.69082997502904586</v>
      </c>
      <c r="K754" s="249">
        <f t="shared" si="160"/>
        <v>6.9205815210861221E-2</v>
      </c>
      <c r="L754" s="250">
        <f t="shared" si="150"/>
        <v>162.73986317370264</v>
      </c>
      <c r="M754" s="250">
        <f t="shared" si="151"/>
        <v>169.08299750290502</v>
      </c>
      <c r="N754" s="250">
        <f t="shared" si="152"/>
        <v>106.92058152108615</v>
      </c>
      <c r="O754" s="248">
        <f t="shared" si="153"/>
        <v>-3.7514915295331019E-2</v>
      </c>
      <c r="P754" s="247">
        <f t="shared" si="154"/>
        <v>0.52206301965920421</v>
      </c>
      <c r="Q754" s="251">
        <f t="shared" si="161"/>
        <v>1.6273986317370246</v>
      </c>
      <c r="R754" s="251">
        <f t="shared" si="162"/>
        <v>1.7190611268702347</v>
      </c>
      <c r="S754" s="251">
        <f t="shared" si="163"/>
        <v>-5.332125408483479E-2</v>
      </c>
      <c r="T754" s="252">
        <f>C754*'1. Share_Price_Analysis'!$E$11+T753*(1-'1. Share_Price_Analysis'!$E$11)</f>
        <v>278.5803379644106</v>
      </c>
      <c r="U754" s="253">
        <f t="shared" si="164"/>
        <v>291.09720570658999</v>
      </c>
    </row>
    <row r="755" spans="2:21" x14ac:dyDescent="0.2">
      <c r="B755" s="245">
        <v>45995</v>
      </c>
      <c r="C755" s="246">
        <v>293.64999999999998</v>
      </c>
      <c r="D755" s="246">
        <v>684.39</v>
      </c>
      <c r="E755" s="246">
        <v>44.234999999999999</v>
      </c>
      <c r="F755" s="248">
        <f t="shared" si="155"/>
        <v>3.6228169110359421E-3</v>
      </c>
      <c r="G755" s="248">
        <f t="shared" si="156"/>
        <v>7.3111172849427142E-4</v>
      </c>
      <c r="H755" s="248">
        <f t="shared" si="157"/>
        <v>-5.8433531857511323E-3</v>
      </c>
      <c r="I755" s="249">
        <f t="shared" si="158"/>
        <v>0.6332943990210782</v>
      </c>
      <c r="J755" s="249">
        <f t="shared" si="159"/>
        <v>0.69206616065467919</v>
      </c>
      <c r="K755" s="249">
        <f t="shared" si="160"/>
        <v>6.295806800432513E-2</v>
      </c>
      <c r="L755" s="250">
        <f t="shared" si="150"/>
        <v>163.32943990210802</v>
      </c>
      <c r="M755" s="250">
        <f t="shared" si="151"/>
        <v>169.20661606546838</v>
      </c>
      <c r="N755" s="250">
        <f t="shared" si="152"/>
        <v>106.29580680043253</v>
      </c>
      <c r="O755" s="248">
        <f t="shared" si="153"/>
        <v>-3.4733725548214744E-2</v>
      </c>
      <c r="P755" s="247">
        <f t="shared" si="154"/>
        <v>0.53655581361506011</v>
      </c>
      <c r="Q755" s="251">
        <f t="shared" si="161"/>
        <v>1.6332943990210782</v>
      </c>
      <c r="R755" s="251">
        <f t="shared" si="162"/>
        <v>1.7190611268702347</v>
      </c>
      <c r="S755" s="251">
        <f t="shared" si="163"/>
        <v>-4.9891610314815038E-2</v>
      </c>
      <c r="T755" s="252">
        <f>C755*'1. Share_Price_Analysis'!$E$11+T754*(1-'1. Share_Price_Analysis'!$E$11)</f>
        <v>278.73028485033689</v>
      </c>
      <c r="U755" s="253">
        <f t="shared" si="164"/>
        <v>291.19731528672372</v>
      </c>
    </row>
    <row r="756" spans="2:21" x14ac:dyDescent="0.2">
      <c r="B756" s="245">
        <v>45996</v>
      </c>
      <c r="C756" s="246">
        <v>294.87</v>
      </c>
      <c r="D756" s="246">
        <v>685.69</v>
      </c>
      <c r="E756" s="246">
        <v>44.09</v>
      </c>
      <c r="F756" s="248">
        <f t="shared" si="155"/>
        <v>4.1546058232591054E-3</v>
      </c>
      <c r="G756" s="248">
        <f t="shared" si="156"/>
        <v>1.8995017460805563E-3</v>
      </c>
      <c r="H756" s="248">
        <f t="shared" si="157"/>
        <v>-3.2779473267773307E-3</v>
      </c>
      <c r="I756" s="249">
        <f t="shared" si="158"/>
        <v>0.64008009344234762</v>
      </c>
      <c r="J756" s="249">
        <f t="shared" si="159"/>
        <v>0.69528024328132654</v>
      </c>
      <c r="K756" s="249">
        <f t="shared" si="160"/>
        <v>5.9473747446833869E-2</v>
      </c>
      <c r="L756" s="250">
        <f t="shared" si="150"/>
        <v>164.00800934423495</v>
      </c>
      <c r="M756" s="250">
        <f t="shared" si="151"/>
        <v>169.52802432813311</v>
      </c>
      <c r="N756" s="250">
        <f t="shared" si="152"/>
        <v>105.94737474468342</v>
      </c>
      <c r="O756" s="248">
        <f t="shared" si="153"/>
        <v>-3.2561076587629745E-2</v>
      </c>
      <c r="P756" s="247">
        <f t="shared" si="154"/>
        <v>0.54801390538905226</v>
      </c>
      <c r="Q756" s="251">
        <f t="shared" si="161"/>
        <v>1.6400800934423476</v>
      </c>
      <c r="R756" s="251">
        <f t="shared" si="162"/>
        <v>1.7190611268702347</v>
      </c>
      <c r="S756" s="251">
        <f t="shared" si="163"/>
        <v>-4.594428446630161E-2</v>
      </c>
      <c r="T756" s="252">
        <f>C756*'1. Share_Price_Analysis'!$E$11+T755*(1-'1. Share_Price_Analysis'!$E$11)</f>
        <v>278.89087903093053</v>
      </c>
      <c r="U756" s="253">
        <f t="shared" si="164"/>
        <v>291.34134213822477</v>
      </c>
    </row>
    <row r="757" spans="2:21" x14ac:dyDescent="0.2">
      <c r="B757" s="245">
        <v>45999</v>
      </c>
      <c r="C757" s="246">
        <v>295.77999999999997</v>
      </c>
      <c r="D757" s="246">
        <v>683.63</v>
      </c>
      <c r="E757" s="246">
        <v>43.48</v>
      </c>
      <c r="F757" s="248">
        <f t="shared" si="155"/>
        <v>3.0861057415130233E-3</v>
      </c>
      <c r="G757" s="248">
        <f t="shared" si="156"/>
        <v>-3.0042730680045482E-3</v>
      </c>
      <c r="H757" s="248">
        <f t="shared" si="157"/>
        <v>-1.3835336811068411E-2</v>
      </c>
      <c r="I757" s="249">
        <f t="shared" si="158"/>
        <v>0.64514155403526119</v>
      </c>
      <c r="J757" s="249">
        <f t="shared" si="159"/>
        <v>0.69018715850371626</v>
      </c>
      <c r="K757" s="249">
        <f t="shared" si="160"/>
        <v>4.4815571308422175E-2</v>
      </c>
      <c r="L757" s="250">
        <f t="shared" si="150"/>
        <v>164.51415540352633</v>
      </c>
      <c r="M757" s="250">
        <f t="shared" si="151"/>
        <v>169.01871585037208</v>
      </c>
      <c r="N757" s="250">
        <f t="shared" si="152"/>
        <v>104.48155713084223</v>
      </c>
      <c r="O757" s="248">
        <f t="shared" si="153"/>
        <v>-2.6651252343162346E-2</v>
      </c>
      <c r="P757" s="247">
        <f t="shared" si="154"/>
        <v>0.57457602969589261</v>
      </c>
      <c r="Q757" s="251">
        <f t="shared" si="161"/>
        <v>1.6451415540352612</v>
      </c>
      <c r="R757" s="251">
        <f t="shared" si="162"/>
        <v>1.7190611268702347</v>
      </c>
      <c r="S757" s="251">
        <f t="shared" si="163"/>
        <v>-4.2999967644869797E-2</v>
      </c>
      <c r="T757" s="252">
        <f>C757*'1. Share_Price_Analysis'!$E$11+T756*(1-'1. Share_Price_Analysis'!$E$11)</f>
        <v>279.05892998584665</v>
      </c>
      <c r="U757" s="253">
        <f t="shared" si="164"/>
        <v>291.51540715241208</v>
      </c>
    </row>
    <row r="758" spans="2:21" x14ac:dyDescent="0.2">
      <c r="B758" s="245">
        <v>46000</v>
      </c>
      <c r="C758" s="246">
        <v>291.04000000000002</v>
      </c>
      <c r="D758" s="246">
        <v>683.04</v>
      </c>
      <c r="E758" s="246">
        <v>43.39</v>
      </c>
      <c r="F758" s="248">
        <f t="shared" si="155"/>
        <v>-1.6025424301845836E-2</v>
      </c>
      <c r="G758" s="248">
        <f t="shared" si="156"/>
        <v>-8.630399485102247E-4</v>
      </c>
      <c r="H758" s="248">
        <f t="shared" si="157"/>
        <v>-2.069917203311733E-3</v>
      </c>
      <c r="I758" s="249">
        <f t="shared" si="158"/>
        <v>0.61877746259524802</v>
      </c>
      <c r="J758" s="249">
        <f t="shared" si="159"/>
        <v>0.68872845946546857</v>
      </c>
      <c r="K758" s="249">
        <f t="shared" si="160"/>
        <v>4.2652889583082887E-2</v>
      </c>
      <c r="L758" s="250">
        <f t="shared" si="150"/>
        <v>161.87774625952503</v>
      </c>
      <c r="M758" s="250">
        <f t="shared" si="151"/>
        <v>168.87284594654733</v>
      </c>
      <c r="N758" s="250">
        <f t="shared" si="152"/>
        <v>104.26528895830829</v>
      </c>
      <c r="O758" s="248">
        <f t="shared" si="153"/>
        <v>-4.1422288158963094E-2</v>
      </c>
      <c r="P758" s="247">
        <f t="shared" si="154"/>
        <v>0.55255644401708359</v>
      </c>
      <c r="Q758" s="251">
        <f t="shared" si="161"/>
        <v>1.618777462595248</v>
      </c>
      <c r="R758" s="251">
        <f t="shared" si="162"/>
        <v>1.7190611268702347</v>
      </c>
      <c r="S758" s="251">
        <f t="shared" si="163"/>
        <v>-5.8336299220240972E-2</v>
      </c>
      <c r="T758" s="252">
        <f>C758*'1. Share_Price_Analysis'!$E$11+T757*(1-'1. Share_Price_Analysis'!$E$11)</f>
        <v>279.17814461285315</v>
      </c>
      <c r="U758" s="253">
        <f t="shared" si="164"/>
        <v>291.49676373467048</v>
      </c>
    </row>
    <row r="759" spans="2:21" x14ac:dyDescent="0.2">
      <c r="B759" s="245">
        <v>46001</v>
      </c>
      <c r="C759" s="246">
        <v>296.77</v>
      </c>
      <c r="D759" s="246">
        <v>687.57</v>
      </c>
      <c r="E759" s="246">
        <v>44.24</v>
      </c>
      <c r="F759" s="248">
        <f t="shared" si="155"/>
        <v>1.9688015393072966E-2</v>
      </c>
      <c r="G759" s="248">
        <f t="shared" si="156"/>
        <v>6.6321152494730473E-3</v>
      </c>
      <c r="H759" s="248">
        <f t="shared" si="157"/>
        <v>1.9589767227471855E-2</v>
      </c>
      <c r="I759" s="249">
        <f t="shared" si="158"/>
        <v>0.65064797819678288</v>
      </c>
      <c r="J759" s="249">
        <f t="shared" si="159"/>
        <v>0.69992830123370853</v>
      </c>
      <c r="K759" s="249">
        <f t="shared" si="160"/>
        <v>6.307821698906646E-2</v>
      </c>
      <c r="L759" s="250">
        <f t="shared" si="150"/>
        <v>165.06479781967852</v>
      </c>
      <c r="M759" s="250">
        <f t="shared" si="151"/>
        <v>169.99283012337131</v>
      </c>
      <c r="N759" s="250">
        <f t="shared" si="152"/>
        <v>106.30782169890665</v>
      </c>
      <c r="O759" s="248">
        <f t="shared" si="153"/>
        <v>-2.8989647975835697E-2</v>
      </c>
      <c r="P759" s="247">
        <f t="shared" si="154"/>
        <v>0.55270604911073962</v>
      </c>
      <c r="Q759" s="251">
        <f t="shared" si="161"/>
        <v>1.6506479781967829</v>
      </c>
      <c r="R759" s="251">
        <f t="shared" si="162"/>
        <v>1.7190611268702347</v>
      </c>
      <c r="S759" s="251">
        <f t="shared" si="163"/>
        <v>-3.9796809784191089E-2</v>
      </c>
      <c r="T759" s="252">
        <f>C759*'1. Share_Price_Analysis'!$E$11+T758*(1-'1. Share_Price_Analysis'!$E$11)</f>
        <v>279.35318795003872</v>
      </c>
      <c r="U759" s="253">
        <f t="shared" si="164"/>
        <v>291.70355731370302</v>
      </c>
    </row>
    <row r="760" spans="2:21" x14ac:dyDescent="0.2">
      <c r="B760" s="245">
        <v>46002</v>
      </c>
      <c r="C760" s="246">
        <v>299.27</v>
      </c>
      <c r="D760" s="246">
        <v>689.17</v>
      </c>
      <c r="E760" s="246">
        <v>45.12</v>
      </c>
      <c r="F760" s="248">
        <f t="shared" si="155"/>
        <v>8.4240320787141165E-3</v>
      </c>
      <c r="G760" s="248">
        <f t="shared" si="156"/>
        <v>2.3270357927192009E-3</v>
      </c>
      <c r="H760" s="248">
        <f t="shared" si="157"/>
        <v>1.9891500904158921E-2</v>
      </c>
      <c r="I760" s="249">
        <f t="shared" si="158"/>
        <v>0.6645530897157772</v>
      </c>
      <c r="J760" s="249">
        <f t="shared" si="159"/>
        <v>0.7038840952357357</v>
      </c>
      <c r="K760" s="249">
        <f t="shared" si="160"/>
        <v>8.4224438303496019E-2</v>
      </c>
      <c r="L760" s="250">
        <f t="shared" si="150"/>
        <v>166.45530897157795</v>
      </c>
      <c r="M760" s="250">
        <f t="shared" si="151"/>
        <v>170.38840952357404</v>
      </c>
      <c r="N760" s="250">
        <f t="shared" si="152"/>
        <v>108.42244383034962</v>
      </c>
      <c r="O760" s="248">
        <f t="shared" si="153"/>
        <v>-2.3083146107140018E-2</v>
      </c>
      <c r="P760" s="247">
        <f t="shared" si="154"/>
        <v>0.53524771339809596</v>
      </c>
      <c r="Q760" s="251">
        <f t="shared" si="161"/>
        <v>1.6645530897157772</v>
      </c>
      <c r="R760" s="251">
        <f t="shared" si="162"/>
        <v>1.7190611268702347</v>
      </c>
      <c r="S760" s="251">
        <f t="shared" si="163"/>
        <v>-3.170802730772937E-2</v>
      </c>
      <c r="T760" s="252">
        <f>C760*'1. Share_Price_Analysis'!$E$11+T759*(1-'1. Share_Price_Analysis'!$E$11)</f>
        <v>279.55136518436672</v>
      </c>
      <c r="U760" s="253">
        <f t="shared" si="164"/>
        <v>292.00028055630293</v>
      </c>
    </row>
    <row r="761" spans="2:21" x14ac:dyDescent="0.2">
      <c r="B761" s="245">
        <v>46003</v>
      </c>
      <c r="C761" s="246">
        <v>295.94</v>
      </c>
      <c r="D761" s="246">
        <v>681.76</v>
      </c>
      <c r="E761" s="246">
        <v>45.15</v>
      </c>
      <c r="F761" s="248">
        <f t="shared" si="155"/>
        <v>-1.112707588465256E-2</v>
      </c>
      <c r="G761" s="248">
        <f t="shared" si="156"/>
        <v>-1.0752064077078183E-2</v>
      </c>
      <c r="H761" s="248">
        <f t="shared" si="157"/>
        <v>6.6489361702126715E-4</v>
      </c>
      <c r="I761" s="249">
        <f t="shared" si="158"/>
        <v>0.64603148117247677</v>
      </c>
      <c r="J761" s="249">
        <f t="shared" si="159"/>
        <v>0.68556382426384666</v>
      </c>
      <c r="K761" s="249">
        <f t="shared" si="160"/>
        <v>8.4945332211942448E-2</v>
      </c>
      <c r="L761" s="250">
        <f t="shared" si="150"/>
        <v>164.60314811724791</v>
      </c>
      <c r="M761" s="250">
        <f t="shared" si="151"/>
        <v>168.55638242638514</v>
      </c>
      <c r="N761" s="250">
        <f t="shared" si="152"/>
        <v>108.49453322119427</v>
      </c>
      <c r="O761" s="248">
        <f t="shared" si="153"/>
        <v>-2.3453483352156801E-2</v>
      </c>
      <c r="P761" s="247">
        <f t="shared" si="154"/>
        <v>0.51715614815044608</v>
      </c>
      <c r="Q761" s="251">
        <f t="shared" si="161"/>
        <v>1.6460314811724768</v>
      </c>
      <c r="R761" s="251">
        <f t="shared" si="162"/>
        <v>1.7190611268702347</v>
      </c>
      <c r="S761" s="251">
        <f t="shared" si="163"/>
        <v>-4.2482285566376343E-2</v>
      </c>
      <c r="T761" s="252">
        <f>C761*'1. Share_Price_Analysis'!$E$11+T760*(1-'1. Share_Price_Analysis'!$E$11)</f>
        <v>279.7144361775571</v>
      </c>
      <c r="U761" s="253">
        <f t="shared" si="164"/>
        <v>292.15477935801658</v>
      </c>
    </row>
    <row r="762" spans="2:21" x14ac:dyDescent="0.2">
      <c r="B762" s="245">
        <v>46006</v>
      </c>
      <c r="C762" s="246">
        <v>296.68</v>
      </c>
      <c r="D762" s="246">
        <v>680.73</v>
      </c>
      <c r="E762" s="246">
        <v>45.12</v>
      </c>
      <c r="F762" s="248">
        <f t="shared" si="155"/>
        <v>2.5005068594985413E-3</v>
      </c>
      <c r="G762" s="248">
        <f t="shared" si="156"/>
        <v>-1.5107955878901347E-3</v>
      </c>
      <c r="H762" s="248">
        <f t="shared" si="157"/>
        <v>-6.6445182724250706E-4</v>
      </c>
      <c r="I762" s="249">
        <f t="shared" si="158"/>
        <v>0.65014739418209899</v>
      </c>
      <c r="J762" s="249">
        <f t="shared" si="159"/>
        <v>0.68301728187504152</v>
      </c>
      <c r="K762" s="249">
        <f t="shared" si="160"/>
        <v>8.4224438303496019E-2</v>
      </c>
      <c r="L762" s="250">
        <f t="shared" si="150"/>
        <v>165.01473941821016</v>
      </c>
      <c r="M762" s="250">
        <f t="shared" si="151"/>
        <v>168.30172818750461</v>
      </c>
      <c r="N762" s="250">
        <f t="shared" si="152"/>
        <v>108.42244383034962</v>
      </c>
      <c r="O762" s="248">
        <f t="shared" si="153"/>
        <v>-1.9530332841456222E-2</v>
      </c>
      <c r="P762" s="247">
        <f t="shared" si="154"/>
        <v>0.52196107732464703</v>
      </c>
      <c r="Q762" s="251">
        <f t="shared" si="161"/>
        <v>1.650147394182099</v>
      </c>
      <c r="R762" s="251">
        <f t="shared" si="162"/>
        <v>1.7190611268702347</v>
      </c>
      <c r="S762" s="251">
        <f t="shared" si="163"/>
        <v>-4.0088005953343719E-2</v>
      </c>
      <c r="T762" s="252">
        <f>C762*'1. Share_Price_Analysis'!$E$11+T761*(1-'1. Share_Price_Analysis'!$E$11)</f>
        <v>279.88324775787993</v>
      </c>
      <c r="U762" s="253">
        <f t="shared" si="164"/>
        <v>292.33223899103552</v>
      </c>
    </row>
    <row r="763" spans="2:21" x14ac:dyDescent="0.2">
      <c r="B763" s="245">
        <v>46007</v>
      </c>
      <c r="C763" s="246">
        <v>292.01</v>
      </c>
      <c r="D763" s="246">
        <v>678.87</v>
      </c>
      <c r="E763" s="246">
        <v>45</v>
      </c>
      <c r="F763" s="248">
        <f t="shared" si="155"/>
        <v>-1.5740865579075169E-2</v>
      </c>
      <c r="G763" s="248">
        <f t="shared" si="156"/>
        <v>-2.7323608479132844E-3</v>
      </c>
      <c r="H763" s="248">
        <f t="shared" si="157"/>
        <v>-2.6595744680850686E-3</v>
      </c>
      <c r="I763" s="249">
        <f t="shared" si="158"/>
        <v>0.62417264586461751</v>
      </c>
      <c r="J763" s="249">
        <f t="shared" si="159"/>
        <v>0.67841867134768474</v>
      </c>
      <c r="K763" s="249">
        <f t="shared" si="160"/>
        <v>8.1340862669710079E-2</v>
      </c>
      <c r="L763" s="250">
        <f t="shared" si="150"/>
        <v>162.41726458646198</v>
      </c>
      <c r="M763" s="250">
        <f t="shared" si="151"/>
        <v>167.84186713476893</v>
      </c>
      <c r="N763" s="250">
        <f t="shared" si="152"/>
        <v>108.13408626697102</v>
      </c>
      <c r="O763" s="248">
        <f t="shared" si="153"/>
        <v>-3.2319722372672666E-2</v>
      </c>
      <c r="P763" s="247">
        <f t="shared" si="154"/>
        <v>0.50199877017013517</v>
      </c>
      <c r="Q763" s="251">
        <f t="shared" si="161"/>
        <v>1.6241726458646175</v>
      </c>
      <c r="R763" s="251">
        <f t="shared" si="162"/>
        <v>1.7190611268702347</v>
      </c>
      <c r="S763" s="251">
        <f t="shared" si="163"/>
        <v>-5.5197851619374072E-2</v>
      </c>
      <c r="T763" s="252">
        <f>C763*'1. Share_Price_Analysis'!$E$11+T762*(1-'1. Share_Price_Analysis'!$E$11)</f>
        <v>280.0039119592941</v>
      </c>
      <c r="U763" s="253">
        <f t="shared" si="164"/>
        <v>292.31960216785768</v>
      </c>
    </row>
    <row r="764" spans="2:21" x14ac:dyDescent="0.2">
      <c r="B764" s="245">
        <v>46008</v>
      </c>
      <c r="C764" s="246">
        <v>285.41000000000003</v>
      </c>
      <c r="D764" s="246">
        <v>671.4</v>
      </c>
      <c r="E764" s="246">
        <v>45.19</v>
      </c>
      <c r="F764" s="248">
        <f t="shared" si="155"/>
        <v>-2.2601965686106507E-2</v>
      </c>
      <c r="G764" s="248">
        <f t="shared" si="156"/>
        <v>-1.1003579477661396E-2</v>
      </c>
      <c r="H764" s="248">
        <f t="shared" si="157"/>
        <v>4.2222222222221273E-3</v>
      </c>
      <c r="I764" s="249">
        <f t="shared" si="158"/>
        <v>0.58746315145447259</v>
      </c>
      <c r="J764" s="249">
        <f t="shared" si="159"/>
        <v>0.65995005810071961</v>
      </c>
      <c r="K764" s="249">
        <f t="shared" si="160"/>
        <v>8.5906524089870873E-2</v>
      </c>
      <c r="L764" s="250">
        <f t="shared" si="150"/>
        <v>158.74631514544748</v>
      </c>
      <c r="M764" s="250">
        <f t="shared" si="151"/>
        <v>165.99500581007243</v>
      </c>
      <c r="N764" s="250">
        <f t="shared" si="152"/>
        <v>108.59065240898713</v>
      </c>
      <c r="O764" s="248">
        <f t="shared" si="153"/>
        <v>-4.3668125009245773E-2</v>
      </c>
      <c r="P764" s="247">
        <f t="shared" si="154"/>
        <v>0.46187827058592412</v>
      </c>
      <c r="Q764" s="251">
        <f t="shared" si="161"/>
        <v>1.5874631514544726</v>
      </c>
      <c r="R764" s="251">
        <f t="shared" si="162"/>
        <v>1.7190611268702347</v>
      </c>
      <c r="S764" s="251">
        <f t="shared" si="163"/>
        <v>-7.6552237357232711E-2</v>
      </c>
      <c r="T764" s="252">
        <f>C764*'1. Share_Price_Analysis'!$E$11+T763*(1-'1. Share_Price_Analysis'!$E$11)</f>
        <v>280.05770388009711</v>
      </c>
      <c r="U764" s="253">
        <f t="shared" si="164"/>
        <v>292.04863737696132</v>
      </c>
    </row>
    <row r="765" spans="2:21" x14ac:dyDescent="0.2">
      <c r="B765" s="245">
        <v>46009</v>
      </c>
      <c r="C765" s="246">
        <v>288.33999999999997</v>
      </c>
      <c r="D765" s="246">
        <v>676.47</v>
      </c>
      <c r="E765" s="246">
        <v>45.17</v>
      </c>
      <c r="F765" s="248">
        <f t="shared" si="155"/>
        <v>1.0265933218877921E-2</v>
      </c>
      <c r="G765" s="248">
        <f t="shared" si="156"/>
        <v>7.5513851653261632E-3</v>
      </c>
      <c r="H765" s="248">
        <f t="shared" si="157"/>
        <v>-4.4257579110418277E-4</v>
      </c>
      <c r="I765" s="249">
        <f t="shared" si="158"/>
        <v>0.60375994215473372</v>
      </c>
      <c r="J765" s="249">
        <f t="shared" si="159"/>
        <v>0.67248498034464377</v>
      </c>
      <c r="K765" s="249">
        <f t="shared" si="160"/>
        <v>8.542592815090666E-2</v>
      </c>
      <c r="L765" s="250">
        <f t="shared" si="150"/>
        <v>160.37599421547358</v>
      </c>
      <c r="M765" s="250">
        <f t="shared" si="151"/>
        <v>167.24849803446483</v>
      </c>
      <c r="N765" s="250">
        <f t="shared" si="152"/>
        <v>108.54259281509071</v>
      </c>
      <c r="O765" s="248">
        <f t="shared" si="153"/>
        <v>-4.1091572718188529E-2</v>
      </c>
      <c r="P765" s="247">
        <f t="shared" si="154"/>
        <v>0.47753973860458876</v>
      </c>
      <c r="Q765" s="251">
        <f t="shared" si="161"/>
        <v>1.6037599421547337</v>
      </c>
      <c r="R765" s="251">
        <f t="shared" si="162"/>
        <v>1.7190611268702347</v>
      </c>
      <c r="S765" s="251">
        <f t="shared" si="163"/>
        <v>-6.7072184294819759E-2</v>
      </c>
      <c r="T765" s="252">
        <f>C765*'1. Share_Price_Analysis'!$E$11+T764*(1-'1. Share_Price_Analysis'!$E$11)</f>
        <v>280.14011478676287</v>
      </c>
      <c r="U765" s="253">
        <f t="shared" si="164"/>
        <v>291.90320061708047</v>
      </c>
    </row>
    <row r="766" spans="2:21" x14ac:dyDescent="0.2">
      <c r="B766" s="245">
        <v>46010</v>
      </c>
      <c r="C766" s="246">
        <v>291.87</v>
      </c>
      <c r="D766" s="246">
        <v>680.59</v>
      </c>
      <c r="E766" s="246">
        <v>45.37</v>
      </c>
      <c r="F766" s="248">
        <f t="shared" si="155"/>
        <v>1.2242491503086761E-2</v>
      </c>
      <c r="G766" s="248">
        <f t="shared" si="156"/>
        <v>6.0904400786434554E-3</v>
      </c>
      <c r="H766" s="248">
        <f t="shared" si="157"/>
        <v>4.4277175116227419E-3</v>
      </c>
      <c r="I766" s="249">
        <f t="shared" si="158"/>
        <v>0.62339395961955391</v>
      </c>
      <c r="J766" s="249">
        <f t="shared" si="159"/>
        <v>0.6826711498998641</v>
      </c>
      <c r="K766" s="249">
        <f t="shared" si="160"/>
        <v>9.0231887540549893E-2</v>
      </c>
      <c r="L766" s="250">
        <f t="shared" si="150"/>
        <v>162.33939596195563</v>
      </c>
      <c r="M766" s="250">
        <f t="shared" si="151"/>
        <v>168.26711498998691</v>
      </c>
      <c r="N766" s="250">
        <f t="shared" si="152"/>
        <v>109.02318875405501</v>
      </c>
      <c r="O766" s="248">
        <f t="shared" si="153"/>
        <v>-3.5228030315868741E-2</v>
      </c>
      <c r="P766" s="247">
        <f t="shared" si="154"/>
        <v>0.48903547783927181</v>
      </c>
      <c r="Q766" s="251">
        <f t="shared" si="161"/>
        <v>1.6233939596195539</v>
      </c>
      <c r="R766" s="251">
        <f t="shared" si="162"/>
        <v>1.7190611268702347</v>
      </c>
      <c r="S766" s="251">
        <f t="shared" si="163"/>
        <v>-5.565082343805583E-2</v>
      </c>
      <c r="T766" s="252">
        <f>C766*'1. Share_Price_Analysis'!$E$11+T765*(1-'1. Share_Price_Analysis'!$E$11)</f>
        <v>280.25683006251649</v>
      </c>
      <c r="U766" s="253">
        <f t="shared" si="164"/>
        <v>291.9018986320969</v>
      </c>
    </row>
    <row r="767" spans="2:21" x14ac:dyDescent="0.2">
      <c r="B767" s="245">
        <v>46013</v>
      </c>
      <c r="C767" s="246">
        <v>291.88</v>
      </c>
      <c r="D767" s="246">
        <v>684.83</v>
      </c>
      <c r="E767" s="246">
        <v>45.67</v>
      </c>
      <c r="F767" s="248">
        <f t="shared" si="155"/>
        <v>3.4261828896431368E-5</v>
      </c>
      <c r="G767" s="248">
        <f t="shared" si="156"/>
        <v>6.2298887729763663E-3</v>
      </c>
      <c r="H767" s="248">
        <f t="shared" si="157"/>
        <v>6.612298875909195E-3</v>
      </c>
      <c r="I767" s="249">
        <f t="shared" si="158"/>
        <v>0.62344958006562989</v>
      </c>
      <c r="J767" s="249">
        <f t="shared" si="159"/>
        <v>0.69315400400523641</v>
      </c>
      <c r="K767" s="249">
        <f t="shared" si="160"/>
        <v>9.7440826625014632E-2</v>
      </c>
      <c r="L767" s="250">
        <f t="shared" si="150"/>
        <v>162.34495800656322</v>
      </c>
      <c r="M767" s="250">
        <f t="shared" si="151"/>
        <v>169.31540040052414</v>
      </c>
      <c r="N767" s="250">
        <f t="shared" si="152"/>
        <v>109.74408266250151</v>
      </c>
      <c r="O767" s="248">
        <f t="shared" si="153"/>
        <v>-4.1168389747605616E-2</v>
      </c>
      <c r="P767" s="247">
        <f t="shared" si="154"/>
        <v>0.47930488886426992</v>
      </c>
      <c r="Q767" s="251">
        <f t="shared" si="161"/>
        <v>1.6234495800656299</v>
      </c>
      <c r="R767" s="251">
        <f t="shared" si="162"/>
        <v>1.7190611268702347</v>
      </c>
      <c r="S767" s="251">
        <f t="shared" si="163"/>
        <v>-5.5618468308149982E-2</v>
      </c>
      <c r="T767" s="252">
        <f>C767*'1. Share_Price_Analysis'!$E$11+T766*(1-'1. Share_Price_Analysis'!$E$11)</f>
        <v>280.37248349473026</v>
      </c>
      <c r="U767" s="253">
        <f t="shared" si="164"/>
        <v>291.90103986221072</v>
      </c>
    </row>
    <row r="768" spans="2:21" x14ac:dyDescent="0.2">
      <c r="B768" s="245">
        <v>46014</v>
      </c>
      <c r="C768" s="246">
        <v>292.83999999999997</v>
      </c>
      <c r="D768" s="246">
        <v>687.96</v>
      </c>
      <c r="E768" s="246">
        <v>45.75</v>
      </c>
      <c r="F768" s="248">
        <f t="shared" si="155"/>
        <v>3.289022886117543E-3</v>
      </c>
      <c r="G768" s="248">
        <f t="shared" si="156"/>
        <v>4.570477344742585E-3</v>
      </c>
      <c r="H768" s="248">
        <f t="shared" si="157"/>
        <v>1.7516969564264073E-3</v>
      </c>
      <c r="I768" s="249">
        <f t="shared" si="158"/>
        <v>0.62878914288892362</v>
      </c>
      <c r="J768" s="249">
        <f t="shared" si="159"/>
        <v>0.70089252602170249</v>
      </c>
      <c r="K768" s="249">
        <f t="shared" si="160"/>
        <v>9.9363210380871703E-2</v>
      </c>
      <c r="L768" s="250">
        <f t="shared" ref="L768:L815" si="165">(C768/$C$64)*100</f>
        <v>162.87891428889259</v>
      </c>
      <c r="M768" s="250">
        <f t="shared" ref="M768:M815" si="166">(D768/$D$64)*100</f>
        <v>170.08925260217075</v>
      </c>
      <c r="N768" s="250">
        <f t="shared" ref="N768:N815" si="167">(E768/$E$64)*100</f>
        <v>109.93632103808721</v>
      </c>
      <c r="O768" s="248">
        <f t="shared" ref="O768:O815" si="168">(1+I768)/(1+J768)-1</f>
        <v>-4.2391498598341681E-2</v>
      </c>
      <c r="P768" s="247">
        <f t="shared" ref="P768:P815" si="169">(1+I768)/(1+K768)-1</f>
        <v>0.48157508593054854</v>
      </c>
      <c r="Q768" s="251">
        <f t="shared" si="161"/>
        <v>1.6287891428889236</v>
      </c>
      <c r="R768" s="251">
        <f t="shared" si="162"/>
        <v>1.7190611268702347</v>
      </c>
      <c r="S768" s="251">
        <f t="shared" si="163"/>
        <v>-5.2512375837188818E-2</v>
      </c>
      <c r="T768" s="252">
        <f>C768*'1. Share_Price_Analysis'!$E$11+T767*(1-'1. Share_Price_Analysis'!$E$11)</f>
        <v>280.49653838532998</v>
      </c>
      <c r="U768" s="253">
        <f t="shared" si="164"/>
        <v>291.93786182839858</v>
      </c>
    </row>
    <row r="769" spans="2:21" x14ac:dyDescent="0.2">
      <c r="B769" s="245">
        <v>46015</v>
      </c>
      <c r="C769" s="246">
        <v>293.64</v>
      </c>
      <c r="D769" s="246">
        <v>690.38</v>
      </c>
      <c r="E769" s="246">
        <v>45.84</v>
      </c>
      <c r="F769" s="248">
        <f t="shared" ref="F769:F815" si="170">C769/C768-1</f>
        <v>2.7318672312526271E-3</v>
      </c>
      <c r="G769" s="248">
        <f t="shared" ref="G769:G815" si="171">D769/D768 - 1</f>
        <v>3.5176463747892406E-3</v>
      </c>
      <c r="H769" s="248">
        <f t="shared" ref="H769:H815" si="172">E769/E768 - 1</f>
        <v>1.9672131147541183E-3</v>
      </c>
      <c r="I769" s="249">
        <f t="shared" ref="I769:I815" si="173">(1+F769)*(1+I768)-1</f>
        <v>0.63323877857500199</v>
      </c>
      <c r="J769" s="249">
        <f t="shared" ref="J769:J815" si="174">(1+G769)*(1+J768)-1</f>
        <v>0.7068756644497689</v>
      </c>
      <c r="K769" s="249">
        <f t="shared" ref="K769:K815" si="175">(1+H769)*(1+K768)-1</f>
        <v>0.10152589210621121</v>
      </c>
      <c r="L769" s="250">
        <f t="shared" si="165"/>
        <v>163.32387785750043</v>
      </c>
      <c r="M769" s="250">
        <f t="shared" si="166"/>
        <v>170.68756644497736</v>
      </c>
      <c r="N769" s="250">
        <f t="shared" si="167"/>
        <v>110.15258921062116</v>
      </c>
      <c r="O769" s="248">
        <f t="shared" si="168"/>
        <v>-4.3141329745599588E-2</v>
      </c>
      <c r="P769" s="247">
        <f t="shared" si="169"/>
        <v>0.48270575415355021</v>
      </c>
      <c r="Q769" s="251">
        <f t="shared" ref="Q769:Q815" si="176">Q768*(1+F769)</f>
        <v>1.633238778575002</v>
      </c>
      <c r="R769" s="251">
        <f t="shared" ref="R769:R815" si="177">MAX(Q769,R768)</f>
        <v>1.7190611268702347</v>
      </c>
      <c r="S769" s="251">
        <f t="shared" ref="S769:S815" si="178">Q769/R769-1</f>
        <v>-4.9923965444720997E-2</v>
      </c>
      <c r="T769" s="252">
        <f>C769*'1. Share_Price_Analysis'!$E$11+T768*(1-'1. Share_Price_Analysis'!$E$11)</f>
        <v>280.62731909791376</v>
      </c>
      <c r="U769" s="253">
        <f t="shared" ref="U769:U814" si="179">C769*$L$5+U768*(1-$L$5)</f>
        <v>292.00461234493196</v>
      </c>
    </row>
    <row r="770" spans="2:21" x14ac:dyDescent="0.2">
      <c r="B770" s="245">
        <v>46017</v>
      </c>
      <c r="C770" s="246">
        <v>294.2</v>
      </c>
      <c r="D770" s="246">
        <v>690.31</v>
      </c>
      <c r="E770" s="246">
        <v>46.11</v>
      </c>
      <c r="F770" s="248">
        <f t="shared" si="170"/>
        <v>1.9070971257322267E-3</v>
      </c>
      <c r="G770" s="248">
        <f t="shared" si="171"/>
        <v>-1.0139343549930846E-4</v>
      </c>
      <c r="H770" s="248">
        <f t="shared" si="172"/>
        <v>5.8900523560208029E-3</v>
      </c>
      <c r="I770" s="249">
        <f t="shared" si="173"/>
        <v>0.63635352355525687</v>
      </c>
      <c r="J770" s="249">
        <f t="shared" si="174"/>
        <v>0.7067025984621802</v>
      </c>
      <c r="K770" s="249">
        <f t="shared" si="175"/>
        <v>0.1080139372822293</v>
      </c>
      <c r="L770" s="250">
        <f t="shared" si="165"/>
        <v>163.6353523555259</v>
      </c>
      <c r="M770" s="250">
        <f t="shared" si="166"/>
        <v>170.6702598462185</v>
      </c>
      <c r="N770" s="250">
        <f t="shared" si="167"/>
        <v>110.80139372822299</v>
      </c>
      <c r="O770" s="248">
        <f t="shared" si="168"/>
        <v>-4.1219293256078204E-2</v>
      </c>
      <c r="P770" s="247">
        <f t="shared" si="169"/>
        <v>0.47683478383760702</v>
      </c>
      <c r="Q770" s="251">
        <f t="shared" si="176"/>
        <v>1.6363535235552569</v>
      </c>
      <c r="R770" s="251">
        <f t="shared" si="177"/>
        <v>1.7190611268702347</v>
      </c>
      <c r="S770" s="251">
        <f t="shared" si="178"/>
        <v>-4.8112078169993522E-2</v>
      </c>
      <c r="T770" s="252">
        <f>C770*'1. Share_Price_Analysis'!$E$11+T769*(1-'1. Share_Price_Analysis'!$E$11)</f>
        <v>280.76237064917831</v>
      </c>
      <c r="U770" s="253">
        <f t="shared" si="179"/>
        <v>292.09070597846409</v>
      </c>
    </row>
    <row r="771" spans="2:21" x14ac:dyDescent="0.2">
      <c r="B771" s="245">
        <v>46020</v>
      </c>
      <c r="C771" s="246">
        <v>292.02</v>
      </c>
      <c r="D771" s="246">
        <v>687.85</v>
      </c>
      <c r="E771" s="246">
        <v>45.74</v>
      </c>
      <c r="F771" s="248">
        <f t="shared" si="170"/>
        <v>-7.4099252209381961E-3</v>
      </c>
      <c r="G771" s="248">
        <f t="shared" si="171"/>
        <v>-3.5636163462791082E-3</v>
      </c>
      <c r="H771" s="248">
        <f t="shared" si="172"/>
        <v>-8.0242897419214865E-3</v>
      </c>
      <c r="I771" s="249">
        <f t="shared" si="173"/>
        <v>0.62422826631069372</v>
      </c>
      <c r="J771" s="249">
        <f t="shared" si="174"/>
        <v>0.70062056518406335</v>
      </c>
      <c r="K771" s="249">
        <f t="shared" si="175"/>
        <v>9.9122912411389485E-2</v>
      </c>
      <c r="L771" s="250">
        <f t="shared" si="165"/>
        <v>162.42282663106957</v>
      </c>
      <c r="M771" s="250">
        <f t="shared" si="166"/>
        <v>170.06205651840679</v>
      </c>
      <c r="N771" s="250">
        <f t="shared" si="167"/>
        <v>109.91229124113902</v>
      </c>
      <c r="O771" s="248">
        <f t="shared" si="168"/>
        <v>-4.492024878289147E-2</v>
      </c>
      <c r="P771" s="247">
        <f t="shared" si="169"/>
        <v>0.47774943818363713</v>
      </c>
      <c r="Q771" s="251">
        <f t="shared" si="176"/>
        <v>1.6242282663106937</v>
      </c>
      <c r="R771" s="251">
        <f t="shared" si="177"/>
        <v>1.7190611268702347</v>
      </c>
      <c r="S771" s="251">
        <f t="shared" si="178"/>
        <v>-5.5165496489468113E-2</v>
      </c>
      <c r="T771" s="252">
        <f>C771*'1. Share_Price_Analysis'!$E$11+T770*(1-'1. Share_Price_Analysis'!$E$11)</f>
        <v>280.87438686162432</v>
      </c>
      <c r="U771" s="253">
        <f t="shared" si="179"/>
        <v>292.08793319499489</v>
      </c>
    </row>
    <row r="772" spans="2:21" x14ac:dyDescent="0.2">
      <c r="B772" s="245">
        <v>46021</v>
      </c>
      <c r="C772" s="246">
        <v>288.88</v>
      </c>
      <c r="D772" s="246">
        <v>687.01</v>
      </c>
      <c r="E772" s="246">
        <v>45.73</v>
      </c>
      <c r="F772" s="248">
        <f t="shared" si="170"/>
        <v>-1.0752688172043001E-2</v>
      </c>
      <c r="G772" s="248">
        <f t="shared" si="171"/>
        <v>-1.221196481791087E-3</v>
      </c>
      <c r="H772" s="248">
        <f t="shared" si="172"/>
        <v>-2.1862702230002196E-4</v>
      </c>
      <c r="I772" s="249">
        <f t="shared" si="173"/>
        <v>0.60676344624283685</v>
      </c>
      <c r="J772" s="249">
        <f t="shared" si="174"/>
        <v>0.69854377333299911</v>
      </c>
      <c r="K772" s="249">
        <f t="shared" si="175"/>
        <v>9.8882614441907268E-2</v>
      </c>
      <c r="L772" s="250">
        <f t="shared" si="165"/>
        <v>160.67634462428387</v>
      </c>
      <c r="M772" s="250">
        <f t="shared" si="166"/>
        <v>169.85437733330036</v>
      </c>
      <c r="N772" s="250">
        <f t="shared" si="167"/>
        <v>109.88826144419079</v>
      </c>
      <c r="O772" s="248">
        <f t="shared" si="168"/>
        <v>-5.4034714048060484E-2</v>
      </c>
      <c r="P772" s="247">
        <f t="shared" si="169"/>
        <v>0.46217933119168375</v>
      </c>
      <c r="Q772" s="251">
        <f t="shared" si="176"/>
        <v>1.6067634462428368</v>
      </c>
      <c r="R772" s="251">
        <f t="shared" si="177"/>
        <v>1.7190611268702347</v>
      </c>
      <c r="S772" s="251">
        <f t="shared" si="178"/>
        <v>-6.5325007279903868E-2</v>
      </c>
      <c r="T772" s="252">
        <f>C772*'1. Share_Price_Analysis'!$E$11+T771*(1-'1. Share_Price_Analysis'!$E$11)</f>
        <v>280.95404470379725</v>
      </c>
      <c r="U772" s="253">
        <f t="shared" si="179"/>
        <v>291.96213189323038</v>
      </c>
    </row>
    <row r="773" spans="2:21" x14ac:dyDescent="0.2">
      <c r="B773" s="245">
        <v>46022</v>
      </c>
      <c r="C773" s="246">
        <v>285.22000000000003</v>
      </c>
      <c r="D773" s="246">
        <v>681.92</v>
      </c>
      <c r="E773" s="246">
        <v>45.35</v>
      </c>
      <c r="F773" s="248">
        <f t="shared" si="170"/>
        <v>-1.2669620603710796E-2</v>
      </c>
      <c r="G773" s="248">
        <f t="shared" si="171"/>
        <v>-7.4089169007729438E-3</v>
      </c>
      <c r="H773" s="248">
        <f t="shared" si="172"/>
        <v>-8.3096435600261698E-3</v>
      </c>
      <c r="I773" s="249">
        <f t="shared" si="173"/>
        <v>0.58640636297902926</v>
      </c>
      <c r="J773" s="249">
        <f t="shared" si="174"/>
        <v>0.68595940366404951</v>
      </c>
      <c r="K773" s="249">
        <f t="shared" si="175"/>
        <v>8.9751291601585459E-2</v>
      </c>
      <c r="L773" s="250">
        <f t="shared" si="165"/>
        <v>158.64063629790311</v>
      </c>
      <c r="M773" s="250">
        <f t="shared" si="166"/>
        <v>168.59594036640539</v>
      </c>
      <c r="N773" s="250">
        <f t="shared" si="167"/>
        <v>108.97512916015859</v>
      </c>
      <c r="O773" s="248">
        <f t="shared" si="168"/>
        <v>-5.9048302390119489E-2</v>
      </c>
      <c r="P773" s="247">
        <f t="shared" si="169"/>
        <v>0.45575084444040437</v>
      </c>
      <c r="Q773" s="251">
        <f t="shared" si="176"/>
        <v>1.5864063629790293</v>
      </c>
      <c r="R773" s="251">
        <f t="shared" si="177"/>
        <v>1.7190611268702347</v>
      </c>
      <c r="S773" s="251">
        <f t="shared" si="178"/>
        <v>-7.7166984825443596E-2</v>
      </c>
      <c r="T773" s="252">
        <f>C773*'1. Share_Price_Analysis'!$E$11+T772*(1-'1. Share_Price_Analysis'!$E$11)</f>
        <v>280.99649202017741</v>
      </c>
      <c r="U773" s="253">
        <f t="shared" si="179"/>
        <v>291.6977345640841</v>
      </c>
    </row>
    <row r="774" spans="2:21" x14ac:dyDescent="0.2">
      <c r="B774" s="245">
        <v>46024</v>
      </c>
      <c r="C774" s="246">
        <v>292.64999999999998</v>
      </c>
      <c r="D774" s="246">
        <v>683.17</v>
      </c>
      <c r="E774" s="246">
        <v>46.12</v>
      </c>
      <c r="F774" s="248">
        <f t="shared" si="170"/>
        <v>2.6050066615244116E-2</v>
      </c>
      <c r="G774" s="248">
        <f t="shared" si="171"/>
        <v>1.8330595964335394E-3</v>
      </c>
      <c r="H774" s="248">
        <f t="shared" si="172"/>
        <v>1.6979051819184132E-2</v>
      </c>
      <c r="I774" s="249">
        <f t="shared" si="173"/>
        <v>0.62773235441348008</v>
      </c>
      <c r="J774" s="249">
        <f t="shared" si="174"/>
        <v>0.68904986772813337</v>
      </c>
      <c r="K774" s="249">
        <f t="shared" si="175"/>
        <v>0.10825423525171152</v>
      </c>
      <c r="L774" s="250">
        <f t="shared" si="165"/>
        <v>162.77323544134822</v>
      </c>
      <c r="M774" s="250">
        <f t="shared" si="166"/>
        <v>168.90498677281377</v>
      </c>
      <c r="N774" s="250">
        <f t="shared" si="167"/>
        <v>110.8254235251712</v>
      </c>
      <c r="O774" s="248">
        <f t="shared" si="168"/>
        <v>-3.6302962089052371E-2</v>
      </c>
      <c r="P774" s="247">
        <f t="shared" si="169"/>
        <v>0.4687355145038381</v>
      </c>
      <c r="Q774" s="251">
        <f t="shared" si="176"/>
        <v>1.6277323544134801</v>
      </c>
      <c r="R774" s="251">
        <f t="shared" si="177"/>
        <v>1.7190611268702347</v>
      </c>
      <c r="S774" s="251">
        <f t="shared" si="178"/>
        <v>-5.3127123305399926E-2</v>
      </c>
      <c r="T774" s="252">
        <f>C774*'1. Share_Price_Analysis'!$E$11+T773*(1-'1. Share_Price_Analysis'!$E$11)</f>
        <v>281.11244732345926</v>
      </c>
      <c r="U774" s="253">
        <f t="shared" si="179"/>
        <v>291.7350783066691</v>
      </c>
    </row>
    <row r="775" spans="2:21" x14ac:dyDescent="0.2">
      <c r="B775" s="245">
        <v>46027</v>
      </c>
      <c r="C775" s="246">
        <v>296.67</v>
      </c>
      <c r="D775" s="246">
        <v>687.72</v>
      </c>
      <c r="E775" s="246">
        <v>46.58</v>
      </c>
      <c r="F775" s="248">
        <f t="shared" si="170"/>
        <v>1.3736545361353381E-2</v>
      </c>
      <c r="G775" s="248">
        <f t="shared" si="171"/>
        <v>6.6601285185239334E-3</v>
      </c>
      <c r="H775" s="248">
        <f t="shared" si="172"/>
        <v>9.9739809193408746E-3</v>
      </c>
      <c r="I775" s="249">
        <f t="shared" si="173"/>
        <v>0.65009177373602345</v>
      </c>
      <c r="J775" s="249">
        <f t="shared" si="174"/>
        <v>0.70029915692139855</v>
      </c>
      <c r="K775" s="249">
        <f t="shared" si="175"/>
        <v>0.11930794184789084</v>
      </c>
      <c r="L775" s="250">
        <f t="shared" si="165"/>
        <v>165.00917737360254</v>
      </c>
      <c r="M775" s="250">
        <f t="shared" si="166"/>
        <v>170.02991569214032</v>
      </c>
      <c r="N775" s="250">
        <f t="shared" si="167"/>
        <v>111.93079418478914</v>
      </c>
      <c r="O775" s="248">
        <f t="shared" si="168"/>
        <v>-2.9528558536888183E-2</v>
      </c>
      <c r="P775" s="247">
        <f t="shared" si="169"/>
        <v>0.4742071525123368</v>
      </c>
      <c r="Q775" s="251">
        <f t="shared" si="176"/>
        <v>1.6500917737360234</v>
      </c>
      <c r="R775" s="251">
        <f t="shared" si="177"/>
        <v>1.7190611268702347</v>
      </c>
      <c r="S775" s="251">
        <f t="shared" si="178"/>
        <v>-4.0120361083249345E-2</v>
      </c>
      <c r="T775" s="252">
        <f>C775*'1. Share_Price_Analysis'!$E$11+T774*(1-'1. Share_Price_Analysis'!$E$11)</f>
        <v>281.26724884262882</v>
      </c>
      <c r="U775" s="253">
        <f t="shared" si="179"/>
        <v>291.92860464758405</v>
      </c>
    </row>
    <row r="776" spans="2:21" x14ac:dyDescent="0.2">
      <c r="B776" s="245">
        <v>46028</v>
      </c>
      <c r="C776" s="246">
        <v>299.85000000000002</v>
      </c>
      <c r="D776" s="246">
        <v>691.81</v>
      </c>
      <c r="E776" s="246">
        <v>47.5</v>
      </c>
      <c r="F776" s="248">
        <f t="shared" si="170"/>
        <v>1.071898068561028E-2</v>
      </c>
      <c r="G776" s="248">
        <f t="shared" si="171"/>
        <v>5.9471878089918384E-3</v>
      </c>
      <c r="H776" s="248">
        <f t="shared" si="172"/>
        <v>1.9750966079862708E-2</v>
      </c>
      <c r="I776" s="249">
        <f t="shared" si="173"/>
        <v>0.66777907558818428</v>
      </c>
      <c r="J776" s="249">
        <f t="shared" si="174"/>
        <v>0.71041115533908061</v>
      </c>
      <c r="K776" s="249">
        <f t="shared" si="175"/>
        <v>0.14141535504024949</v>
      </c>
      <c r="L776" s="250">
        <f t="shared" si="165"/>
        <v>166.77790755881864</v>
      </c>
      <c r="M776" s="250">
        <f t="shared" si="166"/>
        <v>171.04111553390854</v>
      </c>
      <c r="N776" s="250">
        <f t="shared" si="167"/>
        <v>114.141535504025</v>
      </c>
      <c r="O776" s="248">
        <f t="shared" si="168"/>
        <v>-2.4925047768672215E-2</v>
      </c>
      <c r="P776" s="247">
        <f t="shared" si="169"/>
        <v>0.46115002590741705</v>
      </c>
      <c r="Q776" s="251">
        <f t="shared" si="176"/>
        <v>1.6677790755881843</v>
      </c>
      <c r="R776" s="251">
        <f t="shared" si="177"/>
        <v>1.7190611268702347</v>
      </c>
      <c r="S776" s="251">
        <f t="shared" si="178"/>
        <v>-2.9831429773190088E-2</v>
      </c>
      <c r="T776" s="252">
        <f>C776*'1. Share_Price_Analysis'!$E$11+T775*(1-'1. Share_Price_Analysis'!$E$11)</f>
        <v>281.45215183921954</v>
      </c>
      <c r="U776" s="253">
        <f t="shared" si="179"/>
        <v>292.23924760258075</v>
      </c>
    </row>
    <row r="777" spans="2:21" x14ac:dyDescent="0.2">
      <c r="B777" s="245">
        <v>46029</v>
      </c>
      <c r="C777" s="246">
        <v>292.12</v>
      </c>
      <c r="D777" s="246">
        <v>689.58</v>
      </c>
      <c r="E777" s="246">
        <v>46.68</v>
      </c>
      <c r="F777" s="248">
        <f t="shared" si="170"/>
        <v>-2.5779556444889162E-2</v>
      </c>
      <c r="G777" s="248">
        <f t="shared" si="171"/>
        <v>-3.223428397970407E-3</v>
      </c>
      <c r="H777" s="248">
        <f t="shared" si="172"/>
        <v>-1.7263157894736869E-2</v>
      </c>
      <c r="I777" s="249">
        <f t="shared" si="173"/>
        <v>0.6247844707714536</v>
      </c>
      <c r="J777" s="249">
        <f t="shared" si="174"/>
        <v>0.70489776744875532</v>
      </c>
      <c r="K777" s="249">
        <f t="shared" si="175"/>
        <v>0.12171092154271257</v>
      </c>
      <c r="L777" s="250">
        <f t="shared" si="165"/>
        <v>162.47844707714557</v>
      </c>
      <c r="M777" s="250">
        <f t="shared" si="166"/>
        <v>170.489776744876</v>
      </c>
      <c r="N777" s="250">
        <f t="shared" si="167"/>
        <v>112.17109215427131</v>
      </c>
      <c r="O777" s="248">
        <f t="shared" si="168"/>
        <v>-4.69900883248765E-2</v>
      </c>
      <c r="P777" s="247">
        <f t="shared" si="169"/>
        <v>0.4484876981823922</v>
      </c>
      <c r="Q777" s="251">
        <f t="shared" si="176"/>
        <v>1.6247844707714536</v>
      </c>
      <c r="R777" s="251">
        <f t="shared" si="177"/>
        <v>1.7190611268702347</v>
      </c>
      <c r="S777" s="251">
        <f t="shared" si="178"/>
        <v>-5.4841945190409525E-2</v>
      </c>
      <c r="T777" s="252">
        <f>C777*'1. Share_Price_Analysis'!$E$11+T776*(1-'1. Share_Price_Analysis'!$E$11)</f>
        <v>281.55829958211291</v>
      </c>
      <c r="U777" s="253">
        <f t="shared" si="179"/>
        <v>292.23457122600894</v>
      </c>
    </row>
    <row r="778" spans="2:21" x14ac:dyDescent="0.2">
      <c r="B778" s="245">
        <v>46030</v>
      </c>
      <c r="C778" s="246">
        <v>299.13</v>
      </c>
      <c r="D778" s="246">
        <v>689.51</v>
      </c>
      <c r="E778" s="246">
        <v>47.5</v>
      </c>
      <c r="F778" s="248">
        <f t="shared" si="170"/>
        <v>2.3996987539367298E-2</v>
      </c>
      <c r="G778" s="248">
        <f t="shared" si="171"/>
        <v>-1.0151106470612792E-4</v>
      </c>
      <c r="H778" s="248">
        <f t="shared" si="172"/>
        <v>1.7566409597257859E-2</v>
      </c>
      <c r="I778" s="249">
        <f t="shared" si="173"/>
        <v>0.66377440347071359</v>
      </c>
      <c r="J778" s="249">
        <f t="shared" si="174"/>
        <v>0.70472470146116639</v>
      </c>
      <c r="K778" s="249">
        <f t="shared" si="175"/>
        <v>0.14141535504024949</v>
      </c>
      <c r="L778" s="250">
        <f t="shared" si="165"/>
        <v>166.37744034707157</v>
      </c>
      <c r="M778" s="250">
        <f t="shared" si="166"/>
        <v>170.47247014611713</v>
      </c>
      <c r="N778" s="250">
        <f t="shared" si="167"/>
        <v>114.141535504025</v>
      </c>
      <c r="O778" s="248">
        <f t="shared" si="168"/>
        <v>-2.4021648747949209E-2</v>
      </c>
      <c r="P778" s="247">
        <f t="shared" si="169"/>
        <v>0.45764151158807942</v>
      </c>
      <c r="Q778" s="251">
        <f t="shared" si="176"/>
        <v>1.6637744034707136</v>
      </c>
      <c r="R778" s="251">
        <f t="shared" si="177"/>
        <v>1.7190611268702347</v>
      </c>
      <c r="S778" s="251">
        <f t="shared" si="178"/>
        <v>-3.2160999126411238E-2</v>
      </c>
      <c r="T778" s="252">
        <f>C778*'1. Share_Price_Analysis'!$E$11+T777*(1-'1. Share_Price_Analysis'!$E$11)</f>
        <v>281.73314237234064</v>
      </c>
      <c r="U778" s="253">
        <f t="shared" si="179"/>
        <v>292.50498019753803</v>
      </c>
    </row>
    <row r="779" spans="2:21" x14ac:dyDescent="0.2">
      <c r="B779" s="245">
        <v>46031</v>
      </c>
      <c r="C779" s="246">
        <v>311.62</v>
      </c>
      <c r="D779" s="246">
        <v>694.07</v>
      </c>
      <c r="E779" s="246">
        <v>48.26</v>
      </c>
      <c r="F779" s="248">
        <f t="shared" si="170"/>
        <v>4.1754421154681864E-2</v>
      </c>
      <c r="G779" s="248">
        <f t="shared" si="171"/>
        <v>6.613392119041217E-3</v>
      </c>
      <c r="H779" s="248">
        <f t="shared" si="172"/>
        <v>1.6000000000000014E-2</v>
      </c>
      <c r="I779" s="249">
        <f t="shared" si="173"/>
        <v>0.73324434061960941</v>
      </c>
      <c r="J779" s="249">
        <f t="shared" si="174"/>
        <v>0.71599871436694462</v>
      </c>
      <c r="K779" s="249">
        <f t="shared" si="175"/>
        <v>0.15967800072089355</v>
      </c>
      <c r="L779" s="250">
        <f t="shared" si="165"/>
        <v>173.3244340619612</v>
      </c>
      <c r="M779" s="250">
        <f t="shared" si="166"/>
        <v>171.59987143669494</v>
      </c>
      <c r="N779" s="250">
        <f t="shared" si="167"/>
        <v>115.96780007208937</v>
      </c>
      <c r="O779" s="248">
        <f t="shared" si="168"/>
        <v>1.0049906278063236E-2</v>
      </c>
      <c r="P779" s="247">
        <f t="shared" si="169"/>
        <v>0.49459103263334159</v>
      </c>
      <c r="Q779" s="251">
        <f t="shared" si="176"/>
        <v>1.7332443406196094</v>
      </c>
      <c r="R779" s="251">
        <f t="shared" si="177"/>
        <v>1.7332443406196094</v>
      </c>
      <c r="S779" s="251">
        <f t="shared" si="178"/>
        <v>0</v>
      </c>
      <c r="T779" s="252">
        <f>C779*'1. Share_Price_Analysis'!$E$11+T778*(1-'1. Share_Price_Analysis'!$E$11)</f>
        <v>282.03052404027756</v>
      </c>
      <c r="U779" s="253">
        <f t="shared" si="179"/>
        <v>293.25458881724245</v>
      </c>
    </row>
    <row r="780" spans="2:21" x14ac:dyDescent="0.2">
      <c r="B780" s="245">
        <v>46034</v>
      </c>
      <c r="C780" s="246">
        <v>309.62</v>
      </c>
      <c r="D780" s="246">
        <v>695.16</v>
      </c>
      <c r="E780" s="246">
        <v>48.52</v>
      </c>
      <c r="F780" s="248">
        <f t="shared" si="170"/>
        <v>-6.4180732943970309E-3</v>
      </c>
      <c r="G780" s="248">
        <f t="shared" si="171"/>
        <v>1.5704467849062542E-3</v>
      </c>
      <c r="H780" s="248">
        <f t="shared" si="172"/>
        <v>5.3874844591794702E-3</v>
      </c>
      <c r="I780" s="249">
        <f t="shared" si="173"/>
        <v>0.72212025140441383</v>
      </c>
      <c r="J780" s="249">
        <f t="shared" si="174"/>
        <v>0.71869359903082541</v>
      </c>
      <c r="K780" s="249">
        <f t="shared" si="175"/>
        <v>0.16592574792742965</v>
      </c>
      <c r="L780" s="250">
        <f t="shared" si="165"/>
        <v>172.21202514044163</v>
      </c>
      <c r="M780" s="250">
        <f t="shared" si="166"/>
        <v>171.86935990308302</v>
      </c>
      <c r="N780" s="250">
        <f t="shared" si="167"/>
        <v>116.59257479274301</v>
      </c>
      <c r="O780" s="248">
        <f t="shared" si="168"/>
        <v>1.9937540789822794E-3</v>
      </c>
      <c r="P780" s="247">
        <f t="shared" si="169"/>
        <v>0.47704110185891802</v>
      </c>
      <c r="Q780" s="251">
        <f t="shared" si="176"/>
        <v>1.7221202514044138</v>
      </c>
      <c r="R780" s="251">
        <f t="shared" si="177"/>
        <v>1.7332443406196094</v>
      </c>
      <c r="S780" s="251">
        <f t="shared" si="178"/>
        <v>-6.4180732943970309E-3</v>
      </c>
      <c r="T780" s="252">
        <f>C780*'1. Share_Price_Analysis'!$E$11+T779*(1-'1. Share_Price_Analysis'!$E$11)</f>
        <v>282.30504618913051</v>
      </c>
      <c r="U780" s="253">
        <f t="shared" si="179"/>
        <v>293.8963696479388</v>
      </c>
    </row>
    <row r="781" spans="2:21" x14ac:dyDescent="0.2">
      <c r="B781" s="245">
        <v>46035</v>
      </c>
      <c r="C781" s="246">
        <v>311.04000000000002</v>
      </c>
      <c r="D781" s="246">
        <v>693.77</v>
      </c>
      <c r="E781" s="246">
        <v>48.73</v>
      </c>
      <c r="F781" s="248">
        <f t="shared" si="170"/>
        <v>4.5862670370131475E-3</v>
      </c>
      <c r="G781" s="248">
        <f t="shared" si="171"/>
        <v>-1.9995396743195393E-3</v>
      </c>
      <c r="H781" s="248">
        <f t="shared" si="172"/>
        <v>4.3281121187137561E-3</v>
      </c>
      <c r="I781" s="249">
        <f t="shared" si="173"/>
        <v>0.73001835474720278</v>
      </c>
      <c r="J781" s="249">
        <f t="shared" si="174"/>
        <v>0.71525700299156414</v>
      </c>
      <c r="K781" s="249">
        <f t="shared" si="175"/>
        <v>0.17097200528655465</v>
      </c>
      <c r="L781" s="250">
        <f t="shared" si="165"/>
        <v>173.00183547472051</v>
      </c>
      <c r="M781" s="250">
        <f t="shared" si="166"/>
        <v>171.52570029915691</v>
      </c>
      <c r="N781" s="250">
        <f t="shared" si="167"/>
        <v>117.09720052865551</v>
      </c>
      <c r="O781" s="248">
        <f t="shared" si="168"/>
        <v>8.6059125424897687E-3</v>
      </c>
      <c r="P781" s="247">
        <f t="shared" si="169"/>
        <v>0.47742076406330569</v>
      </c>
      <c r="Q781" s="251">
        <f t="shared" si="176"/>
        <v>1.7300183547472028</v>
      </c>
      <c r="R781" s="251">
        <f t="shared" si="177"/>
        <v>1.7332443406196094</v>
      </c>
      <c r="S781" s="251">
        <f t="shared" si="178"/>
        <v>-1.8612412553751234E-3</v>
      </c>
      <c r="T781" s="252">
        <f>C781*'1. Share_Price_Analysis'!$E$11+T780*(1-'1. Share_Price_Analysis'!$E$11)</f>
        <v>282.59096612754718</v>
      </c>
      <c r="U781" s="253">
        <f t="shared" si="179"/>
        <v>294.56866887743138</v>
      </c>
    </row>
    <row r="782" spans="2:21" x14ac:dyDescent="0.2">
      <c r="B782" s="245">
        <v>46036</v>
      </c>
      <c r="C782" s="246">
        <v>298.48</v>
      </c>
      <c r="D782" s="246">
        <v>690.36</v>
      </c>
      <c r="E782" s="246">
        <v>48.75</v>
      </c>
      <c r="F782" s="248">
        <f t="shared" si="170"/>
        <v>-4.0380658436213968E-2</v>
      </c>
      <c r="G782" s="248">
        <f t="shared" si="171"/>
        <v>-4.9151736166164195E-3</v>
      </c>
      <c r="H782" s="248">
        <f t="shared" si="172"/>
        <v>4.1042478965724882E-4</v>
      </c>
      <c r="I782" s="249">
        <f t="shared" si="173"/>
        <v>0.66015907447577504</v>
      </c>
      <c r="J782" s="249">
        <f t="shared" si="174"/>
        <v>0.70682621702474346</v>
      </c>
      <c r="K782" s="249">
        <f t="shared" si="175"/>
        <v>0.17145260122551886</v>
      </c>
      <c r="L782" s="250">
        <f t="shared" si="165"/>
        <v>166.01590744757775</v>
      </c>
      <c r="M782" s="250">
        <f t="shared" si="166"/>
        <v>170.68262170247485</v>
      </c>
      <c r="N782" s="250">
        <f t="shared" si="167"/>
        <v>117.14526012255195</v>
      </c>
      <c r="O782" s="248">
        <f t="shared" si="168"/>
        <v>-2.7341472777654086E-2</v>
      </c>
      <c r="P782" s="247">
        <f t="shared" si="169"/>
        <v>0.41717989506275743</v>
      </c>
      <c r="Q782" s="251">
        <f t="shared" si="176"/>
        <v>1.660159074475775</v>
      </c>
      <c r="R782" s="251">
        <f t="shared" si="177"/>
        <v>1.7332443406196094</v>
      </c>
      <c r="S782" s="251">
        <f t="shared" si="178"/>
        <v>-4.2166741544188424E-2</v>
      </c>
      <c r="T782" s="252">
        <f>C782*'1. Share_Price_Analysis'!$E$11+T781*(1-'1. Share_Price_Analysis'!$E$11)</f>
        <v>282.7490659670741</v>
      </c>
      <c r="U782" s="253">
        <f t="shared" si="179"/>
        <v>294.72205441164976</v>
      </c>
    </row>
    <row r="783" spans="2:21" x14ac:dyDescent="0.2">
      <c r="B783" s="245">
        <v>46037</v>
      </c>
      <c r="C783" s="246">
        <v>301.70999999999998</v>
      </c>
      <c r="D783" s="246">
        <v>692.24</v>
      </c>
      <c r="E783" s="246">
        <v>48.96</v>
      </c>
      <c r="F783" s="248">
        <f t="shared" si="170"/>
        <v>1.0821495577592932E-2</v>
      </c>
      <c r="G783" s="248">
        <f t="shared" si="171"/>
        <v>2.7232168723565486E-3</v>
      </c>
      <c r="H783" s="248">
        <f t="shared" si="172"/>
        <v>4.3076923076923457E-3</v>
      </c>
      <c r="I783" s="249">
        <f t="shared" si="173"/>
        <v>0.67812447855831537</v>
      </c>
      <c r="J783" s="249">
        <f t="shared" si="174"/>
        <v>0.71147427497712568</v>
      </c>
      <c r="K783" s="249">
        <f t="shared" si="175"/>
        <v>0.17649885858464431</v>
      </c>
      <c r="L783" s="250">
        <f t="shared" si="165"/>
        <v>167.81244785583181</v>
      </c>
      <c r="M783" s="250">
        <f t="shared" si="166"/>
        <v>171.14742749771307</v>
      </c>
      <c r="N783" s="250">
        <f t="shared" si="167"/>
        <v>117.6498858584645</v>
      </c>
      <c r="O783" s="248">
        <f t="shared" si="168"/>
        <v>-1.9486005081353674E-2</v>
      </c>
      <c r="P783" s="247">
        <f t="shared" si="169"/>
        <v>0.42637153135629768</v>
      </c>
      <c r="Q783" s="251">
        <f t="shared" si="176"/>
        <v>1.6781244785583154</v>
      </c>
      <c r="R783" s="251">
        <f t="shared" si="177"/>
        <v>1.7332443406196094</v>
      </c>
      <c r="S783" s="251">
        <f t="shared" si="178"/>
        <v>-3.1801553173737451E-2</v>
      </c>
      <c r="T783" s="252">
        <f>C783*'1. Share_Price_Analysis'!$E$11+T782*(1-'1. Share_Price_Analysis'!$E$11)</f>
        <v>282.93773197735203</v>
      </c>
      <c r="U783" s="253">
        <f t="shared" si="179"/>
        <v>294.99609149354586</v>
      </c>
    </row>
    <row r="784" spans="2:21" x14ac:dyDescent="0.2">
      <c r="B784" s="245">
        <v>46038</v>
      </c>
      <c r="C784" s="246">
        <v>305.97000000000003</v>
      </c>
      <c r="D784" s="246">
        <v>691.66</v>
      </c>
      <c r="E784" s="246">
        <v>48.68</v>
      </c>
      <c r="F784" s="248">
        <f t="shared" si="170"/>
        <v>1.4119518743164194E-2</v>
      </c>
      <c r="G784" s="248">
        <f t="shared" si="171"/>
        <v>-8.378597018375844E-4</v>
      </c>
      <c r="H784" s="248">
        <f t="shared" si="172"/>
        <v>-5.7189542483659928E-3</v>
      </c>
      <c r="I784" s="249">
        <f t="shared" si="173"/>
        <v>0.70181878858668223</v>
      </c>
      <c r="J784" s="249">
        <f t="shared" si="174"/>
        <v>0.71004029965139059</v>
      </c>
      <c r="K784" s="249">
        <f t="shared" si="175"/>
        <v>0.16977051543914401</v>
      </c>
      <c r="L784" s="250">
        <f t="shared" si="165"/>
        <v>170.18187885866845</v>
      </c>
      <c r="M784" s="250">
        <f t="shared" si="166"/>
        <v>171.00402996513955</v>
      </c>
      <c r="N784" s="250">
        <f t="shared" si="167"/>
        <v>116.97705154391444</v>
      </c>
      <c r="O784" s="248">
        <f t="shared" si="168"/>
        <v>-4.8077879020654857E-3</v>
      </c>
      <c r="P784" s="247">
        <f t="shared" si="169"/>
        <v>0.4548313247131226</v>
      </c>
      <c r="Q784" s="251">
        <f t="shared" si="176"/>
        <v>1.7018187885866822</v>
      </c>
      <c r="R784" s="251">
        <f t="shared" si="177"/>
        <v>1.7332443406196094</v>
      </c>
      <c r="S784" s="251">
        <f t="shared" si="178"/>
        <v>-1.8131057056671507E-2</v>
      </c>
      <c r="T784" s="252">
        <f>C784*'1. Share_Price_Analysis'!$E$11+T783*(1-'1. Share_Price_Analysis'!$E$11)</f>
        <v>283.1669087735973</v>
      </c>
      <c r="U784" s="253">
        <f t="shared" si="179"/>
        <v>295.42644084674015</v>
      </c>
    </row>
    <row r="785" spans="2:21" x14ac:dyDescent="0.2">
      <c r="B785" s="245">
        <v>46042</v>
      </c>
      <c r="C785" s="246">
        <v>296.14999999999998</v>
      </c>
      <c r="D785" s="246">
        <v>677.58</v>
      </c>
      <c r="E785" s="246">
        <v>48.19</v>
      </c>
      <c r="F785" s="248">
        <f t="shared" si="170"/>
        <v>-3.2094649802268393E-2</v>
      </c>
      <c r="G785" s="248">
        <f t="shared" si="171"/>
        <v>-2.035682271636341E-2</v>
      </c>
      <c r="H785" s="248">
        <f t="shared" si="172"/>
        <v>-1.0065735414954813E-2</v>
      </c>
      <c r="I785" s="249">
        <f t="shared" si="173"/>
        <v>0.64719951054007208</v>
      </c>
      <c r="J785" s="249">
        <f t="shared" si="174"/>
        <v>0.67522931243355022</v>
      </c>
      <c r="K785" s="249">
        <f t="shared" si="175"/>
        <v>0.15799591493451826</v>
      </c>
      <c r="L785" s="250">
        <f t="shared" si="165"/>
        <v>164.71995105400745</v>
      </c>
      <c r="M785" s="250">
        <f t="shared" si="166"/>
        <v>167.52293124335552</v>
      </c>
      <c r="N785" s="250">
        <f t="shared" si="167"/>
        <v>115.79959149345187</v>
      </c>
      <c r="O785" s="248">
        <f t="shared" si="168"/>
        <v>-1.6731919436605458E-2</v>
      </c>
      <c r="P785" s="247">
        <f t="shared" si="169"/>
        <v>0.42245709962907507</v>
      </c>
      <c r="Q785" s="251">
        <f t="shared" si="176"/>
        <v>1.6471995105400721</v>
      </c>
      <c r="R785" s="251">
        <f t="shared" si="177"/>
        <v>1.7332443406196094</v>
      </c>
      <c r="S785" s="251">
        <f t="shared" si="178"/>
        <v>-4.9643796932161144E-2</v>
      </c>
      <c r="T785" s="252">
        <f>C785*'1. Share_Price_Analysis'!$E$11+T784*(1-'1. Share_Price_Analysis'!$E$11)</f>
        <v>283.29609376092469</v>
      </c>
      <c r="U785" s="253">
        <f t="shared" si="179"/>
        <v>295.45481571549544</v>
      </c>
    </row>
    <row r="786" spans="2:21" x14ac:dyDescent="0.2">
      <c r="B786" s="245">
        <v>46043</v>
      </c>
      <c r="C786" s="246">
        <v>299.01</v>
      </c>
      <c r="D786" s="246">
        <v>685.4</v>
      </c>
      <c r="E786" s="246">
        <v>49.24</v>
      </c>
      <c r="F786" s="248">
        <f t="shared" si="170"/>
        <v>9.6572682762114948E-3</v>
      </c>
      <c r="G786" s="248">
        <f t="shared" si="171"/>
        <v>1.1541072640868899E-2</v>
      </c>
      <c r="H786" s="248">
        <f t="shared" si="172"/>
        <v>2.1788752853289184E-2</v>
      </c>
      <c r="I786" s="249">
        <f t="shared" si="173"/>
        <v>0.66310695811780174</v>
      </c>
      <c r="J786" s="249">
        <f t="shared" si="174"/>
        <v>0.69456325561845866</v>
      </c>
      <c r="K786" s="249">
        <f t="shared" si="175"/>
        <v>0.18322720173014506</v>
      </c>
      <c r="L786" s="250">
        <f t="shared" si="165"/>
        <v>166.31069581178042</v>
      </c>
      <c r="M786" s="250">
        <f t="shared" si="166"/>
        <v>169.45632556184634</v>
      </c>
      <c r="N786" s="250">
        <f t="shared" si="167"/>
        <v>118.32272017301453</v>
      </c>
      <c r="O786" s="248">
        <f t="shared" si="168"/>
        <v>-1.856307068878138E-2</v>
      </c>
      <c r="P786" s="247">
        <f t="shared" si="169"/>
        <v>0.40556856340520597</v>
      </c>
      <c r="Q786" s="251">
        <f t="shared" si="176"/>
        <v>1.6631069581178017</v>
      </c>
      <c r="R786" s="251">
        <f t="shared" si="177"/>
        <v>1.7332443406196094</v>
      </c>
      <c r="S786" s="251">
        <f t="shared" si="178"/>
        <v>-4.0465952121173321E-2</v>
      </c>
      <c r="T786" s="252">
        <f>C786*'1. Share_Price_Analysis'!$E$11+T785*(1-'1. Share_Price_Analysis'!$E$11)</f>
        <v>283.45245103693543</v>
      </c>
      <c r="U786" s="253">
        <f t="shared" si="179"/>
        <v>295.59423470704468</v>
      </c>
    </row>
    <row r="787" spans="2:21" x14ac:dyDescent="0.2">
      <c r="B787" s="245">
        <v>46044</v>
      </c>
      <c r="C787" s="246">
        <v>303.27</v>
      </c>
      <c r="D787" s="246">
        <v>688.98</v>
      </c>
      <c r="E787" s="246">
        <v>49.52</v>
      </c>
      <c r="F787" s="248">
        <f t="shared" si="170"/>
        <v>1.4247015149994935E-2</v>
      </c>
      <c r="G787" s="248">
        <f t="shared" si="171"/>
        <v>5.2232273125183415E-3</v>
      </c>
      <c r="H787" s="248">
        <f t="shared" si="172"/>
        <v>5.6864337936637366E-3</v>
      </c>
      <c r="I787" s="249">
        <f t="shared" si="173"/>
        <v>0.68680126814616815</v>
      </c>
      <c r="J787" s="249">
        <f t="shared" si="174"/>
        <v>0.70341434469799502</v>
      </c>
      <c r="K787" s="249">
        <f t="shared" si="175"/>
        <v>0.18995554487564559</v>
      </c>
      <c r="L787" s="250">
        <f t="shared" si="165"/>
        <v>168.68012681461707</v>
      </c>
      <c r="M787" s="250">
        <f t="shared" si="166"/>
        <v>170.34143446979996</v>
      </c>
      <c r="N787" s="250">
        <f t="shared" si="167"/>
        <v>118.99555448756458</v>
      </c>
      <c r="O787" s="248">
        <f t="shared" si="168"/>
        <v>-9.7528100567758624E-3</v>
      </c>
      <c r="P787" s="247">
        <f t="shared" si="169"/>
        <v>0.41753301239706775</v>
      </c>
      <c r="Q787" s="251">
        <f t="shared" si="176"/>
        <v>1.6868012681461682</v>
      </c>
      <c r="R787" s="251">
        <f t="shared" si="177"/>
        <v>1.7332443406196094</v>
      </c>
      <c r="S787" s="251">
        <f t="shared" si="178"/>
        <v>-2.6795456004107598E-2</v>
      </c>
      <c r="T787" s="252">
        <f>C787*'1. Share_Price_Analysis'!$E$11+T786*(1-'1. Share_Price_Analysis'!$E$11)</f>
        <v>283.64964057885646</v>
      </c>
      <c r="U787" s="253">
        <f t="shared" si="179"/>
        <v>295.89524511068998</v>
      </c>
    </row>
    <row r="788" spans="2:21" x14ac:dyDescent="0.2">
      <c r="B788" s="245">
        <v>46045</v>
      </c>
      <c r="C788" s="246">
        <v>300.07</v>
      </c>
      <c r="D788" s="246">
        <v>689.23</v>
      </c>
      <c r="E788" s="246">
        <v>49.97</v>
      </c>
      <c r="F788" s="248">
        <f t="shared" si="170"/>
        <v>-1.0551653641969194E-2</v>
      </c>
      <c r="G788" s="248">
        <f t="shared" si="171"/>
        <v>3.62855235275239E-4</v>
      </c>
      <c r="H788" s="248">
        <f t="shared" si="172"/>
        <v>9.0872374798061095E-3</v>
      </c>
      <c r="I788" s="249">
        <f t="shared" si="173"/>
        <v>0.66900272540185535</v>
      </c>
      <c r="J788" s="249">
        <f t="shared" si="174"/>
        <v>0.70403243751081157</v>
      </c>
      <c r="K788" s="249">
        <f t="shared" si="175"/>
        <v>0.2007689535023427</v>
      </c>
      <c r="L788" s="250">
        <f t="shared" si="165"/>
        <v>166.90027254018577</v>
      </c>
      <c r="M788" s="250">
        <f t="shared" si="166"/>
        <v>170.40324375108165</v>
      </c>
      <c r="N788" s="250">
        <f t="shared" si="167"/>
        <v>120.0768953502343</v>
      </c>
      <c r="O788" s="248">
        <f t="shared" si="168"/>
        <v>-2.0556951462805673E-2</v>
      </c>
      <c r="P788" s="247">
        <f t="shared" si="169"/>
        <v>0.38994493531315233</v>
      </c>
      <c r="Q788" s="251">
        <f t="shared" si="176"/>
        <v>1.6690027254018553</v>
      </c>
      <c r="R788" s="251">
        <f t="shared" si="177"/>
        <v>1.7332443406196094</v>
      </c>
      <c r="S788" s="251">
        <f t="shared" si="178"/>
        <v>-3.7064373275142892E-2</v>
      </c>
      <c r="T788" s="252">
        <f>C788*'1. Share_Price_Analysis'!$E$11+T787*(1-'1. Share_Price_Analysis'!$E$11)</f>
        <v>283.81302723976336</v>
      </c>
      <c r="U788" s="253">
        <f t="shared" si="179"/>
        <v>296.05896098870215</v>
      </c>
    </row>
    <row r="789" spans="2:21" x14ac:dyDescent="0.2">
      <c r="B789" s="245">
        <v>46048</v>
      </c>
      <c r="C789" s="246">
        <v>300.39999999999998</v>
      </c>
      <c r="D789" s="246">
        <v>692.73</v>
      </c>
      <c r="E789" s="246">
        <v>50.03</v>
      </c>
      <c r="F789" s="248">
        <f t="shared" si="170"/>
        <v>1.0997433932082856E-3</v>
      </c>
      <c r="G789" s="248">
        <f t="shared" si="171"/>
        <v>5.0781306675564686E-3</v>
      </c>
      <c r="H789" s="248">
        <f t="shared" si="172"/>
        <v>1.2007204322594944E-3</v>
      </c>
      <c r="I789" s="249">
        <f t="shared" si="173"/>
        <v>0.67083820012236273</v>
      </c>
      <c r="J789" s="249">
        <f t="shared" si="174"/>
        <v>0.71268573689024617</v>
      </c>
      <c r="K789" s="249">
        <f t="shared" si="175"/>
        <v>0.20221074131923578</v>
      </c>
      <c r="L789" s="250">
        <f t="shared" si="165"/>
        <v>167.08382001223649</v>
      </c>
      <c r="M789" s="250">
        <f t="shared" si="166"/>
        <v>171.26857368902512</v>
      </c>
      <c r="N789" s="250">
        <f t="shared" si="167"/>
        <v>120.22107413192357</v>
      </c>
      <c r="O789" s="248">
        <f t="shared" si="168"/>
        <v>-2.4433867735634163E-2</v>
      </c>
      <c r="P789" s="247">
        <f t="shared" si="169"/>
        <v>0.38980475111117596</v>
      </c>
      <c r="Q789" s="251">
        <f t="shared" si="176"/>
        <v>1.6708382001223627</v>
      </c>
      <c r="R789" s="251">
        <f t="shared" si="177"/>
        <v>1.7332443406196094</v>
      </c>
      <c r="S789" s="251">
        <f t="shared" si="178"/>
        <v>-3.6005391181567314E-2</v>
      </c>
      <c r="T789" s="252">
        <f>C789*'1. Share_Price_Analysis'!$E$11+T788*(1-'1. Share_Price_Analysis'!$E$11)</f>
        <v>283.97807174484035</v>
      </c>
      <c r="U789" s="253">
        <f t="shared" si="179"/>
        <v>296.22919781267461</v>
      </c>
    </row>
    <row r="790" spans="2:21" x14ac:dyDescent="0.2">
      <c r="B790" s="245">
        <v>46049</v>
      </c>
      <c r="C790" s="246">
        <v>298.67</v>
      </c>
      <c r="D790" s="246">
        <v>695.49</v>
      </c>
      <c r="E790" s="246">
        <v>49.98</v>
      </c>
      <c r="F790" s="248">
        <f t="shared" si="170"/>
        <v>-5.7589880159785167E-3</v>
      </c>
      <c r="G790" s="248">
        <f t="shared" si="171"/>
        <v>3.9842362825344146E-3</v>
      </c>
      <c r="H790" s="248">
        <f t="shared" si="172"/>
        <v>-9.9940035978418607E-4</v>
      </c>
      <c r="I790" s="249">
        <f t="shared" si="173"/>
        <v>0.66121586295121904</v>
      </c>
      <c r="J790" s="249">
        <f t="shared" si="174"/>
        <v>0.7195094815437435</v>
      </c>
      <c r="K790" s="249">
        <f t="shared" si="175"/>
        <v>0.20100925147182491</v>
      </c>
      <c r="L790" s="250">
        <f t="shared" si="165"/>
        <v>166.12158629512211</v>
      </c>
      <c r="M790" s="250">
        <f t="shared" si="166"/>
        <v>171.95094815437486</v>
      </c>
      <c r="N790" s="250">
        <f t="shared" si="167"/>
        <v>120.10092514718249</v>
      </c>
      <c r="O790" s="248">
        <f t="shared" si="168"/>
        <v>-3.3901306865833369E-2</v>
      </c>
      <c r="P790" s="247">
        <f t="shared" si="169"/>
        <v>0.38318323602871129</v>
      </c>
      <c r="Q790" s="251">
        <f t="shared" si="176"/>
        <v>1.661215862951219</v>
      </c>
      <c r="R790" s="251">
        <f t="shared" si="177"/>
        <v>1.7332443406196094</v>
      </c>
      <c r="S790" s="251">
        <f t="shared" si="178"/>
        <v>-4.1557024581220459E-2</v>
      </c>
      <c r="T790" s="252">
        <f>C790*'1. Share_Price_Analysis'!$E$11+T789*(1-'1. Share_Price_Analysis'!$E$11)</f>
        <v>284.12426008568769</v>
      </c>
      <c r="U790" s="253">
        <f t="shared" si="179"/>
        <v>296.32491554551086</v>
      </c>
    </row>
    <row r="791" spans="2:21" x14ac:dyDescent="0.2">
      <c r="B791" s="245">
        <v>46050</v>
      </c>
      <c r="C791" s="246">
        <v>299.73</v>
      </c>
      <c r="D791" s="246">
        <v>695.42</v>
      </c>
      <c r="E791" s="246">
        <v>49.95</v>
      </c>
      <c r="F791" s="248">
        <f t="shared" si="170"/>
        <v>3.5490675327285448E-3</v>
      </c>
      <c r="G791" s="248">
        <f t="shared" si="171"/>
        <v>-1.0064846367319191E-4</v>
      </c>
      <c r="H791" s="248">
        <f t="shared" si="172"/>
        <v>-6.0024009603831807E-4</v>
      </c>
      <c r="I791" s="249">
        <f t="shared" si="173"/>
        <v>0.66711163023527287</v>
      </c>
      <c r="J791" s="249">
        <f t="shared" si="174"/>
        <v>0.71933641555615457</v>
      </c>
      <c r="K791" s="249">
        <f t="shared" si="175"/>
        <v>0.20028835756337848</v>
      </c>
      <c r="L791" s="250">
        <f t="shared" si="165"/>
        <v>166.71116302352746</v>
      </c>
      <c r="M791" s="250">
        <f t="shared" si="166"/>
        <v>171.93364155561596</v>
      </c>
      <c r="N791" s="250">
        <f t="shared" si="167"/>
        <v>120.02883575633787</v>
      </c>
      <c r="O791" s="248">
        <f t="shared" si="168"/>
        <v>-3.0374966090617295E-2</v>
      </c>
      <c r="P791" s="247">
        <f t="shared" si="169"/>
        <v>0.38892593578059831</v>
      </c>
      <c r="Q791" s="251">
        <f t="shared" si="176"/>
        <v>1.6671116302352729</v>
      </c>
      <c r="R791" s="251">
        <f t="shared" si="177"/>
        <v>1.7332443406196094</v>
      </c>
      <c r="S791" s="251">
        <f t="shared" si="178"/>
        <v>-3.8155445735189919E-2</v>
      </c>
      <c r="T791" s="252">
        <f>C791*'1. Share_Price_Analysis'!$E$11+T790*(1-'1. Share_Price_Analysis'!$E$11)</f>
        <v>284.27954107986</v>
      </c>
      <c r="U791" s="253">
        <f t="shared" si="179"/>
        <v>296.45844826921632</v>
      </c>
    </row>
    <row r="792" spans="2:21" x14ac:dyDescent="0.2">
      <c r="B792" s="245">
        <v>46051</v>
      </c>
      <c r="C792" s="246">
        <v>299.47000000000003</v>
      </c>
      <c r="D792" s="246">
        <v>694.04</v>
      </c>
      <c r="E792" s="246">
        <v>50</v>
      </c>
      <c r="F792" s="248">
        <f t="shared" si="170"/>
        <v>-8.6744736929900146E-4</v>
      </c>
      <c r="G792" s="248">
        <f t="shared" si="171"/>
        <v>-1.9844122976042655E-3</v>
      </c>
      <c r="H792" s="248">
        <f t="shared" si="172"/>
        <v>1.0010010010008674E-3</v>
      </c>
      <c r="I792" s="249">
        <f t="shared" si="173"/>
        <v>0.6656654986372974</v>
      </c>
      <c r="J792" s="249">
        <f t="shared" si="174"/>
        <v>0.71592454322940613</v>
      </c>
      <c r="K792" s="249">
        <f t="shared" si="175"/>
        <v>0.20148984741078912</v>
      </c>
      <c r="L792" s="250">
        <f t="shared" si="165"/>
        <v>166.56654986372993</v>
      </c>
      <c r="M792" s="250">
        <f t="shared" si="166"/>
        <v>171.59245432294111</v>
      </c>
      <c r="N792" s="250">
        <f t="shared" si="167"/>
        <v>120.14898474107893</v>
      </c>
      <c r="O792" s="248">
        <f t="shared" si="168"/>
        <v>-2.9289775468518076E-2</v>
      </c>
      <c r="P792" s="247">
        <f t="shared" si="169"/>
        <v>0.38633339451582294</v>
      </c>
      <c r="Q792" s="251">
        <f t="shared" si="176"/>
        <v>1.6656654986372974</v>
      </c>
      <c r="R792" s="251">
        <f t="shared" si="177"/>
        <v>1.7332443406196094</v>
      </c>
      <c r="S792" s="251">
        <f t="shared" si="178"/>
        <v>-3.898979526346158E-2</v>
      </c>
      <c r="T792" s="252">
        <f>C792*'1. Share_Price_Analysis'!$E$11+T791*(1-'1. Share_Price_Analysis'!$E$11)</f>
        <v>284.43068992483654</v>
      </c>
      <c r="U792" s="253">
        <f t="shared" si="179"/>
        <v>296.57654833709023</v>
      </c>
    </row>
    <row r="793" spans="2:21" x14ac:dyDescent="0.2">
      <c r="B793" s="245">
        <v>46052</v>
      </c>
      <c r="C793" s="246">
        <v>300.54000000000002</v>
      </c>
      <c r="D793" s="246">
        <v>691.97</v>
      </c>
      <c r="E793" s="246">
        <v>49.27</v>
      </c>
      <c r="F793" s="248">
        <f t="shared" si="170"/>
        <v>3.5729789294420833E-3</v>
      </c>
      <c r="G793" s="248">
        <f t="shared" si="171"/>
        <v>-2.9825370295659681E-3</v>
      </c>
      <c r="H793" s="248">
        <f t="shared" si="172"/>
        <v>-1.4599999999999946E-2</v>
      </c>
      <c r="I793" s="249">
        <f t="shared" si="173"/>
        <v>0.671616886367427</v>
      </c>
      <c r="J793" s="249">
        <f t="shared" si="174"/>
        <v>0.71080673473928346</v>
      </c>
      <c r="K793" s="249">
        <f t="shared" si="175"/>
        <v>0.18394809563859171</v>
      </c>
      <c r="L793" s="250">
        <f t="shared" si="165"/>
        <v>167.16168863674287</v>
      </c>
      <c r="M793" s="250">
        <f t="shared" si="166"/>
        <v>171.08067347392884</v>
      </c>
      <c r="N793" s="250">
        <f t="shared" si="167"/>
        <v>118.3948095638592</v>
      </c>
      <c r="O793" s="248">
        <f t="shared" si="168"/>
        <v>-2.2907232930567512E-2</v>
      </c>
      <c r="P793" s="247">
        <f t="shared" si="169"/>
        <v>0.41190048155430237</v>
      </c>
      <c r="Q793" s="251">
        <f t="shared" si="176"/>
        <v>1.671616886367427</v>
      </c>
      <c r="R793" s="251">
        <f t="shared" si="177"/>
        <v>1.7332443406196094</v>
      </c>
      <c r="S793" s="251">
        <f t="shared" si="178"/>
        <v>-3.5556126050959147E-2</v>
      </c>
      <c r="T793" s="252">
        <f>C793*'1. Share_Price_Analysis'!$E$11+T792*(1-'1. Share_Price_Analysis'!$E$11)</f>
        <v>284.59098156737554</v>
      </c>
      <c r="U793" s="253">
        <f t="shared" si="179"/>
        <v>296.73197781406714</v>
      </c>
    </row>
    <row r="794" spans="2:21" x14ac:dyDescent="0.2">
      <c r="B794" s="245">
        <v>46055</v>
      </c>
      <c r="C794" s="246">
        <v>305.92</v>
      </c>
      <c r="D794" s="246">
        <v>695.41</v>
      </c>
      <c r="E794" s="246">
        <v>49.65</v>
      </c>
      <c r="F794" s="248">
        <f t="shared" si="170"/>
        <v>1.7901111332933928E-2</v>
      </c>
      <c r="G794" s="248">
        <f t="shared" si="171"/>
        <v>4.9713137852795963E-3</v>
      </c>
      <c r="H794" s="248">
        <f t="shared" si="172"/>
        <v>7.7126040186725753E-3</v>
      </c>
      <c r="I794" s="249">
        <f t="shared" si="173"/>
        <v>0.70154068635630273</v>
      </c>
      <c r="J794" s="249">
        <f t="shared" si="174"/>
        <v>0.71931169184364196</v>
      </c>
      <c r="K794" s="249">
        <f t="shared" si="175"/>
        <v>0.19307941847891374</v>
      </c>
      <c r="L794" s="250">
        <f t="shared" si="165"/>
        <v>170.15406863563047</v>
      </c>
      <c r="M794" s="250">
        <f t="shared" si="166"/>
        <v>171.93116918436471</v>
      </c>
      <c r="N794" s="250">
        <f t="shared" si="167"/>
        <v>119.30794184789137</v>
      </c>
      <c r="O794" s="248">
        <f t="shared" si="168"/>
        <v>-1.0336116232818271E-2</v>
      </c>
      <c r="P794" s="247">
        <f t="shared" si="169"/>
        <v>0.42617554204869168</v>
      </c>
      <c r="Q794" s="251">
        <f t="shared" si="176"/>
        <v>1.7015406863563027</v>
      </c>
      <c r="R794" s="251">
        <f t="shared" si="177"/>
        <v>1.7332443406196094</v>
      </c>
      <c r="S794" s="251">
        <f t="shared" si="178"/>
        <v>-1.8291508889031194E-2</v>
      </c>
      <c r="T794" s="252">
        <f>C794*'1. Share_Price_Analysis'!$E$11+T793*(1-'1. Share_Price_Analysis'!$E$11)</f>
        <v>284.80321060650618</v>
      </c>
      <c r="U794" s="253">
        <f t="shared" si="179"/>
        <v>297.09229240959394</v>
      </c>
    </row>
    <row r="795" spans="2:21" x14ac:dyDescent="0.2">
      <c r="B795" s="245">
        <v>46056</v>
      </c>
      <c r="C795" s="246">
        <v>311.01</v>
      </c>
      <c r="D795" s="246">
        <v>689.53</v>
      </c>
      <c r="E795" s="246">
        <v>50.7</v>
      </c>
      <c r="F795" s="248">
        <f t="shared" si="170"/>
        <v>1.6638336820083532E-2</v>
      </c>
      <c r="G795" s="248">
        <f t="shared" si="171"/>
        <v>-8.4554435512862458E-3</v>
      </c>
      <c r="H795" s="248">
        <f t="shared" si="172"/>
        <v>2.1148036253776592E-2</v>
      </c>
      <c r="I795" s="249">
        <f t="shared" si="173"/>
        <v>0.72985149340897504</v>
      </c>
      <c r="J795" s="249">
        <f t="shared" si="174"/>
        <v>0.70477414888619161</v>
      </c>
      <c r="K795" s="249">
        <f t="shared" si="175"/>
        <v>0.21831070527454055</v>
      </c>
      <c r="L795" s="250">
        <f t="shared" si="165"/>
        <v>172.98514934089772</v>
      </c>
      <c r="M795" s="250">
        <f t="shared" si="166"/>
        <v>170.47741488861965</v>
      </c>
      <c r="N795" s="250">
        <f t="shared" si="167"/>
        <v>121.83107052745406</v>
      </c>
      <c r="O795" s="248">
        <f t="shared" si="168"/>
        <v>1.4710068509173224E-2</v>
      </c>
      <c r="P795" s="247">
        <f t="shared" si="169"/>
        <v>0.41987711830797814</v>
      </c>
      <c r="Q795" s="251">
        <f t="shared" si="176"/>
        <v>1.729851493408975</v>
      </c>
      <c r="R795" s="251">
        <f t="shared" si="177"/>
        <v>1.7332443406196094</v>
      </c>
      <c r="S795" s="251">
        <f t="shared" si="178"/>
        <v>-1.9575123547909135E-3</v>
      </c>
      <c r="T795" s="252">
        <f>C795*'1. Share_Price_Analysis'!$E$11+T794*(1-'1. Share_Price_Analysis'!$E$11)</f>
        <v>285.06397468007327</v>
      </c>
      <c r="U795" s="253">
        <f t="shared" si="179"/>
        <v>297.63808486411966</v>
      </c>
    </row>
    <row r="796" spans="2:21" x14ac:dyDescent="0.2">
      <c r="B796" s="245">
        <v>46057</v>
      </c>
      <c r="C796" s="246">
        <v>311.49</v>
      </c>
      <c r="D796" s="246">
        <v>686.19</v>
      </c>
      <c r="E796" s="246">
        <v>51.89</v>
      </c>
      <c r="F796" s="248">
        <f t="shared" si="170"/>
        <v>1.5433587344459987E-3</v>
      </c>
      <c r="G796" s="248">
        <f t="shared" si="171"/>
        <v>-4.8438791640681433E-3</v>
      </c>
      <c r="H796" s="248">
        <f t="shared" si="172"/>
        <v>2.3471400394477371E-2</v>
      </c>
      <c r="I796" s="249">
        <f t="shared" si="173"/>
        <v>0.73252127482062224</v>
      </c>
      <c r="J796" s="249">
        <f t="shared" si="174"/>
        <v>0.69651642890695986</v>
      </c>
      <c r="K796" s="249">
        <f t="shared" si="175"/>
        <v>0.24690616364291751</v>
      </c>
      <c r="L796" s="250">
        <f t="shared" si="165"/>
        <v>173.25212748206243</v>
      </c>
      <c r="M796" s="250">
        <f t="shared" si="166"/>
        <v>169.65164289069648</v>
      </c>
      <c r="N796" s="250">
        <f t="shared" si="167"/>
        <v>124.69061636429171</v>
      </c>
      <c r="O796" s="248">
        <f t="shared" si="168"/>
        <v>2.1222810047798912E-2</v>
      </c>
      <c r="P796" s="247">
        <f t="shared" si="169"/>
        <v>0.38945601949624553</v>
      </c>
      <c r="Q796" s="251">
        <f t="shared" si="176"/>
        <v>1.7325212748206222</v>
      </c>
      <c r="R796" s="251">
        <f t="shared" si="177"/>
        <v>1.7332443406196094</v>
      </c>
      <c r="S796" s="251">
        <f t="shared" si="178"/>
        <v>-4.1717476413549726E-4</v>
      </c>
      <c r="T796" s="252">
        <f>C796*'1. Share_Price_Analysis'!$E$11+T795*(1-'1. Share_Price_Analysis'!$E$11)</f>
        <v>285.32692020564468</v>
      </c>
      <c r="U796" s="253">
        <f t="shared" si="179"/>
        <v>298.18129722238945</v>
      </c>
    </row>
    <row r="797" spans="2:21" x14ac:dyDescent="0.2">
      <c r="B797" s="245">
        <v>46058</v>
      </c>
      <c r="C797" s="246">
        <v>310.76</v>
      </c>
      <c r="D797" s="246">
        <v>677.62</v>
      </c>
      <c r="E797" s="246">
        <v>50.5</v>
      </c>
      <c r="F797" s="248">
        <f t="shared" si="170"/>
        <v>-2.3435744325661645E-3</v>
      </c>
      <c r="G797" s="248">
        <f t="shared" si="171"/>
        <v>-1.2489252247919747E-2</v>
      </c>
      <c r="H797" s="248">
        <f t="shared" si="172"/>
        <v>-2.678743495856617E-2</v>
      </c>
      <c r="I797" s="249">
        <f t="shared" si="173"/>
        <v>0.72846098225707578</v>
      </c>
      <c r="J797" s="249">
        <f t="shared" si="174"/>
        <v>0.67532820728360088</v>
      </c>
      <c r="K797" s="249">
        <f t="shared" si="175"/>
        <v>0.21350474588489754</v>
      </c>
      <c r="L797" s="250">
        <f t="shared" si="165"/>
        <v>172.84609822570778</v>
      </c>
      <c r="M797" s="250">
        <f t="shared" si="166"/>
        <v>167.53282072836055</v>
      </c>
      <c r="N797" s="250">
        <f t="shared" si="167"/>
        <v>121.35047458848973</v>
      </c>
      <c r="O797" s="248">
        <f t="shared" si="168"/>
        <v>3.1714845331485941E-2</v>
      </c>
      <c r="P797" s="247">
        <f t="shared" si="169"/>
        <v>0.42435453023026115</v>
      </c>
      <c r="Q797" s="251">
        <f t="shared" si="176"/>
        <v>1.7284609822570758</v>
      </c>
      <c r="R797" s="251">
        <f t="shared" si="177"/>
        <v>1.7332443406196094</v>
      </c>
      <c r="S797" s="251">
        <f t="shared" si="178"/>
        <v>-2.7597715165904591E-3</v>
      </c>
      <c r="T797" s="252">
        <f>C797*'1. Share_Price_Analysis'!$E$11+T796*(1-'1. Share_Price_Analysis'!$E$11)</f>
        <v>285.57998567623531</v>
      </c>
      <c r="U797" s="253">
        <f t="shared" si="179"/>
        <v>298.67457968425651</v>
      </c>
    </row>
    <row r="798" spans="2:21" x14ac:dyDescent="0.2">
      <c r="B798" s="245">
        <v>46059</v>
      </c>
      <c r="C798" s="246">
        <v>323.72000000000003</v>
      </c>
      <c r="D798" s="246">
        <v>690.62</v>
      </c>
      <c r="E798" s="246">
        <v>51.51</v>
      </c>
      <c r="F798" s="248">
        <f t="shared" si="170"/>
        <v>4.1704209035912099E-2</v>
      </c>
      <c r="G798" s="248">
        <f t="shared" si="171"/>
        <v>1.9184793837254022E-2</v>
      </c>
      <c r="H798" s="248">
        <f t="shared" si="172"/>
        <v>2.0000000000000018E-2</v>
      </c>
      <c r="I798" s="249">
        <f t="shared" si="173"/>
        <v>0.80054508037154282</v>
      </c>
      <c r="J798" s="249">
        <f t="shared" si="174"/>
        <v>0.70746903355007307</v>
      </c>
      <c r="K798" s="249">
        <f t="shared" si="175"/>
        <v>0.23777484080259548</v>
      </c>
      <c r="L798" s="250">
        <f t="shared" si="165"/>
        <v>180.05450803715448</v>
      </c>
      <c r="M798" s="250">
        <f t="shared" si="166"/>
        <v>170.74690335500776</v>
      </c>
      <c r="N798" s="250">
        <f t="shared" si="167"/>
        <v>123.7774840802595</v>
      </c>
      <c r="O798" s="248">
        <f t="shared" si="168"/>
        <v>5.4511118499145583E-2</v>
      </c>
      <c r="P798" s="247">
        <f t="shared" si="169"/>
        <v>0.45466285225512992</v>
      </c>
      <c r="Q798" s="251">
        <f t="shared" si="176"/>
        <v>1.8005450803715428</v>
      </c>
      <c r="R798" s="251">
        <f t="shared" si="177"/>
        <v>1.8005450803715428</v>
      </c>
      <c r="S798" s="251">
        <f t="shared" si="178"/>
        <v>0</v>
      </c>
      <c r="T798" s="252">
        <f>C798*'1. Share_Price_Analysis'!$E$11+T797*(1-'1. Share_Price_Analysis'!$E$11)</f>
        <v>285.9594883063225</v>
      </c>
      <c r="U798" s="253">
        <f t="shared" si="179"/>
        <v>299.65675302997192</v>
      </c>
    </row>
    <row r="799" spans="2:21" x14ac:dyDescent="0.2">
      <c r="B799" s="245">
        <v>46062</v>
      </c>
      <c r="C799" s="246">
        <v>327.32</v>
      </c>
      <c r="D799" s="246">
        <v>693.95</v>
      </c>
      <c r="E799" s="246">
        <v>52.18</v>
      </c>
      <c r="F799" s="248">
        <f t="shared" si="170"/>
        <v>1.112072161126898E-2</v>
      </c>
      <c r="G799" s="248">
        <f t="shared" si="171"/>
        <v>4.8217543656425832E-3</v>
      </c>
      <c r="H799" s="248">
        <f t="shared" si="172"/>
        <v>1.3007183071248374E-2</v>
      </c>
      <c r="I799" s="249">
        <f t="shared" si="173"/>
        <v>0.8205684409588947</v>
      </c>
      <c r="J799" s="249">
        <f t="shared" si="174"/>
        <v>0.71570202981679265</v>
      </c>
      <c r="K799" s="249">
        <f t="shared" si="175"/>
        <v>0.25387480475790025</v>
      </c>
      <c r="L799" s="250">
        <f t="shared" si="165"/>
        <v>182.05684409588966</v>
      </c>
      <c r="M799" s="250">
        <f t="shared" si="166"/>
        <v>171.57020298167973</v>
      </c>
      <c r="N799" s="250">
        <f t="shared" si="167"/>
        <v>125.38748047578999</v>
      </c>
      <c r="O799" s="248">
        <f t="shared" si="168"/>
        <v>6.112157549484265E-2</v>
      </c>
      <c r="P799" s="247">
        <f t="shared" si="169"/>
        <v>0.45195392239372123</v>
      </c>
      <c r="Q799" s="251">
        <f t="shared" si="176"/>
        <v>1.8205684409588947</v>
      </c>
      <c r="R799" s="251">
        <f t="shared" si="177"/>
        <v>1.8205684409588947</v>
      </c>
      <c r="S799" s="251">
        <f t="shared" si="178"/>
        <v>0</v>
      </c>
      <c r="T799" s="252">
        <f>C799*'1. Share_Price_Analysis'!$E$11+T798*(1-'1. Share_Price_Analysis'!$E$11)</f>
        <v>286.37103568635911</v>
      </c>
      <c r="U799" s="253">
        <f t="shared" si="179"/>
        <v>300.74158624448279</v>
      </c>
    </row>
    <row r="800" spans="2:21" x14ac:dyDescent="0.2">
      <c r="B800" s="245">
        <v>46063</v>
      </c>
      <c r="C800" s="246">
        <v>330.37</v>
      </c>
      <c r="D800" s="246">
        <v>692.12</v>
      </c>
      <c r="E800" s="246">
        <v>52.91</v>
      </c>
      <c r="F800" s="248">
        <f t="shared" si="170"/>
        <v>9.3180984968839198E-3</v>
      </c>
      <c r="G800" s="248">
        <f t="shared" si="171"/>
        <v>-2.6370775992506923E-3</v>
      </c>
      <c r="H800" s="248">
        <f t="shared" si="172"/>
        <v>1.3990034495975356E-2</v>
      </c>
      <c r="I800" s="249">
        <f t="shared" si="173"/>
        <v>0.83753267701206813</v>
      </c>
      <c r="J800" s="249">
        <f t="shared" si="174"/>
        <v>0.71117759042697393</v>
      </c>
      <c r="K800" s="249">
        <f t="shared" si="175"/>
        <v>0.27141655653009766</v>
      </c>
      <c r="L800" s="250">
        <f t="shared" si="165"/>
        <v>183.75326770120697</v>
      </c>
      <c r="M800" s="250">
        <f t="shared" si="166"/>
        <v>171.11775904269783</v>
      </c>
      <c r="N800" s="250">
        <f t="shared" si="167"/>
        <v>127.14165565300972</v>
      </c>
      <c r="O800" s="248">
        <f t="shared" si="168"/>
        <v>7.3841012932834182E-2</v>
      </c>
      <c r="P800" s="247">
        <f t="shared" si="169"/>
        <v>0.44526407775197874</v>
      </c>
      <c r="Q800" s="251">
        <f t="shared" si="176"/>
        <v>1.8375326770120681</v>
      </c>
      <c r="R800" s="251">
        <f t="shared" si="177"/>
        <v>1.8375326770120681</v>
      </c>
      <c r="S800" s="251">
        <f t="shared" si="178"/>
        <v>0</v>
      </c>
      <c r="T800" s="252">
        <f>C800*'1. Share_Price_Analysis'!$E$11+T799*(1-'1. Share_Price_Analysis'!$E$11)</f>
        <v>286.80883632629582</v>
      </c>
      <c r="U800" s="253">
        <f t="shared" si="179"/>
        <v>301.9034848231305</v>
      </c>
    </row>
    <row r="801" spans="2:21" x14ac:dyDescent="0.2">
      <c r="B801" s="245">
        <v>46064</v>
      </c>
      <c r="C801" s="246">
        <v>319.77999999999997</v>
      </c>
      <c r="D801" s="246">
        <v>691.96</v>
      </c>
      <c r="E801" s="246">
        <v>53.62</v>
      </c>
      <c r="F801" s="248">
        <f t="shared" si="170"/>
        <v>-3.2054968671489603E-2</v>
      </c>
      <c r="G801" s="248">
        <f t="shared" si="171"/>
        <v>-2.3117378489279083E-4</v>
      </c>
      <c r="H801" s="248">
        <f t="shared" si="172"/>
        <v>1.3419013419013526E-2</v>
      </c>
      <c r="I801" s="249">
        <f t="shared" si="173"/>
        <v>0.77863062461760779</v>
      </c>
      <c r="J801" s="249">
        <f t="shared" si="174"/>
        <v>0.7107820110267713</v>
      </c>
      <c r="K801" s="249">
        <f t="shared" si="175"/>
        <v>0.28847771236333108</v>
      </c>
      <c r="L801" s="250">
        <f t="shared" si="165"/>
        <v>177.86306246176093</v>
      </c>
      <c r="M801" s="250">
        <f t="shared" si="166"/>
        <v>171.07820110267758</v>
      </c>
      <c r="N801" s="250">
        <f t="shared" si="167"/>
        <v>128.84777123633305</v>
      </c>
      <c r="O801" s="248">
        <f t="shared" si="168"/>
        <v>3.9659414907054824E-2</v>
      </c>
      <c r="P801" s="247">
        <f t="shared" si="169"/>
        <v>0.38041241035922635</v>
      </c>
      <c r="Q801" s="251">
        <f t="shared" si="176"/>
        <v>1.7786306246176078</v>
      </c>
      <c r="R801" s="251">
        <f t="shared" si="177"/>
        <v>1.8375326770120681</v>
      </c>
      <c r="S801" s="251">
        <f t="shared" si="178"/>
        <v>-3.2054968671489603E-2</v>
      </c>
      <c r="T801" s="252">
        <f>C801*'1. Share_Price_Analysis'!$E$11+T800*(1-'1. Share_Price_Analysis'!$E$11)</f>
        <v>287.13690760663115</v>
      </c>
      <c r="U801" s="253">
        <f t="shared" si="179"/>
        <v>302.60452463398815</v>
      </c>
    </row>
    <row r="802" spans="2:21" x14ac:dyDescent="0.2">
      <c r="B802" s="245">
        <v>46065</v>
      </c>
      <c r="C802" s="246">
        <v>321.92</v>
      </c>
      <c r="D802" s="246">
        <v>681.27</v>
      </c>
      <c r="E802" s="246">
        <v>52.83</v>
      </c>
      <c r="F802" s="248">
        <f t="shared" si="170"/>
        <v>6.6921008193134845E-3</v>
      </c>
      <c r="G802" s="248">
        <f t="shared" si="171"/>
        <v>-1.5448869876871552E-2</v>
      </c>
      <c r="H802" s="248">
        <f t="shared" si="172"/>
        <v>-1.4733308466989947E-2</v>
      </c>
      <c r="I802" s="249">
        <f t="shared" si="173"/>
        <v>0.79053340007786743</v>
      </c>
      <c r="J802" s="249">
        <f t="shared" si="174"/>
        <v>0.68435236235072616</v>
      </c>
      <c r="K802" s="249">
        <f t="shared" si="175"/>
        <v>0.26949417277424059</v>
      </c>
      <c r="L802" s="250">
        <f t="shared" si="165"/>
        <v>179.05334000778689</v>
      </c>
      <c r="M802" s="250">
        <f t="shared" si="166"/>
        <v>168.43523623507303</v>
      </c>
      <c r="N802" s="250">
        <f t="shared" si="167"/>
        <v>126.94941727742399</v>
      </c>
      <c r="O802" s="248">
        <f t="shared" si="168"/>
        <v>6.3039682254461438E-2</v>
      </c>
      <c r="P802" s="247">
        <f t="shared" si="169"/>
        <v>0.41043057816090145</v>
      </c>
      <c r="Q802" s="251">
        <f t="shared" si="176"/>
        <v>1.7905334000778674</v>
      </c>
      <c r="R802" s="251">
        <f t="shared" si="177"/>
        <v>1.8375326770120681</v>
      </c>
      <c r="S802" s="251">
        <f t="shared" si="178"/>
        <v>-2.5577382934285686E-2</v>
      </c>
      <c r="T802" s="252">
        <f>C802*'1. Share_Price_Analysis'!$E$11+T801*(1-'1. Share_Price_Analysis'!$E$11)</f>
        <v>287.48300802845574</v>
      </c>
      <c r="U802" s="253">
        <f t="shared" si="179"/>
        <v>303.36199425618469</v>
      </c>
    </row>
    <row r="803" spans="2:21" x14ac:dyDescent="0.2">
      <c r="B803" s="245">
        <v>46066</v>
      </c>
      <c r="C803" s="246">
        <v>327.64999999999998</v>
      </c>
      <c r="D803" s="246">
        <v>681.75</v>
      </c>
      <c r="E803" s="246">
        <v>53.31</v>
      </c>
      <c r="F803" s="248">
        <f t="shared" si="170"/>
        <v>1.7799453280318067E-2</v>
      </c>
      <c r="G803" s="248">
        <f t="shared" si="171"/>
        <v>7.0456647144312434E-4</v>
      </c>
      <c r="H803" s="248">
        <f t="shared" si="172"/>
        <v>9.0857467348097742E-3</v>
      </c>
      <c r="I803" s="249">
        <f t="shared" si="173"/>
        <v>0.82240391567940252</v>
      </c>
      <c r="J803" s="249">
        <f t="shared" si="174"/>
        <v>0.68553910055133449</v>
      </c>
      <c r="K803" s="249">
        <f t="shared" si="175"/>
        <v>0.28102847530938413</v>
      </c>
      <c r="L803" s="250">
        <f t="shared" si="165"/>
        <v>182.24039156794035</v>
      </c>
      <c r="M803" s="250">
        <f t="shared" si="166"/>
        <v>168.55391005513388</v>
      </c>
      <c r="N803" s="250">
        <f t="shared" si="167"/>
        <v>128.10284753093836</v>
      </c>
      <c r="O803" s="248">
        <f t="shared" si="168"/>
        <v>8.1199430546167628E-2</v>
      </c>
      <c r="P803" s="247">
        <f t="shared" si="169"/>
        <v>0.42260999720499548</v>
      </c>
      <c r="Q803" s="251">
        <f t="shared" si="176"/>
        <v>1.8224039156794025</v>
      </c>
      <c r="R803" s="251">
        <f t="shared" si="177"/>
        <v>1.8375326770120681</v>
      </c>
      <c r="S803" s="251">
        <f t="shared" si="178"/>
        <v>-8.2331930865391367E-3</v>
      </c>
      <c r="T803" s="252">
        <f>C803*'1. Share_Price_Analysis'!$E$11+T802*(1-'1. Share_Price_Analysis'!$E$11)</f>
        <v>287.88267959036165</v>
      </c>
      <c r="U803" s="253">
        <f t="shared" si="179"/>
        <v>304.31446506966768</v>
      </c>
    </row>
    <row r="804" spans="2:21" x14ac:dyDescent="0.2">
      <c r="B804" s="245">
        <v>46070</v>
      </c>
      <c r="C804" s="246">
        <v>302.22000000000003</v>
      </c>
      <c r="D804" s="246">
        <v>682.85</v>
      </c>
      <c r="E804" s="246">
        <v>52.7</v>
      </c>
      <c r="F804" s="248">
        <f t="shared" si="170"/>
        <v>-7.7613306882343802E-2</v>
      </c>
      <c r="G804" s="248">
        <f t="shared" si="171"/>
        <v>1.6134946828016972E-3</v>
      </c>
      <c r="H804" s="248">
        <f t="shared" si="172"/>
        <v>-1.1442506096417171E-2</v>
      </c>
      <c r="I804" s="249">
        <f t="shared" si="173"/>
        <v>0.68096112130819209</v>
      </c>
      <c r="J804" s="249">
        <f t="shared" si="174"/>
        <v>0.68825870892772834</v>
      </c>
      <c r="K804" s="249">
        <f t="shared" si="175"/>
        <v>0.26637029917097244</v>
      </c>
      <c r="L804" s="250">
        <f t="shared" si="165"/>
        <v>168.09611213081931</v>
      </c>
      <c r="M804" s="250">
        <f t="shared" si="166"/>
        <v>168.82587089277325</v>
      </c>
      <c r="N804" s="250">
        <f t="shared" si="167"/>
        <v>126.63702991709719</v>
      </c>
      <c r="O804" s="248">
        <f t="shared" si="168"/>
        <v>-4.3225529244692584E-3</v>
      </c>
      <c r="P804" s="247">
        <f t="shared" si="169"/>
        <v>0.32738514351499792</v>
      </c>
      <c r="Q804" s="251">
        <f t="shared" si="176"/>
        <v>1.6809611213081921</v>
      </c>
      <c r="R804" s="251">
        <f t="shared" si="177"/>
        <v>1.8375326770120681</v>
      </c>
      <c r="S804" s="251">
        <f t="shared" si="178"/>
        <v>-8.5207494627235869E-2</v>
      </c>
      <c r="T804" s="252">
        <f>C804*'1. Share_Price_Analysis'!$E$11+T803*(1-'1. Share_Price_Analysis'!$E$11)</f>
        <v>288.02533949493517</v>
      </c>
      <c r="U804" s="253">
        <f t="shared" si="179"/>
        <v>304.23232918458268</v>
      </c>
    </row>
    <row r="805" spans="2:21" x14ac:dyDescent="0.2">
      <c r="B805" s="245">
        <v>46071</v>
      </c>
      <c r="C805" s="246">
        <v>299.36</v>
      </c>
      <c r="D805" s="246">
        <v>686.29</v>
      </c>
      <c r="E805" s="246">
        <v>53.02</v>
      </c>
      <c r="F805" s="248">
        <f t="shared" si="170"/>
        <v>-9.4633048772417849E-3</v>
      </c>
      <c r="G805" s="248">
        <f t="shared" si="171"/>
        <v>5.037709599472695E-3</v>
      </c>
      <c r="H805" s="248">
        <f t="shared" si="172"/>
        <v>6.0721062618596111E-3</v>
      </c>
      <c r="I805" s="249">
        <f t="shared" si="173"/>
        <v>0.66505367373046242</v>
      </c>
      <c r="J805" s="249">
        <f t="shared" si="174"/>
        <v>0.69676366603208684</v>
      </c>
      <c r="K805" s="249">
        <f t="shared" si="175"/>
        <v>0.27405983419440161</v>
      </c>
      <c r="L805" s="250">
        <f t="shared" si="165"/>
        <v>166.50536737304634</v>
      </c>
      <c r="M805" s="250">
        <f t="shared" si="166"/>
        <v>169.67636660320912</v>
      </c>
      <c r="N805" s="250">
        <f t="shared" si="167"/>
        <v>127.40598341944012</v>
      </c>
      <c r="O805" s="248">
        <f t="shared" si="168"/>
        <v>-1.8688514456334904E-2</v>
      </c>
      <c r="P805" s="247">
        <f t="shared" si="169"/>
        <v>0.30688812961699674</v>
      </c>
      <c r="Q805" s="251">
        <f t="shared" si="176"/>
        <v>1.6650536737304624</v>
      </c>
      <c r="R805" s="251">
        <f t="shared" si="177"/>
        <v>1.8375326770120681</v>
      </c>
      <c r="S805" s="251">
        <f t="shared" si="178"/>
        <v>-9.3864455004994185E-2</v>
      </c>
      <c r="T805" s="252">
        <f>C805*'1. Share_Price_Analysis'!$E$11+T804*(1-'1. Share_Price_Analysis'!$E$11)</f>
        <v>288.13812218652788</v>
      </c>
      <c r="U805" s="253">
        <f t="shared" si="179"/>
        <v>304.04125745185399</v>
      </c>
    </row>
    <row r="806" spans="2:21" x14ac:dyDescent="0.2">
      <c r="B806" s="245">
        <v>46072</v>
      </c>
      <c r="C806" s="246">
        <v>302.85000000000002</v>
      </c>
      <c r="D806" s="246">
        <v>684.48</v>
      </c>
      <c r="E806" s="246">
        <v>52.83</v>
      </c>
      <c r="F806" s="248">
        <f t="shared" si="170"/>
        <v>1.1658204168893738E-2</v>
      </c>
      <c r="G806" s="248">
        <f t="shared" si="171"/>
        <v>-2.6373690422415441E-3</v>
      </c>
      <c r="H806" s="248">
        <f t="shared" si="172"/>
        <v>-3.583553376084625E-3</v>
      </c>
      <c r="I806" s="249">
        <f t="shared" si="173"/>
        <v>0.68446520941097866</v>
      </c>
      <c r="J806" s="249">
        <f t="shared" si="174"/>
        <v>0.69228867406729355</v>
      </c>
      <c r="K806" s="249">
        <f t="shared" si="175"/>
        <v>0.26949417277424037</v>
      </c>
      <c r="L806" s="250">
        <f t="shared" si="165"/>
        <v>168.44652094109799</v>
      </c>
      <c r="M806" s="250">
        <f t="shared" si="166"/>
        <v>169.22886740672979</v>
      </c>
      <c r="N806" s="250">
        <f t="shared" si="167"/>
        <v>126.94941727742399</v>
      </c>
      <c r="O806" s="248">
        <f t="shared" si="168"/>
        <v>-4.6230083414265932E-3</v>
      </c>
      <c r="P806" s="247">
        <f t="shared" si="169"/>
        <v>0.32687904012185998</v>
      </c>
      <c r="Q806" s="251">
        <f t="shared" si="176"/>
        <v>1.6844652094109787</v>
      </c>
      <c r="R806" s="251">
        <f t="shared" si="177"/>
        <v>1.8375326770120681</v>
      </c>
      <c r="S806" s="251">
        <f t="shared" si="178"/>
        <v>-8.3300541816750617E-2</v>
      </c>
      <c r="T806" s="252">
        <f>C806*'1. Share_Price_Analysis'!$E$11+T805*(1-'1. Share_Price_Analysis'!$E$11)</f>
        <v>288.28450903044302</v>
      </c>
      <c r="U806" s="253">
        <f t="shared" si="179"/>
        <v>303.9945414733499</v>
      </c>
    </row>
    <row r="807" spans="2:21" x14ac:dyDescent="0.2">
      <c r="B807" s="245">
        <v>46073</v>
      </c>
      <c r="C807" s="246">
        <v>305.29000000000002</v>
      </c>
      <c r="D807" s="246">
        <v>689.43</v>
      </c>
      <c r="E807" s="246">
        <v>52.96</v>
      </c>
      <c r="F807" s="248">
        <f t="shared" si="170"/>
        <v>8.0567937923063937E-3</v>
      </c>
      <c r="G807" s="248">
        <f t="shared" si="171"/>
        <v>7.2317671809256634E-3</v>
      </c>
      <c r="H807" s="248">
        <f t="shared" si="172"/>
        <v>2.4607230740110175E-3</v>
      </c>
      <c r="I807" s="249">
        <f t="shared" si="173"/>
        <v>0.69803659825351705</v>
      </c>
      <c r="J807" s="249">
        <f t="shared" si="174"/>
        <v>0.70452691176106552</v>
      </c>
      <c r="K807" s="249">
        <f t="shared" si="175"/>
        <v>0.27261804637750853</v>
      </c>
      <c r="L807" s="250">
        <f t="shared" si="165"/>
        <v>169.80365982535182</v>
      </c>
      <c r="M807" s="250">
        <f t="shared" si="166"/>
        <v>170.45269117610698</v>
      </c>
      <c r="N807" s="250">
        <f t="shared" si="167"/>
        <v>127.26180463775081</v>
      </c>
      <c r="O807" s="248">
        <f t="shared" si="168"/>
        <v>-3.8076920128194969E-3</v>
      </c>
      <c r="P807" s="247">
        <f t="shared" si="169"/>
        <v>0.33428612228701082</v>
      </c>
      <c r="Q807" s="251">
        <f t="shared" si="176"/>
        <v>1.698036598253517</v>
      </c>
      <c r="R807" s="251">
        <f t="shared" si="177"/>
        <v>1.8375326770120681</v>
      </c>
      <c r="S807" s="251">
        <f t="shared" si="178"/>
        <v>-7.5914883312649173E-2</v>
      </c>
      <c r="T807" s="252">
        <f>C807*'1. Share_Price_Analysis'!$E$11+T806*(1-'1. Share_Price_Analysis'!$E$11)</f>
        <v>288.45371789581179</v>
      </c>
      <c r="U807" s="253">
        <f t="shared" si="179"/>
        <v>304.04534376851268</v>
      </c>
    </row>
    <row r="808" spans="2:21" x14ac:dyDescent="0.2">
      <c r="B808" s="245">
        <v>46076</v>
      </c>
      <c r="C808" s="246">
        <v>310.79000000000002</v>
      </c>
      <c r="D808" s="246">
        <v>682.39</v>
      </c>
      <c r="E808" s="246">
        <v>52.96</v>
      </c>
      <c r="F808" s="248">
        <f t="shared" si="170"/>
        <v>1.8015657243932059E-2</v>
      </c>
      <c r="G808" s="248">
        <f t="shared" si="171"/>
        <v>-1.0211334000551076E-2</v>
      </c>
      <c r="H808" s="248">
        <f t="shared" si="172"/>
        <v>0</v>
      </c>
      <c r="I808" s="249">
        <f t="shared" si="173"/>
        <v>0.72862784359530486</v>
      </c>
      <c r="J808" s="249">
        <f t="shared" si="174"/>
        <v>0.68712141815214545</v>
      </c>
      <c r="K808" s="249">
        <f t="shared" si="175"/>
        <v>0.27261804637750853</v>
      </c>
      <c r="L808" s="250">
        <f t="shared" si="165"/>
        <v>172.86278435953056</v>
      </c>
      <c r="M808" s="250">
        <f t="shared" si="166"/>
        <v>168.71214181521498</v>
      </c>
      <c r="N808" s="250">
        <f t="shared" si="167"/>
        <v>127.26180463775081</v>
      </c>
      <c r="O808" s="248">
        <f t="shared" si="168"/>
        <v>2.460191957530844E-2</v>
      </c>
      <c r="P808" s="247">
        <f t="shared" si="169"/>
        <v>0.35832416373146891</v>
      </c>
      <c r="Q808" s="251">
        <f t="shared" si="176"/>
        <v>1.7286278435953049</v>
      </c>
      <c r="R808" s="251">
        <f t="shared" si="177"/>
        <v>1.8375326770120681</v>
      </c>
      <c r="S808" s="251">
        <f t="shared" si="178"/>
        <v>-5.9266882586190839E-2</v>
      </c>
      <c r="T808" s="252">
        <f>C808*'1. Share_Price_Analysis'!$E$11+T807*(1-'1. Share_Price_Analysis'!$E$11)</f>
        <v>288.67596945903756</v>
      </c>
      <c r="U808" s="253">
        <f t="shared" si="179"/>
        <v>304.30984009131612</v>
      </c>
    </row>
    <row r="809" spans="2:21" x14ac:dyDescent="0.2">
      <c r="B809" s="245">
        <v>46077</v>
      </c>
      <c r="C809" s="246">
        <v>317.89</v>
      </c>
      <c r="D809" s="246">
        <v>687.35</v>
      </c>
      <c r="E809" s="246">
        <v>53.36</v>
      </c>
      <c r="F809" s="248">
        <f t="shared" si="170"/>
        <v>2.284500788313637E-2</v>
      </c>
      <c r="G809" s="248">
        <f t="shared" si="171"/>
        <v>7.2685707586570558E-3</v>
      </c>
      <c r="H809" s="248">
        <f t="shared" si="172"/>
        <v>7.5528700906344337E-3</v>
      </c>
      <c r="I809" s="249">
        <f t="shared" si="173"/>
        <v>0.76811836030924852</v>
      </c>
      <c r="J809" s="249">
        <f t="shared" si="174"/>
        <v>0.69938437955843025</v>
      </c>
      <c r="K809" s="249">
        <f t="shared" si="175"/>
        <v>0.28222996515679477</v>
      </c>
      <c r="L809" s="250">
        <f t="shared" si="165"/>
        <v>176.81183603092495</v>
      </c>
      <c r="M809" s="250">
        <f t="shared" si="166"/>
        <v>169.93843795584345</v>
      </c>
      <c r="N809" s="250">
        <f t="shared" si="167"/>
        <v>128.22299651567943</v>
      </c>
      <c r="O809" s="248">
        <f t="shared" si="168"/>
        <v>4.0446400224461332E-2</v>
      </c>
      <c r="P809" s="247">
        <f t="shared" si="169"/>
        <v>0.37894013426291906</v>
      </c>
      <c r="Q809" s="251">
        <f t="shared" si="176"/>
        <v>1.7681183603092485</v>
      </c>
      <c r="R809" s="251">
        <f t="shared" si="177"/>
        <v>1.8375326770120681</v>
      </c>
      <c r="S809" s="251">
        <f t="shared" si="178"/>
        <v>-3.7775827102945025E-2</v>
      </c>
      <c r="T809" s="252">
        <f>C809*'1. Share_Price_Analysis'!$E$11+T808*(1-'1. Share_Price_Analysis'!$E$11)</f>
        <v>288.96665633009195</v>
      </c>
      <c r="U809" s="253">
        <f t="shared" si="179"/>
        <v>304.84239538185273</v>
      </c>
    </row>
    <row r="810" spans="2:21" x14ac:dyDescent="0.2">
      <c r="B810" s="245">
        <v>46078</v>
      </c>
      <c r="C810" s="246">
        <v>305.52999999999997</v>
      </c>
      <c r="D810" s="246">
        <v>693.15</v>
      </c>
      <c r="E810" s="246">
        <v>53.06</v>
      </c>
      <c r="F810" s="248">
        <f t="shared" si="170"/>
        <v>-3.8881374060209528E-2</v>
      </c>
      <c r="G810" s="248">
        <f t="shared" si="171"/>
        <v>8.4382046992070858E-3</v>
      </c>
      <c r="H810" s="248">
        <f t="shared" si="172"/>
        <v>-5.6221889055472207E-3</v>
      </c>
      <c r="I810" s="249">
        <f t="shared" si="173"/>
        <v>0.69937148895934032</v>
      </c>
      <c r="J810" s="249">
        <f t="shared" si="174"/>
        <v>0.71372413281577929</v>
      </c>
      <c r="K810" s="249">
        <f t="shared" si="175"/>
        <v>0.27502102607233003</v>
      </c>
      <c r="L810" s="250">
        <f t="shared" si="165"/>
        <v>169.93714889593414</v>
      </c>
      <c r="M810" s="250">
        <f t="shared" si="166"/>
        <v>171.37241328157836</v>
      </c>
      <c r="N810" s="250">
        <f t="shared" si="167"/>
        <v>127.50210260723296</v>
      </c>
      <c r="O810" s="248">
        <f t="shared" si="168"/>
        <v>-8.3751191814381842E-3</v>
      </c>
      <c r="P810" s="247">
        <f t="shared" si="169"/>
        <v>0.33281840393974615</v>
      </c>
      <c r="Q810" s="251">
        <f t="shared" si="176"/>
        <v>1.6993714889593403</v>
      </c>
      <c r="R810" s="251">
        <f t="shared" si="177"/>
        <v>1.8375326770120681</v>
      </c>
      <c r="S810" s="251">
        <f t="shared" si="178"/>
        <v>-7.5188425099131151E-2</v>
      </c>
      <c r="T810" s="252">
        <f>C810*'1. Share_Price_Analysis'!$E$11+T809*(1-'1. Share_Price_Analysis'!$E$11)</f>
        <v>289.13146571984231</v>
      </c>
      <c r="U810" s="253">
        <f t="shared" si="179"/>
        <v>304.86936026883893</v>
      </c>
    </row>
    <row r="811" spans="2:21" x14ac:dyDescent="0.2">
      <c r="B811" s="245">
        <v>46079</v>
      </c>
      <c r="C811" s="246">
        <v>308.99</v>
      </c>
      <c r="D811" s="246">
        <v>689.3</v>
      </c>
      <c r="E811" s="246">
        <v>53</v>
      </c>
      <c r="F811" s="248">
        <f t="shared" si="170"/>
        <v>1.1324583510621045E-2</v>
      </c>
      <c r="G811" s="248">
        <f t="shared" si="171"/>
        <v>-5.5543533145784307E-3</v>
      </c>
      <c r="H811" s="248">
        <f t="shared" si="172"/>
        <v>-1.1307953260459858E-3</v>
      </c>
      <c r="I811" s="249">
        <f t="shared" si="173"/>
        <v>0.71861616330162881</v>
      </c>
      <c r="J811" s="249">
        <f t="shared" si="174"/>
        <v>0.70420550349840094</v>
      </c>
      <c r="K811" s="249">
        <f t="shared" si="175"/>
        <v>0.27357923825543717</v>
      </c>
      <c r="L811" s="250">
        <f t="shared" si="165"/>
        <v>171.86161633016297</v>
      </c>
      <c r="M811" s="250">
        <f t="shared" si="166"/>
        <v>170.42055034984051</v>
      </c>
      <c r="N811" s="250">
        <f t="shared" si="167"/>
        <v>127.35792382554368</v>
      </c>
      <c r="O811" s="248">
        <f t="shared" si="168"/>
        <v>8.4559401865829109E-3</v>
      </c>
      <c r="P811" s="247">
        <f t="shared" si="169"/>
        <v>0.34943795539240119</v>
      </c>
      <c r="Q811" s="251">
        <f t="shared" si="176"/>
        <v>1.7186161633016288</v>
      </c>
      <c r="R811" s="251">
        <f t="shared" si="177"/>
        <v>1.8375326770120681</v>
      </c>
      <c r="S811" s="251">
        <f t="shared" si="178"/>
        <v>-6.4715319187577225E-2</v>
      </c>
      <c r="T811" s="252">
        <f>C811*'1. Share_Price_Analysis'!$E$11+T810*(1-'1. Share_Price_Analysis'!$E$11)</f>
        <v>289.32906307586381</v>
      </c>
      <c r="U811" s="253">
        <f t="shared" si="179"/>
        <v>305.03095398378645</v>
      </c>
    </row>
    <row r="812" spans="2:21" x14ac:dyDescent="0.2">
      <c r="B812" s="245">
        <v>46080</v>
      </c>
      <c r="C812" s="246">
        <v>310</v>
      </c>
      <c r="D812" s="246">
        <v>685.99</v>
      </c>
      <c r="E812" s="246">
        <v>53.41</v>
      </c>
      <c r="F812" s="248">
        <f t="shared" si="170"/>
        <v>3.2687141978704481E-3</v>
      </c>
      <c r="G812" s="248">
        <f t="shared" si="171"/>
        <v>-4.8019730161031893E-3</v>
      </c>
      <c r="H812" s="248">
        <f t="shared" si="172"/>
        <v>7.7358490566037386E-3</v>
      </c>
      <c r="I812" s="249">
        <f t="shared" si="173"/>
        <v>0.72423382835530248</v>
      </c>
      <c r="J812" s="249">
        <f t="shared" si="174"/>
        <v>0.69602195465670702</v>
      </c>
      <c r="K812" s="249">
        <f t="shared" si="175"/>
        <v>0.28343145500420563</v>
      </c>
      <c r="L812" s="250">
        <f t="shared" si="165"/>
        <v>172.42338283553036</v>
      </c>
      <c r="M812" s="250">
        <f t="shared" si="166"/>
        <v>169.60219546567112</v>
      </c>
      <c r="N812" s="250">
        <f t="shared" si="167"/>
        <v>128.34314550042049</v>
      </c>
      <c r="O812" s="248">
        <f t="shared" si="168"/>
        <v>1.6634144163720999E-2</v>
      </c>
      <c r="P812" s="247">
        <f t="shared" si="169"/>
        <v>0.34345610872506804</v>
      </c>
      <c r="Q812" s="251">
        <f t="shared" si="176"/>
        <v>1.7242338283553025</v>
      </c>
      <c r="R812" s="251">
        <f t="shared" si="177"/>
        <v>1.8375326770120681</v>
      </c>
      <c r="S812" s="251">
        <f t="shared" si="178"/>
        <v>-6.1658140872354994E-2</v>
      </c>
      <c r="T812" s="252">
        <f>C812*'1. Share_Price_Analysis'!$E$11+T811*(1-'1. Share_Price_Analysis'!$E$11)</f>
        <v>289.5347440402831</v>
      </c>
      <c r="U812" s="253">
        <f t="shared" si="179"/>
        <v>305.22581853344184</v>
      </c>
    </row>
    <row r="813" spans="2:21" x14ac:dyDescent="0.2">
      <c r="B813" s="245">
        <v>46083</v>
      </c>
      <c r="C813" s="246">
        <v>306.2</v>
      </c>
      <c r="D813" s="246">
        <v>686.38</v>
      </c>
      <c r="E813" s="246">
        <v>53.25</v>
      </c>
      <c r="F813" s="248">
        <f t="shared" si="170"/>
        <v>-1.2258064516129097E-2</v>
      </c>
      <c r="G813" s="248">
        <f t="shared" si="171"/>
        <v>5.6852140701768583E-4</v>
      </c>
      <c r="H813" s="248">
        <f t="shared" si="172"/>
        <v>-2.9956936903201559E-3</v>
      </c>
      <c r="I813" s="249">
        <f t="shared" si="173"/>
        <v>0.70309805884643084</v>
      </c>
      <c r="J813" s="249">
        <f t="shared" si="174"/>
        <v>0.69698617944470143</v>
      </c>
      <c r="K813" s="249">
        <f t="shared" si="175"/>
        <v>0.27958668749249105</v>
      </c>
      <c r="L813" s="250">
        <f t="shared" si="165"/>
        <v>170.3098058846432</v>
      </c>
      <c r="M813" s="250">
        <f t="shared" si="166"/>
        <v>169.69861794447053</v>
      </c>
      <c r="N813" s="250">
        <f t="shared" si="167"/>
        <v>127.95866874924906</v>
      </c>
      <c r="O813" s="248">
        <f t="shared" si="168"/>
        <v>3.6016082368621749E-3</v>
      </c>
      <c r="P813" s="247">
        <f t="shared" si="169"/>
        <v>0.33097513087125252</v>
      </c>
      <c r="Q813" s="251">
        <f t="shared" si="176"/>
        <v>1.7030980588464308</v>
      </c>
      <c r="R813" s="251">
        <f t="shared" si="177"/>
        <v>1.8375326770120681</v>
      </c>
      <c r="S813" s="251">
        <f t="shared" si="178"/>
        <v>-7.3160395919726229E-2</v>
      </c>
      <c r="T813" s="252">
        <f>C813*'1. Share_Price_Analysis'!$E$11+T812*(1-'1. Share_Price_Analysis'!$E$11)</f>
        <v>289.70056748266836</v>
      </c>
      <c r="U813" s="253">
        <f t="shared" si="179"/>
        <v>305.26402172820883</v>
      </c>
    </row>
    <row r="814" spans="2:21" x14ac:dyDescent="0.2">
      <c r="B814" s="245">
        <v>46084</v>
      </c>
      <c r="C814" s="246">
        <v>300</v>
      </c>
      <c r="D814" s="246">
        <v>680.33</v>
      </c>
      <c r="E814" s="246">
        <v>51.94</v>
      </c>
      <c r="F814" s="248">
        <f t="shared" si="170"/>
        <v>-2.0248203788373553E-2</v>
      </c>
      <c r="G814" s="248">
        <f t="shared" si="171"/>
        <v>-8.8143593927560993E-3</v>
      </c>
      <c r="H814" s="248">
        <f t="shared" si="172"/>
        <v>-2.4600938967136221E-2</v>
      </c>
      <c r="I814" s="249">
        <f t="shared" si="173"/>
        <v>0.66861338227932499</v>
      </c>
      <c r="J814" s="249">
        <f t="shared" si="174"/>
        <v>0.68202833337453583</v>
      </c>
      <c r="K814" s="249">
        <f t="shared" si="175"/>
        <v>0.24810765349032837</v>
      </c>
      <c r="L814" s="250">
        <f t="shared" si="165"/>
        <v>166.86133822793258</v>
      </c>
      <c r="M814" s="250">
        <f t="shared" si="166"/>
        <v>168.20283333745397</v>
      </c>
      <c r="N814" s="250">
        <f t="shared" si="167"/>
        <v>124.81076534903279</v>
      </c>
      <c r="O814" s="248">
        <f t="shared" si="168"/>
        <v>-7.9754608344184685E-3</v>
      </c>
      <c r="P814" s="247">
        <f t="shared" si="169"/>
        <v>0.3369146304111299</v>
      </c>
      <c r="Q814" s="251">
        <f t="shared" si="176"/>
        <v>1.668613382279325</v>
      </c>
      <c r="R814" s="251">
        <f t="shared" si="177"/>
        <v>1.8375326770120681</v>
      </c>
      <c r="S814" s="251">
        <f t="shared" si="178"/>
        <v>-9.1927233102279016E-2</v>
      </c>
      <c r="T814" s="252">
        <f>C814*'1. Share_Price_Analysis'!$E$11+T813*(1-'1. Share_Price_Analysis'!$E$11)</f>
        <v>289.80304939826374</v>
      </c>
      <c r="U814" s="253">
        <f t="shared" si="179"/>
        <v>305.05758950357318</v>
      </c>
    </row>
    <row r="815" spans="2:21" x14ac:dyDescent="0.2">
      <c r="B815" s="245">
        <v>46085</v>
      </c>
      <c r="C815" s="246">
        <v>295.98</v>
      </c>
      <c r="D815" s="246">
        <v>685.13</v>
      </c>
      <c r="E815" s="246">
        <v>51.92</v>
      </c>
      <c r="F815" s="248">
        <f t="shared" si="170"/>
        <v>-1.3399999999999967E-2</v>
      </c>
      <c r="G815" s="248">
        <f t="shared" si="171"/>
        <v>7.0553995854951701E-3</v>
      </c>
      <c r="H815" s="248">
        <f t="shared" si="172"/>
        <v>-3.850596842509546E-4</v>
      </c>
      <c r="I815" s="249">
        <f t="shared" si="173"/>
        <v>0.64625396295678206</v>
      </c>
      <c r="J815" s="249">
        <f t="shared" si="174"/>
        <v>0.69389571538061756</v>
      </c>
      <c r="K815" s="249">
        <f t="shared" si="175"/>
        <v>0.24762705755136416</v>
      </c>
      <c r="L815" s="250">
        <f t="shared" si="165"/>
        <v>164.62539629567831</v>
      </c>
      <c r="M815" s="250">
        <f t="shared" si="166"/>
        <v>169.38957153806214</v>
      </c>
      <c r="N815" s="250">
        <f t="shared" si="167"/>
        <v>124.76270575513637</v>
      </c>
      <c r="O815" s="248">
        <f t="shared" si="168"/>
        <v>-2.8125552235150675E-2</v>
      </c>
      <c r="P815" s="247">
        <f t="shared" si="169"/>
        <v>0.31950806372200424</v>
      </c>
      <c r="Q815" s="251">
        <f t="shared" si="176"/>
        <v>1.6462539629567821</v>
      </c>
      <c r="R815" s="251">
        <f t="shared" si="177"/>
        <v>1.8375326770120681</v>
      </c>
      <c r="S815" s="251">
        <f t="shared" si="178"/>
        <v>-0.10409540817870844</v>
      </c>
      <c r="T815" s="247"/>
      <c r="U815" s="24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B1:AA134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T13" sqref="T13"/>
    </sheetView>
  </sheetViews>
  <sheetFormatPr baseColWidth="10" defaultRowHeight="13" outlineLevelRow="1" x14ac:dyDescent="0.15"/>
  <cols>
    <col min="1" max="1" width="3" style="6" customWidth="1"/>
    <col min="2" max="2" width="33.33203125" style="8" customWidth="1"/>
    <col min="3" max="11" width="13.33203125" style="6" customWidth="1"/>
    <col min="12" max="12" width="13.33203125" style="7" customWidth="1"/>
    <col min="13" max="13" width="11.6640625" style="6" customWidth="1"/>
    <col min="14" max="20" width="10.83203125" style="6" customWidth="1"/>
    <col min="21" max="27" width="13" style="6" hidden="1" customWidth="1"/>
    <col min="28" max="44" width="10.83203125" style="6" customWidth="1"/>
    <col min="45" max="16384" width="10.83203125" style="6"/>
  </cols>
  <sheetData>
    <row r="1" spans="2:27" s="82" customFormat="1" ht="20" customHeight="1" x14ac:dyDescent="0.15">
      <c r="B1" s="85" t="s">
        <v>263</v>
      </c>
      <c r="C1" s="84"/>
      <c r="D1" s="84"/>
      <c r="E1" s="84"/>
      <c r="F1" s="84"/>
      <c r="G1" s="84"/>
      <c r="H1" s="84"/>
      <c r="I1" s="84"/>
      <c r="J1" s="84"/>
      <c r="K1" s="84"/>
      <c r="L1" s="83"/>
    </row>
    <row r="2" spans="2:27" s="8" customFormat="1" ht="23" customHeight="1" x14ac:dyDescent="0.15">
      <c r="B2" s="39" t="s">
        <v>264</v>
      </c>
      <c r="L2" s="54"/>
    </row>
    <row r="3" spans="2:27" ht="16" customHeight="1" x14ac:dyDescent="0.15">
      <c r="B3" s="81" t="s">
        <v>2</v>
      </c>
      <c r="C3" s="28">
        <v>2021</v>
      </c>
      <c r="D3" s="28">
        <v>2022</v>
      </c>
      <c r="E3" s="28">
        <v>2023</v>
      </c>
      <c r="F3" s="28">
        <v>2024</v>
      </c>
      <c r="G3" s="28">
        <v>2025</v>
      </c>
      <c r="H3" s="28" t="s">
        <v>265</v>
      </c>
      <c r="I3" s="28" t="s">
        <v>266</v>
      </c>
      <c r="J3" s="28" t="s">
        <v>267</v>
      </c>
      <c r="K3" s="28" t="s">
        <v>268</v>
      </c>
      <c r="L3" s="29" t="s">
        <v>269</v>
      </c>
      <c r="U3" s="76"/>
      <c r="V3" s="76"/>
      <c r="W3" s="76"/>
      <c r="X3" s="76"/>
      <c r="Y3" s="76"/>
      <c r="Z3" s="76"/>
      <c r="AA3" s="76"/>
    </row>
    <row r="4" spans="2:27" ht="16" customHeight="1" x14ac:dyDescent="0.15">
      <c r="B4" s="70" t="s">
        <v>60</v>
      </c>
      <c r="C4" s="51"/>
      <c r="D4" s="51"/>
      <c r="E4" s="51"/>
      <c r="F4" s="51"/>
      <c r="G4" s="51"/>
      <c r="H4" s="51"/>
      <c r="I4" s="51"/>
      <c r="J4" s="51"/>
      <c r="K4" s="51"/>
      <c r="L4" s="80"/>
      <c r="U4" s="79" t="s">
        <v>270</v>
      </c>
      <c r="V4" s="76" t="s">
        <v>271</v>
      </c>
      <c r="W4" s="76" t="s">
        <v>272</v>
      </c>
      <c r="X4" s="76" t="s">
        <v>234</v>
      </c>
      <c r="Y4" s="76" t="s">
        <v>273</v>
      </c>
      <c r="Z4" s="76" t="s">
        <v>274</v>
      </c>
      <c r="AA4" s="76" t="s">
        <v>275</v>
      </c>
    </row>
    <row r="5" spans="2:27" ht="16" customHeight="1" x14ac:dyDescent="0.15">
      <c r="B5" s="60" t="s">
        <v>63</v>
      </c>
      <c r="C5" s="1">
        <f>'9. Standardlized_Income'!H34</f>
        <v>5552.2</v>
      </c>
      <c r="D5" s="1">
        <f>'9. Standardlized_Income'!G34</f>
        <v>7315.2</v>
      </c>
      <c r="E5" s="1">
        <f>'9. Standardlized_Income'!F34</f>
        <v>7781.9</v>
      </c>
      <c r="F5" s="1">
        <f>'9. Standardlized_Income'!E34</f>
        <v>7417.7</v>
      </c>
      <c r="G5" s="1">
        <f>'9. Standardlized_Income'!D34</f>
        <v>7941.1</v>
      </c>
      <c r="H5" s="59">
        <f t="shared" ref="H5:K12" si="0">D5/C5-1</f>
        <v>0.31753178920067726</v>
      </c>
      <c r="I5" s="59">
        <f t="shared" si="0"/>
        <v>6.3798665791775955E-2</v>
      </c>
      <c r="J5" s="59">
        <f t="shared" si="0"/>
        <v>-4.6800909803518365E-2</v>
      </c>
      <c r="K5" s="59">
        <f t="shared" si="0"/>
        <v>7.0560955552260163E-2</v>
      </c>
      <c r="L5" s="59">
        <f>(G5/C5)^(1/4)-1</f>
        <v>9.358838968918981E-2</v>
      </c>
      <c r="U5" s="78" t="s">
        <v>276</v>
      </c>
      <c r="V5" s="77">
        <f>'9. Standardlized_Income'!J46/'9. Standardlized_Income'!J34</f>
        <v>0.34634146341463412</v>
      </c>
      <c r="W5" s="77">
        <f>'9. Standardlized_Income'!R46/'9. Standardlized_Income'!R34</f>
        <v>0.33820686482254003</v>
      </c>
      <c r="X5" s="77">
        <f>'9. Standardlized_Income'!D46/'9. Standardlized_Income'!D34</f>
        <v>0.28659757464331137</v>
      </c>
      <c r="Y5" s="77">
        <f>'9. Standardlized_Income'!N46/'9. Standardlized_Income'!N34</f>
        <v>0.19972227414746174</v>
      </c>
      <c r="Z5" s="77">
        <f>'9. Standardlized_Income'!L46/'9. Standardlized_Income'!L34</f>
        <v>0.15613745665144102</v>
      </c>
      <c r="AA5" s="77">
        <f>'9. Standardlized_Income'!P46/'9. Standardlized_Income'!P34</f>
        <v>0.14231323317555056</v>
      </c>
    </row>
    <row r="6" spans="2:27" ht="16" customHeight="1" x14ac:dyDescent="0.15">
      <c r="B6" s="60" t="s">
        <v>65</v>
      </c>
      <c r="C6" s="1">
        <f>'9. Standardlized_Income'!H35</f>
        <v>4178.8</v>
      </c>
      <c r="D6" s="1">
        <f>'9. Standardlized_Income'!G35</f>
        <v>5757.5</v>
      </c>
      <c r="E6" s="1">
        <f>'9. Standardlized_Income'!F35</f>
        <v>5833.4</v>
      </c>
      <c r="F6" s="1">
        <f>'9. Standardlized_Income'!E35</f>
        <v>5418.1</v>
      </c>
      <c r="G6" s="1">
        <f>'9. Standardlized_Income'!D35</f>
        <v>5766.5</v>
      </c>
      <c r="H6" s="59">
        <f t="shared" si="0"/>
        <v>0.37778788168852295</v>
      </c>
      <c r="I6" s="59">
        <f t="shared" si="0"/>
        <v>1.3182805036908274E-2</v>
      </c>
      <c r="J6" s="59">
        <f t="shared" si="0"/>
        <v>-7.1193472074604691E-2</v>
      </c>
      <c r="K6" s="59">
        <f t="shared" si="0"/>
        <v>6.4302984441040101E-2</v>
      </c>
      <c r="L6" s="59">
        <f>(G6/C6)^(1/4)-1</f>
        <v>8.3840006533810518E-2</v>
      </c>
      <c r="U6" s="76"/>
      <c r="V6" s="76"/>
      <c r="W6" s="76"/>
      <c r="X6" s="76"/>
      <c r="Y6" s="76"/>
      <c r="Z6" s="76"/>
      <c r="AA6" s="76"/>
    </row>
    <row r="7" spans="2:27" ht="16" customHeight="1" x14ac:dyDescent="0.15">
      <c r="B7" s="57" t="s">
        <v>68</v>
      </c>
      <c r="C7" s="68">
        <f>C5-C6</f>
        <v>1373.3999999999996</v>
      </c>
      <c r="D7" s="68">
        <f>D5-D6</f>
        <v>1557.6999999999998</v>
      </c>
      <c r="E7" s="68">
        <f>E5-E6</f>
        <v>1948.5</v>
      </c>
      <c r="F7" s="68">
        <f>F5-F6</f>
        <v>1999.5999999999995</v>
      </c>
      <c r="G7" s="68">
        <f>G5-G6</f>
        <v>2174.6000000000004</v>
      </c>
      <c r="H7" s="56">
        <f t="shared" si="0"/>
        <v>0.13419251492646</v>
      </c>
      <c r="I7" s="56">
        <f t="shared" si="0"/>
        <v>0.25088271169031273</v>
      </c>
      <c r="J7" s="56">
        <f t="shared" si="0"/>
        <v>2.6225301513984833E-2</v>
      </c>
      <c r="K7" s="56">
        <f t="shared" si="0"/>
        <v>8.7517503500700533E-2</v>
      </c>
      <c r="L7" s="56">
        <f>(G7/C7)^(1/4)-1</f>
        <v>0.12174872650073376</v>
      </c>
      <c r="U7" s="6" t="s">
        <v>277</v>
      </c>
      <c r="V7" s="6" t="s">
        <v>271</v>
      </c>
      <c r="W7" s="6" t="s">
        <v>272</v>
      </c>
      <c r="X7" s="6" t="s">
        <v>234</v>
      </c>
      <c r="Y7" s="6" t="s">
        <v>273</v>
      </c>
      <c r="Z7" s="6" t="s">
        <v>274</v>
      </c>
      <c r="AA7" s="6" t="s">
        <v>275</v>
      </c>
    </row>
    <row r="8" spans="2:27" ht="16" customHeight="1" x14ac:dyDescent="0.15">
      <c r="B8" s="60" t="s">
        <v>69</v>
      </c>
      <c r="C8" s="1">
        <f>'9. Standardlized_Income'!H37</f>
        <v>417.6</v>
      </c>
      <c r="D8" s="1">
        <f>'9. Standardlized_Income'!G37</f>
        <v>515.1</v>
      </c>
      <c r="E8" s="1">
        <f>'9. Standardlized_Income'!F37</f>
        <v>542.79999999999995</v>
      </c>
      <c r="F8" s="1">
        <f>'9. Standardlized_Income'!E37</f>
        <v>531.1</v>
      </c>
      <c r="G8" s="1">
        <f>'9. Standardlized_Income'!D37</f>
        <v>564.1</v>
      </c>
      <c r="H8" s="59">
        <f t="shared" si="0"/>
        <v>0.23347701149425282</v>
      </c>
      <c r="I8" s="59">
        <f t="shared" si="0"/>
        <v>5.377596583187727E-2</v>
      </c>
      <c r="J8" s="59">
        <f t="shared" si="0"/>
        <v>-2.1554900515843634E-2</v>
      </c>
      <c r="K8" s="59">
        <f t="shared" si="0"/>
        <v>6.213519111278476E-2</v>
      </c>
      <c r="L8" s="59">
        <f>(G8/C8)^(1/4)-1</f>
        <v>7.8074819631404724E-2</v>
      </c>
      <c r="U8" s="6" t="s">
        <v>276</v>
      </c>
      <c r="V8" s="274">
        <f>'9. Standardlized_Income'!J46/'9. Standardlized_Income'!J34</f>
        <v>0.34634146341463412</v>
      </c>
      <c r="W8" s="274">
        <f>'9. Standardlized_Income'!R46/'9. Standardlized_Income'!R34</f>
        <v>0.33820686482254003</v>
      </c>
      <c r="X8" s="274">
        <f>'9. Standardlized_Income'!D46/'9. Standardlized_Income'!D34</f>
        <v>0.28659757464331137</v>
      </c>
      <c r="Y8" s="274">
        <f>'9. Standardlized_Income'!N46/'9. Standardlized_Income'!N34</f>
        <v>0.19972227414746174</v>
      </c>
      <c r="Z8" s="274">
        <f>'9. Standardlized_Income'!L46/'9. Standardlized_Income'!L34</f>
        <v>0.15613745665144102</v>
      </c>
      <c r="AA8" s="274">
        <f>'9. Standardlized_Income'!P46/'9. Standardlized_Income'!P34</f>
        <v>0.14231323317555056</v>
      </c>
    </row>
    <row r="9" spans="2:27" ht="16" customHeight="1" x14ac:dyDescent="0.15">
      <c r="B9" s="60" t="s">
        <v>70</v>
      </c>
      <c r="C9" s="1">
        <f>'9. Standardlized_Income'!H38</f>
        <v>-15.9</v>
      </c>
      <c r="D9" s="1">
        <f>'9. Standardlized_Income'!G38</f>
        <v>13.1</v>
      </c>
      <c r="E9" s="1">
        <f>'9. Standardlized_Income'!F38</f>
        <v>83.5</v>
      </c>
      <c r="F9" s="1">
        <f>'9. Standardlized_Income'!E38</f>
        <v>72.400000000000006</v>
      </c>
      <c r="G9" s="1">
        <f>'9. Standardlized_Income'!D38</f>
        <v>83.1</v>
      </c>
      <c r="H9" s="59">
        <f t="shared" si="0"/>
        <v>-1.8238993710691824</v>
      </c>
      <c r="I9" s="59">
        <f t="shared" si="0"/>
        <v>5.3740458015267176</v>
      </c>
      <c r="J9" s="59">
        <f t="shared" si="0"/>
        <v>-0.13293413173652691</v>
      </c>
      <c r="K9" s="59">
        <f t="shared" si="0"/>
        <v>0.14779005524861866</v>
      </c>
      <c r="L9" s="75" t="s">
        <v>278</v>
      </c>
      <c r="U9" s="6" t="s">
        <v>279</v>
      </c>
      <c r="V9" s="274">
        <f>'9. Standardlized_Income'!J39/'9. Standardlized_Income'!J34</f>
        <v>0.24276422764227643</v>
      </c>
      <c r="W9" s="274">
        <f>'9. Standardlized_Income'!R39/'9. Standardlized_Income'!R34</f>
        <v>0.2679129930856311</v>
      </c>
      <c r="X9" s="274">
        <f>'9. Standardlized_Income'!D39/'9. Standardlized_Income'!D34</f>
        <v>0.1923411114329249</v>
      </c>
      <c r="Y9" s="274">
        <f>'9. Standardlized_Income'!N39/'9. Standardlized_Income'!N34</f>
        <v>0.14214756856356983</v>
      </c>
      <c r="Z9" s="274">
        <f>'9. Standardlized_Income'!L39/'9. Standardlized_Income'!L34</f>
        <v>9.4554689908805126E-2</v>
      </c>
      <c r="AA9" s="274">
        <f>'9. Standardlized_Income'!P39/'9. Standardlized_Income'!P34</f>
        <v>6.2289702130191901E-2</v>
      </c>
    </row>
    <row r="10" spans="2:27" ht="16" customHeight="1" x14ac:dyDescent="0.15">
      <c r="B10" s="57" t="s">
        <v>71</v>
      </c>
      <c r="C10" s="74">
        <f>C11+'9. Standardlized_Income'!H47</f>
        <v>1434.6999999999996</v>
      </c>
      <c r="D10" s="74">
        <f>D11+'9. Standardlized_Income'!G47</f>
        <v>1617</v>
      </c>
      <c r="E10" s="74">
        <f>E11+'9. Standardlized_Income'!F47</f>
        <v>1939.2</v>
      </c>
      <c r="F10" s="74">
        <f>F11+'9. Standardlized_Income'!E47</f>
        <v>2028.2999999999995</v>
      </c>
      <c r="G10" s="74">
        <f>G11+'9. Standardlized_Income'!D47</f>
        <v>2275.9000000000005</v>
      </c>
      <c r="H10" s="56">
        <f t="shared" si="0"/>
        <v>0.12706489161497214</v>
      </c>
      <c r="I10" s="56">
        <f t="shared" si="0"/>
        <v>0.19925788497217067</v>
      </c>
      <c r="J10" s="56">
        <f t="shared" si="0"/>
        <v>4.5946782178217571E-2</v>
      </c>
      <c r="K10" s="56">
        <f t="shared" si="0"/>
        <v>0.12207267169550917</v>
      </c>
      <c r="L10" s="56">
        <f>(G10/C10)^(1/4)-1</f>
        <v>0.12227172015978405</v>
      </c>
      <c r="U10" s="6" t="s">
        <v>280</v>
      </c>
      <c r="V10" s="274">
        <f>'9. Standardlized_Income'!J44/'9. Standardlized_Income'!J34</f>
        <v>0.1848780487804878</v>
      </c>
      <c r="W10" s="274">
        <f>'9. Standardlized_Income'!R44/'9. Standardlized_Income'!R34</f>
        <v>0.20500683474083281</v>
      </c>
      <c r="X10" s="274">
        <f>'9. Standardlized_Income'!D44/'9. Standardlized_Income'!D34</f>
        <v>0.13558575008500082</v>
      </c>
      <c r="Y10" s="274">
        <f>'9. Standardlized_Income'!N44/'9. Standardlized_Income'!N34</f>
        <v>0.10022164659385265</v>
      </c>
      <c r="Z10" s="274">
        <f>'9. Standardlized_Income'!L44/'9. Standardlized_Income'!L34</f>
        <v>4.9926732591441217E-2</v>
      </c>
      <c r="AA10" s="274">
        <f>'9. Standardlized_Income'!P44/'9. Standardlized_Income'!P34</f>
        <v>5.9519411252749219E-2</v>
      </c>
    </row>
    <row r="11" spans="2:27" ht="16" customHeight="1" x14ac:dyDescent="0.15">
      <c r="B11" s="57" t="s">
        <v>72</v>
      </c>
      <c r="C11" s="68">
        <f>C7-C8-C9</f>
        <v>971.69999999999959</v>
      </c>
      <c r="D11" s="68">
        <f>D7-D8-D9</f>
        <v>1029.5</v>
      </c>
      <c r="E11" s="68">
        <f>E7-E8-E9</f>
        <v>1322.2</v>
      </c>
      <c r="F11" s="68">
        <f>F7-F8-F9</f>
        <v>1396.0999999999995</v>
      </c>
      <c r="G11" s="68">
        <f>G7-G8-G9</f>
        <v>1527.4000000000005</v>
      </c>
      <c r="H11" s="56">
        <f t="shared" si="0"/>
        <v>5.9483379643923362E-2</v>
      </c>
      <c r="I11" s="56">
        <f t="shared" si="0"/>
        <v>0.28431277319086945</v>
      </c>
      <c r="J11" s="56">
        <f t="shared" si="0"/>
        <v>5.5891695658750074E-2</v>
      </c>
      <c r="K11" s="56">
        <f t="shared" si="0"/>
        <v>9.404770431917564E-2</v>
      </c>
      <c r="L11" s="56">
        <f>(G11/C11)^(1/4)-1</f>
        <v>0.11970894041270097</v>
      </c>
    </row>
    <row r="12" spans="2:27" ht="16" customHeight="1" x14ac:dyDescent="0.15">
      <c r="B12" s="57" t="s">
        <v>73</v>
      </c>
      <c r="C12" s="74">
        <f>'9. Standardlized_Income'!H44</f>
        <v>670.8</v>
      </c>
      <c r="D12" s="74">
        <f>'9. Standardlized_Income'!G44</f>
        <v>575.6</v>
      </c>
      <c r="E12" s="74">
        <f>'9. Standardlized_Income'!F44</f>
        <v>933.2</v>
      </c>
      <c r="F12" s="74">
        <f>'9. Standardlized_Income'!E44</f>
        <v>911.9</v>
      </c>
      <c r="G12" s="74">
        <f>'9. Standardlized_Income'!D44</f>
        <v>1076.7</v>
      </c>
      <c r="H12" s="56">
        <f t="shared" si="0"/>
        <v>-0.14192009540846739</v>
      </c>
      <c r="I12" s="56">
        <f t="shared" si="0"/>
        <v>0.62126476719944401</v>
      </c>
      <c r="J12" s="56">
        <f t="shared" si="0"/>
        <v>-2.2824689241320306E-2</v>
      </c>
      <c r="K12" s="56">
        <f t="shared" si="0"/>
        <v>0.18072157034762593</v>
      </c>
      <c r="L12" s="56">
        <f>(G12/C12)^(1/4)-1</f>
        <v>0.1255775303218436</v>
      </c>
      <c r="N12" s="6">
        <f>C12/C11</f>
        <v>0.69033652361840103</v>
      </c>
      <c r="U12" s="6" t="s">
        <v>277</v>
      </c>
      <c r="V12" s="6" t="s">
        <v>271</v>
      </c>
      <c r="W12" s="6" t="s">
        <v>272</v>
      </c>
      <c r="X12" s="6" t="s">
        <v>234</v>
      </c>
      <c r="Y12" s="6" t="s">
        <v>273</v>
      </c>
      <c r="Z12" s="6" t="s">
        <v>274</v>
      </c>
      <c r="AA12" s="6" t="s">
        <v>275</v>
      </c>
    </row>
    <row r="13" spans="2:27" s="8" customFormat="1" ht="8" customHeight="1" x14ac:dyDescent="0.15">
      <c r="B13" s="73"/>
      <c r="C13" s="72"/>
      <c r="D13" s="72"/>
      <c r="E13" s="72"/>
      <c r="F13" s="72"/>
      <c r="G13" s="72"/>
      <c r="H13" s="71"/>
      <c r="I13" s="71"/>
      <c r="J13" s="71"/>
      <c r="K13" s="71"/>
      <c r="L13" s="71"/>
      <c r="U13" s="8" t="s">
        <v>281</v>
      </c>
      <c r="V13" s="243">
        <f>'9. Standardlized_Income'!J31/'9. Standardlized_Income'!J30</f>
        <v>0.56059398046641418</v>
      </c>
      <c r="W13" s="243">
        <f>'9. Standardlized_Income'!R31/'9. Standardlized_Income'!R30</f>
        <v>0.85008581039335473</v>
      </c>
      <c r="X13" s="243">
        <f>'9. Standardlized_Income'!D31/'9. Standardlized_Income'!D30</f>
        <v>0.51151610148674098</v>
      </c>
      <c r="Y13" s="243">
        <f>'9. Standardlized_Income'!N31/'9. Standardlized_Income'!N30</f>
        <v>0.72608591504311726</v>
      </c>
      <c r="Z13" s="243">
        <f>'9. Standardlized_Income'!L31/'9. Standardlized_Income'!L30</f>
        <v>0.71028800565529504</v>
      </c>
      <c r="AA13" s="243">
        <f>'9. Standardlized_Income'!P31/'9. Standardlized_Income'!P30</f>
        <v>0.49773522796013409</v>
      </c>
    </row>
    <row r="14" spans="2:27" ht="16" customHeight="1" x14ac:dyDescent="0.15">
      <c r="B14" s="70" t="s">
        <v>282</v>
      </c>
      <c r="C14" s="50"/>
      <c r="D14" s="69"/>
      <c r="E14" s="69"/>
      <c r="F14" s="69"/>
      <c r="G14" s="69"/>
      <c r="H14" s="65"/>
      <c r="I14" s="65"/>
      <c r="J14" s="65"/>
      <c r="K14" s="65"/>
      <c r="L14" s="65"/>
      <c r="U14" s="6" t="s">
        <v>283</v>
      </c>
      <c r="V14" s="274">
        <f>'9. Standardlized_Income'!J31/'9. Standardlized_Income'!J17</f>
        <v>0.30062530062530063</v>
      </c>
      <c r="W14" s="274">
        <f>'9. Standardlized_Income'!R31/'9. Standardlized_Income'!R17</f>
        <v>0.37931868933005364</v>
      </c>
      <c r="X14" s="274">
        <f>'9. Standardlized_Income'!D31/'9. Standardlized_Income'!D17</f>
        <v>0.2618440276879595</v>
      </c>
      <c r="Y14" s="274">
        <f>'9. Standardlized_Income'!N31/'9. Standardlized_Income'!N17</f>
        <v>0.31180030516552659</v>
      </c>
      <c r="Z14" s="274">
        <f>'9. Standardlized_Income'!L31/'9. Standardlized_Income'!L17</f>
        <v>0.3193164041631622</v>
      </c>
      <c r="AA14" s="274">
        <f>'9. Standardlized_Income'!P31/'9. Standardlized_Income'!P17</f>
        <v>0.2340711418511188</v>
      </c>
    </row>
    <row r="15" spans="2:27" ht="16" customHeight="1" x14ac:dyDescent="0.15">
      <c r="B15" s="60" t="s">
        <v>124</v>
      </c>
      <c r="C15" s="1">
        <f>'9. Standardlized_Income'!H8</f>
        <v>235</v>
      </c>
      <c r="D15" s="1">
        <f>'9. Standardlized_Income'!G8</f>
        <v>161.4</v>
      </c>
      <c r="E15" s="1">
        <f>'9. Standardlized_Income'!F8</f>
        <v>931.1</v>
      </c>
      <c r="F15" s="1">
        <f>'9. Standardlized_Income'!E8</f>
        <v>559.70000000000005</v>
      </c>
      <c r="G15" s="1">
        <f>'9. Standardlized_Income'!D8</f>
        <v>183.3</v>
      </c>
      <c r="H15" s="59">
        <f t="shared" ref="H15:H26" si="1">D15/C15-1</f>
        <v>-0.31319148936170216</v>
      </c>
      <c r="I15" s="59">
        <f t="shared" ref="I15:I26" si="2">E15/D15-1</f>
        <v>4.7688971499380424</v>
      </c>
      <c r="J15" s="59">
        <f t="shared" ref="J15:J26" si="3">F15/E15-1</f>
        <v>-0.39888304156374177</v>
      </c>
      <c r="K15" s="59">
        <f t="shared" ref="K15:K26" si="4">G15/F15-1</f>
        <v>-0.67250312667500445</v>
      </c>
      <c r="L15" s="59">
        <f t="shared" ref="L15:L26" si="5">(G15/C15)^(1/4)-1</f>
        <v>-6.0225512884721555E-2</v>
      </c>
      <c r="U15" s="6" t="s">
        <v>284</v>
      </c>
      <c r="V15" s="275">
        <f>'9. Standardlized_Income'!J39/'9. Standardlized_Income'!J40</f>
        <v>6.4913043478260866</v>
      </c>
      <c r="W15" s="275">
        <f>'9. Standardlized_Income'!R39/'9. Standardlized_Income'!R40</f>
        <v>15.050198807157058</v>
      </c>
      <c r="X15" s="275">
        <f>'9. Standardlized_Income'!D39/'9. Standardlized_Income'!D40</f>
        <v>6.3721318314559872</v>
      </c>
      <c r="Y15" s="275">
        <f>'9. Standardlized_Income'!N39/'9. Standardlized_Income'!N40</f>
        <v>6.5716049382716051</v>
      </c>
      <c r="Z15" s="275">
        <f>'9. Standardlized_Income'!L39/'9. Standardlized_Income'!L40</f>
        <v>3.6303392726385164</v>
      </c>
      <c r="AA15" s="275">
        <f>'9. Standardlized_Income'!P39/'9. Standardlized_Income'!P40</f>
        <v>3.3408138839018555</v>
      </c>
    </row>
    <row r="16" spans="2:27" ht="16" customHeight="1" x14ac:dyDescent="0.15">
      <c r="B16" s="60" t="s">
        <v>285</v>
      </c>
      <c r="C16" s="1">
        <f>'9. Standardlized_Income'!H9</f>
        <v>783.2</v>
      </c>
      <c r="D16" s="1">
        <f>'9. Standardlized_Income'!G9</f>
        <v>845.6</v>
      </c>
      <c r="E16" s="1">
        <f>'9. Standardlized_Income'!F9</f>
        <v>889.7</v>
      </c>
      <c r="F16" s="1">
        <f>'9. Standardlized_Income'!E9</f>
        <v>892.3</v>
      </c>
      <c r="G16" s="1">
        <f>'9. Standardlized_Income'!D9</f>
        <v>887.7</v>
      </c>
      <c r="H16" s="59">
        <f t="shared" si="1"/>
        <v>7.9673135852911026E-2</v>
      </c>
      <c r="I16" s="59">
        <f t="shared" si="2"/>
        <v>5.2152317880794774E-2</v>
      </c>
      <c r="J16" s="59">
        <f t="shared" si="3"/>
        <v>2.9223333707990573E-3</v>
      </c>
      <c r="K16" s="59">
        <f t="shared" si="4"/>
        <v>-5.1552168553176125E-3</v>
      </c>
      <c r="L16" s="59">
        <f t="shared" si="5"/>
        <v>3.1806798950958504E-2</v>
      </c>
    </row>
    <row r="17" spans="2:12" ht="16" customHeight="1" x14ac:dyDescent="0.15">
      <c r="B17" s="60" t="s">
        <v>126</v>
      </c>
      <c r="C17" s="1">
        <f>'9. Standardlized_Income'!H10</f>
        <v>521.29999999999995</v>
      </c>
      <c r="D17" s="1">
        <f>'9. Standardlized_Income'!G10</f>
        <v>579.29999999999995</v>
      </c>
      <c r="E17" s="1">
        <f>'9. Standardlized_Income'!F10</f>
        <v>615.6</v>
      </c>
      <c r="F17" s="1">
        <f>'9. Standardlized_Income'!E10</f>
        <v>681.8</v>
      </c>
      <c r="G17" s="1">
        <f>'9. Standardlized_Income'!D10</f>
        <v>680.5</v>
      </c>
      <c r="H17" s="59">
        <f t="shared" si="1"/>
        <v>0.11126031076155773</v>
      </c>
      <c r="I17" s="59">
        <f t="shared" si="2"/>
        <v>6.2661833247022347E-2</v>
      </c>
      <c r="J17" s="59">
        <f t="shared" si="3"/>
        <v>0.10753736192332664</v>
      </c>
      <c r="K17" s="59">
        <f t="shared" si="4"/>
        <v>-1.90671751246696E-3</v>
      </c>
      <c r="L17" s="59">
        <f t="shared" si="5"/>
        <v>6.8895136817067604E-2</v>
      </c>
    </row>
    <row r="18" spans="2:12" ht="16" customHeight="1" x14ac:dyDescent="0.15">
      <c r="B18" s="57" t="s">
        <v>286</v>
      </c>
      <c r="C18" s="74">
        <f>'9. Standardlized_Income'!H12</f>
        <v>1696.6</v>
      </c>
      <c r="D18" s="74">
        <f>'9. Standardlized_Income'!G12</f>
        <v>1902</v>
      </c>
      <c r="E18" s="74">
        <f>'9. Standardlized_Income'!F12</f>
        <v>2524.9</v>
      </c>
      <c r="F18" s="74">
        <f>'9. Standardlized_Income'!E12</f>
        <v>2265.6999999999998</v>
      </c>
      <c r="G18" s="74">
        <f>'9. Standardlized_Income'!D12</f>
        <v>2567.9</v>
      </c>
      <c r="H18" s="56">
        <f t="shared" si="1"/>
        <v>0.12106566073323122</v>
      </c>
      <c r="I18" s="56">
        <f t="shared" si="2"/>
        <v>0.32749737118822297</v>
      </c>
      <c r="J18" s="56">
        <f t="shared" si="3"/>
        <v>-0.10265753099132646</v>
      </c>
      <c r="K18" s="56">
        <f t="shared" si="4"/>
        <v>0.1333804122346296</v>
      </c>
      <c r="L18" s="56">
        <f t="shared" si="5"/>
        <v>0.10917394986488982</v>
      </c>
    </row>
    <row r="19" spans="2:12" ht="16" customHeight="1" x14ac:dyDescent="0.15">
      <c r="B19" s="60" t="s">
        <v>287</v>
      </c>
      <c r="C19" s="1">
        <f>'9. Standardlized_Income'!H13</f>
        <v>6238.2</v>
      </c>
      <c r="D19" s="1">
        <f>'9. Standardlized_Income'!G13</f>
        <v>6623.9</v>
      </c>
      <c r="E19" s="1">
        <f>'9. Standardlized_Income'!F13</f>
        <v>6729.4</v>
      </c>
      <c r="F19" s="1">
        <f>'9. Standardlized_Income'!E13</f>
        <v>8987.9</v>
      </c>
      <c r="G19" s="1">
        <f>'9. Standardlized_Income'!D13</f>
        <v>8670.1</v>
      </c>
      <c r="H19" s="59">
        <f t="shared" si="1"/>
        <v>6.1828732647237983E-2</v>
      </c>
      <c r="I19" s="59">
        <f t="shared" si="2"/>
        <v>1.5927172813599233E-2</v>
      </c>
      <c r="J19" s="59">
        <f t="shared" si="3"/>
        <v>0.33561684548399562</v>
      </c>
      <c r="K19" s="59">
        <f t="shared" si="4"/>
        <v>-3.5358648850120633E-2</v>
      </c>
      <c r="L19" s="59">
        <f t="shared" si="5"/>
        <v>8.5778413306598411E-2</v>
      </c>
    </row>
    <row r="20" spans="2:12" ht="16" customHeight="1" x14ac:dyDescent="0.15">
      <c r="B20" s="57" t="s">
        <v>136</v>
      </c>
      <c r="C20" s="74">
        <f>'9. Standardlized_Income'!H17</f>
        <v>13682.6</v>
      </c>
      <c r="D20" s="74">
        <f>'9. Standardlized_Income'!G17</f>
        <v>14234.6</v>
      </c>
      <c r="E20" s="74">
        <f>'9. Standardlized_Income'!F17</f>
        <v>14545.7</v>
      </c>
      <c r="F20" s="74">
        <f>'9. Standardlized_Income'!E17</f>
        <v>17104.8</v>
      </c>
      <c r="G20" s="74">
        <f>'9. Standardlized_Income'!D17</f>
        <v>16700.400000000001</v>
      </c>
      <c r="H20" s="56">
        <f t="shared" si="1"/>
        <v>4.034320962390181E-2</v>
      </c>
      <c r="I20" s="56">
        <f t="shared" si="2"/>
        <v>2.1855197898079437E-2</v>
      </c>
      <c r="J20" s="56">
        <f t="shared" si="3"/>
        <v>0.17593515609424082</v>
      </c>
      <c r="K20" s="56">
        <f t="shared" si="4"/>
        <v>-2.3642486319629397E-2</v>
      </c>
      <c r="L20" s="56">
        <f t="shared" si="5"/>
        <v>5.1089168267415719E-2</v>
      </c>
    </row>
    <row r="21" spans="2:12" ht="16" customHeight="1" x14ac:dyDescent="0.15">
      <c r="B21" s="60" t="s">
        <v>288</v>
      </c>
      <c r="C21" s="1">
        <f>'9. Standardlized_Income'!H19</f>
        <v>365.5</v>
      </c>
      <c r="D21" s="1">
        <f>'9. Standardlized_Income'!G19</f>
        <v>454.5</v>
      </c>
      <c r="E21" s="1">
        <f>'9. Standardlized_Income'!F19</f>
        <v>390.4</v>
      </c>
      <c r="F21" s="1">
        <f>'9. Standardlized_Income'!E19</f>
        <v>407</v>
      </c>
      <c r="G21" s="1">
        <f>'9. Standardlized_Income'!D19</f>
        <v>438.5</v>
      </c>
      <c r="H21" s="59">
        <f t="shared" si="1"/>
        <v>0.24350205198358421</v>
      </c>
      <c r="I21" s="59">
        <f t="shared" si="2"/>
        <v>-0.14103410341034106</v>
      </c>
      <c r="J21" s="59">
        <f t="shared" si="3"/>
        <v>4.2520491803278659E-2</v>
      </c>
      <c r="K21" s="59">
        <f t="shared" si="4"/>
        <v>7.7395577395577453E-2</v>
      </c>
      <c r="L21" s="59">
        <f t="shared" si="5"/>
        <v>4.657547656504879E-2</v>
      </c>
    </row>
    <row r="22" spans="2:12" ht="16" customHeight="1" x14ac:dyDescent="0.15">
      <c r="B22" s="57" t="s">
        <v>289</v>
      </c>
      <c r="C22" s="74">
        <f>'9. Standardlized_Income'!H22</f>
        <v>769.3</v>
      </c>
      <c r="D22" s="74">
        <f>'9. Standardlized_Income'!G22</f>
        <v>956.6</v>
      </c>
      <c r="E22" s="74">
        <f>'9. Standardlized_Income'!F22</f>
        <v>797.6</v>
      </c>
      <c r="F22" s="74">
        <f>'9. Standardlized_Income'!E22</f>
        <v>1239.0999999999999</v>
      </c>
      <c r="G22" s="74">
        <f>'9. Standardlized_Income'!D22</f>
        <v>956.1</v>
      </c>
      <c r="H22" s="56">
        <f t="shared" si="1"/>
        <v>0.24346808787209162</v>
      </c>
      <c r="I22" s="56">
        <f t="shared" si="2"/>
        <v>-0.16621367342671967</v>
      </c>
      <c r="J22" s="56">
        <f t="shared" si="3"/>
        <v>0.55353560682046132</v>
      </c>
      <c r="K22" s="56">
        <f t="shared" si="4"/>
        <v>-0.22839157452990066</v>
      </c>
      <c r="L22" s="56">
        <f t="shared" si="5"/>
        <v>5.5849203009365356E-2</v>
      </c>
    </row>
    <row r="23" spans="2:12" ht="16" customHeight="1" x14ac:dyDescent="0.15">
      <c r="B23" s="57" t="s">
        <v>147</v>
      </c>
      <c r="C23" s="74">
        <f>'9. Standardlized_Income'!H26</f>
        <v>7114.9</v>
      </c>
      <c r="D23" s="74">
        <f>'9. Standardlized_Income'!G26</f>
        <v>7282.4</v>
      </c>
      <c r="E23" s="74">
        <f>'9. Standardlized_Income'!F26</f>
        <v>7037.8</v>
      </c>
      <c r="F23" s="74">
        <f>'9. Standardlized_Income'!E26</f>
        <v>8962.2999999999993</v>
      </c>
      <c r="G23" s="74">
        <f>'9. Standardlized_Income'!D26</f>
        <v>8151.5</v>
      </c>
      <c r="H23" s="56">
        <f t="shared" si="1"/>
        <v>2.3542143951425842E-2</v>
      </c>
      <c r="I23" s="56">
        <f t="shared" si="2"/>
        <v>-3.358782818850925E-2</v>
      </c>
      <c r="J23" s="56">
        <f t="shared" si="3"/>
        <v>0.27345193100116494</v>
      </c>
      <c r="K23" s="56">
        <f t="shared" si="4"/>
        <v>-9.0467848654921079E-2</v>
      </c>
      <c r="L23" s="56">
        <f t="shared" si="5"/>
        <v>3.4587395653402186E-2</v>
      </c>
    </row>
    <row r="24" spans="2:12" ht="16" customHeight="1" x14ac:dyDescent="0.15">
      <c r="B24" s="57" t="s">
        <v>290</v>
      </c>
      <c r="C24" s="74">
        <f>'9. Standardlized_Income'!H31</f>
        <v>3975.9</v>
      </c>
      <c r="D24" s="74">
        <f>'9. Standardlized_Income'!G31</f>
        <v>4032.8</v>
      </c>
      <c r="E24" s="74">
        <f>'9. Standardlized_Income'!F31</f>
        <v>3906.9</v>
      </c>
      <c r="F24" s="74">
        <f>'9. Standardlized_Income'!E31</f>
        <v>5327.8</v>
      </c>
      <c r="G24" s="74">
        <f>'9. Standardlized_Income'!D31</f>
        <v>4372.8999999999996</v>
      </c>
      <c r="H24" s="56">
        <f t="shared" si="1"/>
        <v>1.4311225131416805E-2</v>
      </c>
      <c r="I24" s="56">
        <f t="shared" si="2"/>
        <v>-3.1219004165840114E-2</v>
      </c>
      <c r="J24" s="56">
        <f t="shared" si="3"/>
        <v>0.3636898820036345</v>
      </c>
      <c r="K24" s="56">
        <f t="shared" si="4"/>
        <v>-0.17922970081459522</v>
      </c>
      <c r="L24" s="56">
        <f t="shared" si="5"/>
        <v>2.4079148154538821E-2</v>
      </c>
    </row>
    <row r="25" spans="2:12" ht="16" customHeight="1" x14ac:dyDescent="0.15">
      <c r="B25" s="57" t="s">
        <v>291</v>
      </c>
      <c r="C25" s="74">
        <f>'9. Standardlized_Income'!H30</f>
        <v>6567.7</v>
      </c>
      <c r="D25" s="74">
        <f>'9. Standardlized_Income'!G30</f>
        <v>6952.2</v>
      </c>
      <c r="E25" s="74">
        <f>'9. Standardlized_Income'!F30</f>
        <v>7507.9</v>
      </c>
      <c r="F25" s="74">
        <f>'9. Standardlized_Income'!E30</f>
        <v>8142.5</v>
      </c>
      <c r="G25" s="74">
        <f>'9. Standardlized_Income'!D30</f>
        <v>8548.9</v>
      </c>
      <c r="H25" s="56">
        <f t="shared" si="1"/>
        <v>5.8544086971085818E-2</v>
      </c>
      <c r="I25" s="56">
        <f t="shared" si="2"/>
        <v>7.9931532464543542E-2</v>
      </c>
      <c r="J25" s="56">
        <f t="shared" si="3"/>
        <v>8.4524301069540231E-2</v>
      </c>
      <c r="K25" s="56">
        <f t="shared" si="4"/>
        <v>4.9910961007061605E-2</v>
      </c>
      <c r="L25" s="56">
        <f t="shared" si="5"/>
        <v>6.8130293920521279E-2</v>
      </c>
    </row>
    <row r="26" spans="2:12" ht="16" customHeight="1" x14ac:dyDescent="0.15">
      <c r="B26" s="57" t="s">
        <v>292</v>
      </c>
      <c r="C26" s="68">
        <f>C18-C22</f>
        <v>927.3</v>
      </c>
      <c r="D26" s="68">
        <f>D18-D22</f>
        <v>945.4</v>
      </c>
      <c r="E26" s="68">
        <f>E18-E22</f>
        <v>1727.3000000000002</v>
      </c>
      <c r="F26" s="68">
        <f>F18-F22</f>
        <v>1026.5999999999999</v>
      </c>
      <c r="G26" s="68">
        <f>G18-G22</f>
        <v>1611.8000000000002</v>
      </c>
      <c r="H26" s="56">
        <f t="shared" si="1"/>
        <v>1.9519033753909287E-2</v>
      </c>
      <c r="I26" s="56">
        <f t="shared" si="2"/>
        <v>0.82705733023059036</v>
      </c>
      <c r="J26" s="56">
        <f t="shared" si="3"/>
        <v>-0.40566201586290751</v>
      </c>
      <c r="K26" s="56">
        <f t="shared" si="4"/>
        <v>0.57003701539061002</v>
      </c>
      <c r="L26" s="56">
        <f t="shared" si="5"/>
        <v>0.14821369612090707</v>
      </c>
    </row>
    <row r="27" spans="2:12" s="8" customFormat="1" ht="8" customHeight="1" x14ac:dyDescent="0.15">
      <c r="B27" s="73"/>
      <c r="C27" s="72"/>
      <c r="D27" s="72"/>
      <c r="E27" s="72"/>
      <c r="F27" s="72"/>
      <c r="G27" s="72"/>
      <c r="H27" s="71"/>
      <c r="I27" s="71"/>
      <c r="J27" s="71"/>
      <c r="K27" s="71"/>
      <c r="L27" s="71"/>
    </row>
    <row r="28" spans="2:12" ht="16" customHeight="1" x14ac:dyDescent="0.15">
      <c r="B28" s="70" t="s">
        <v>293</v>
      </c>
      <c r="C28" s="69"/>
      <c r="D28" s="69"/>
      <c r="E28" s="69"/>
      <c r="F28" s="69"/>
      <c r="G28" s="69"/>
      <c r="H28" s="65"/>
      <c r="I28" s="65"/>
      <c r="J28" s="65"/>
      <c r="K28" s="65"/>
      <c r="L28" s="65"/>
    </row>
    <row r="29" spans="2:12" ht="16" customHeight="1" x14ac:dyDescent="0.15">
      <c r="B29" s="60" t="s">
        <v>294</v>
      </c>
      <c r="C29" s="1">
        <f>'9. Standardlized_Income'!H51</f>
        <v>1011.9</v>
      </c>
      <c r="D29" s="1">
        <f>'9. Standardlized_Income'!G51</f>
        <v>1148.2</v>
      </c>
      <c r="E29" s="1">
        <f>'9. Standardlized_Income'!F51</f>
        <v>1536.8</v>
      </c>
      <c r="F29" s="1">
        <f>'9. Standardlized_Income'!E51</f>
        <v>1409.6</v>
      </c>
      <c r="G29" s="1">
        <f>'9. Standardlized_Income'!D51</f>
        <v>1813</v>
      </c>
      <c r="H29" s="59">
        <f t="shared" ref="H29:K31" si="6">D29/C29-1</f>
        <v>0.13469710445696226</v>
      </c>
      <c r="I29" s="59">
        <f t="shared" si="6"/>
        <v>0.33844278000348371</v>
      </c>
      <c r="J29" s="59">
        <f t="shared" si="6"/>
        <v>-8.276939094221758E-2</v>
      </c>
      <c r="K29" s="59">
        <f t="shared" si="6"/>
        <v>0.28618047673098768</v>
      </c>
      <c r="L29" s="59">
        <f>(G29/C29)^(1/4)-1</f>
        <v>0.15695122976770204</v>
      </c>
    </row>
    <row r="30" spans="2:12" ht="16" customHeight="1" x14ac:dyDescent="0.15">
      <c r="B30" s="60" t="s">
        <v>295</v>
      </c>
      <c r="C30" s="1">
        <f>'9. Standardlized_Income'!H52</f>
        <v>451.3</v>
      </c>
      <c r="D30" s="1">
        <f>'9. Standardlized_Income'!G52</f>
        <v>612.6</v>
      </c>
      <c r="E30" s="1">
        <f>'9. Standardlized_Income'!F52</f>
        <v>872.6</v>
      </c>
      <c r="F30" s="1">
        <f>'9. Standardlized_Income'!E52</f>
        <v>603.5</v>
      </c>
      <c r="G30" s="1">
        <f>'9. Standardlized_Income'!D52</f>
        <v>677.7</v>
      </c>
      <c r="H30" s="59">
        <f t="shared" si="6"/>
        <v>0.35741192111677389</v>
      </c>
      <c r="I30" s="59">
        <f t="shared" si="6"/>
        <v>0.42442050277505716</v>
      </c>
      <c r="J30" s="59">
        <f t="shared" si="6"/>
        <v>-0.30838872335548939</v>
      </c>
      <c r="K30" s="59">
        <f t="shared" si="6"/>
        <v>0.12294946147473085</v>
      </c>
      <c r="L30" s="59">
        <f>(G30/C30)^(1/4)-1</f>
        <v>0.10698831855569502</v>
      </c>
    </row>
    <row r="31" spans="2:12" ht="16" customHeight="1" x14ac:dyDescent="0.15">
      <c r="B31" s="57" t="s">
        <v>296</v>
      </c>
      <c r="C31" s="68">
        <f>C29-C30</f>
        <v>560.59999999999991</v>
      </c>
      <c r="D31" s="68">
        <f>D29-D30</f>
        <v>535.6</v>
      </c>
      <c r="E31" s="68">
        <f>E29-E30</f>
        <v>664.19999999999993</v>
      </c>
      <c r="F31" s="68">
        <f>F29-F30</f>
        <v>806.09999999999991</v>
      </c>
      <c r="G31" s="68">
        <f>G29-G30</f>
        <v>1135.3</v>
      </c>
      <c r="H31" s="56">
        <f t="shared" si="6"/>
        <v>-4.4595076703531689E-2</v>
      </c>
      <c r="I31" s="56">
        <f t="shared" si="6"/>
        <v>0.24010455563853594</v>
      </c>
      <c r="J31" s="56">
        <f t="shared" si="6"/>
        <v>0.21364046973803075</v>
      </c>
      <c r="K31" s="56">
        <f t="shared" si="6"/>
        <v>0.40838605632055591</v>
      </c>
      <c r="L31" s="56">
        <f>(G31/C31)^(1/4)-1</f>
        <v>0.19292842243863562</v>
      </c>
    </row>
    <row r="32" spans="2:12" s="8" customFormat="1" ht="8" customHeight="1" x14ac:dyDescent="0.15">
      <c r="L32" s="54"/>
    </row>
    <row r="33" spans="2:12" ht="16" customHeight="1" x14ac:dyDescent="0.15">
      <c r="B33" s="39" t="s">
        <v>297</v>
      </c>
    </row>
    <row r="34" spans="2:12" ht="16" customHeight="1" x14ac:dyDescent="0.15">
      <c r="B34" s="30" t="s">
        <v>298</v>
      </c>
      <c r="C34" s="30"/>
      <c r="D34" s="30"/>
      <c r="E34" s="30"/>
      <c r="F34" s="30"/>
      <c r="G34" s="30"/>
      <c r="H34" s="30" t="s">
        <v>299</v>
      </c>
      <c r="I34" s="30"/>
      <c r="J34" s="30"/>
      <c r="K34" s="30"/>
      <c r="L34" s="67"/>
    </row>
    <row r="35" spans="2:12" ht="16" customHeight="1" x14ac:dyDescent="0.15">
      <c r="B35" s="51" t="s">
        <v>300</v>
      </c>
      <c r="C35" s="66">
        <v>2021</v>
      </c>
      <c r="D35" s="66">
        <v>2022</v>
      </c>
      <c r="E35" s="66">
        <v>2023</v>
      </c>
      <c r="F35" s="66">
        <v>2024</v>
      </c>
      <c r="G35" s="66">
        <v>2025</v>
      </c>
      <c r="H35" s="50" t="s">
        <v>271</v>
      </c>
      <c r="I35" s="50" t="s">
        <v>274</v>
      </c>
      <c r="J35" s="50" t="s">
        <v>273</v>
      </c>
      <c r="K35" s="50" t="s">
        <v>275</v>
      </c>
      <c r="L35" s="65" t="s">
        <v>272</v>
      </c>
    </row>
    <row r="36" spans="2:12" ht="16" customHeight="1" x14ac:dyDescent="0.15">
      <c r="B36" s="24" t="s">
        <v>63</v>
      </c>
      <c r="C36" s="63">
        <f>100%</f>
        <v>1</v>
      </c>
      <c r="D36" s="63">
        <f>100%</f>
        <v>1</v>
      </c>
      <c r="E36" s="63">
        <f>100%</f>
        <v>1</v>
      </c>
      <c r="F36" s="63">
        <f>100%</f>
        <v>1</v>
      </c>
      <c r="G36" s="63">
        <f>100%</f>
        <v>1</v>
      </c>
      <c r="H36" s="64">
        <v>1</v>
      </c>
      <c r="I36" s="64">
        <v>1</v>
      </c>
      <c r="J36" s="64">
        <v>1</v>
      </c>
      <c r="K36" s="64">
        <v>1</v>
      </c>
      <c r="L36" s="63">
        <v>1</v>
      </c>
    </row>
    <row r="37" spans="2:12" ht="16" customHeight="1" x14ac:dyDescent="0.15">
      <c r="B37" s="60" t="s">
        <v>65</v>
      </c>
      <c r="C37" s="59">
        <f t="shared" ref="C37:C43" si="7">C6/$C$5</f>
        <v>0.75263859371060127</v>
      </c>
      <c r="D37" s="59">
        <f>D6/D$5</f>
        <v>0.78705982064741908</v>
      </c>
      <c r="E37" s="59">
        <f>E6/E$5</f>
        <v>0.74961127745152212</v>
      </c>
      <c r="F37" s="59">
        <f>F6/F$5</f>
        <v>0.73042856950267609</v>
      </c>
      <c r="G37" s="59">
        <f>G6/G$5</f>
        <v>0.72615884449257662</v>
      </c>
      <c r="H37" s="34">
        <f>'9. Standardlized_Income'!J35/'9. Standardlized_Income'!J34</f>
        <v>0.69284552845528458</v>
      </c>
      <c r="I37" s="34">
        <f>'9. Standardlized_Income'!L35/'9. Standardlized_Income'!L34</f>
        <v>0.81648818662369149</v>
      </c>
      <c r="J37" s="34">
        <f>'9. Standardlized_Income'!N35/'9. Standardlized_Income'!N34</f>
        <v>0.6387427564290864</v>
      </c>
      <c r="K37" s="34">
        <f>'9. Standardlized_Income'!P35/'9. Standardlized_Income'!P34</f>
        <v>0.67080650240393569</v>
      </c>
      <c r="L37" s="58">
        <f>'9. Standardlized_Income'!R35/'9. Standardlized_Income'!R34</f>
        <v>0.70221764115177532</v>
      </c>
    </row>
    <row r="38" spans="2:12" ht="16" customHeight="1" x14ac:dyDescent="0.15">
      <c r="B38" s="57" t="s">
        <v>68</v>
      </c>
      <c r="C38" s="56">
        <f t="shared" si="7"/>
        <v>0.24736140628939873</v>
      </c>
      <c r="D38" s="56">
        <f t="shared" ref="D38:D43" si="8">D7/$D$5</f>
        <v>0.21294017935258092</v>
      </c>
      <c r="E38" s="56">
        <f t="shared" ref="E38:G43" si="9">E7/E$5</f>
        <v>0.25038872254847788</v>
      </c>
      <c r="F38" s="56">
        <f t="shared" si="9"/>
        <v>0.26957143049732391</v>
      </c>
      <c r="G38" s="56">
        <f t="shared" si="9"/>
        <v>0.27384115550742344</v>
      </c>
      <c r="H38" s="38">
        <f>'9. Standardlized_Income'!J36/'9. Standardlized_Income'!J34</f>
        <v>0.30715447154471542</v>
      </c>
      <c r="I38" s="38">
        <f>'9. Standardlized_Income'!L36/'9. Standardlized_Income'!L34</f>
        <v>0.1835118133763084</v>
      </c>
      <c r="J38" s="38">
        <f>'9. Standardlized_Income'!N36/'9. Standardlized_Income'!N34</f>
        <v>0.36125724357091354</v>
      </c>
      <c r="K38" s="38">
        <f>'9. Standardlized_Income'!P36/'9. Standardlized_Income'!P34</f>
        <v>0.32919349759606448</v>
      </c>
      <c r="L38" s="55">
        <f>'9. Standardlized_Income'!R36/'9. Standardlized_Income'!R34</f>
        <v>0.29778235884822446</v>
      </c>
    </row>
    <row r="39" spans="2:12" ht="16" customHeight="1" x14ac:dyDescent="0.15">
      <c r="B39" s="60" t="s">
        <v>69</v>
      </c>
      <c r="C39" s="59">
        <f t="shared" si="7"/>
        <v>7.5213428911062294E-2</v>
      </c>
      <c r="D39" s="59">
        <f t="shared" si="8"/>
        <v>7.0415026246719165E-2</v>
      </c>
      <c r="E39" s="59">
        <f t="shared" si="9"/>
        <v>6.9751603078939586E-2</v>
      </c>
      <c r="F39" s="59">
        <f t="shared" si="9"/>
        <v>7.1599013171198628E-2</v>
      </c>
      <c r="G39" s="59">
        <f t="shared" si="9"/>
        <v>7.1035498860359397E-2</v>
      </c>
      <c r="H39" s="34">
        <f>'9. Standardlized_Income'!J37/'9. Standardlized_Income'!J34</f>
        <v>7.2032520325203256E-2</v>
      </c>
      <c r="I39" s="34">
        <f>'9. Standardlized_Income'!L37/'9. Standardlized_Income'!L34</f>
        <v>8.920823519314941E-2</v>
      </c>
      <c r="J39" s="34">
        <f>'9. Standardlized_Income'!N37/'9. Standardlized_Income'!N34</f>
        <v>0.21910967500734371</v>
      </c>
      <c r="K39" s="34">
        <f>'9. Standardlized_Income'!P37/'9. Standardlized_Income'!P34</f>
        <v>0.21828639935333019</v>
      </c>
      <c r="L39" s="58">
        <f>'9. Standardlized_Income'!R37/'9. Standardlized_Income'!R34</f>
        <v>3.2709432827105381E-2</v>
      </c>
    </row>
    <row r="40" spans="2:12" ht="16" customHeight="1" x14ac:dyDescent="0.15">
      <c r="B40" s="60" t="s">
        <v>70</v>
      </c>
      <c r="C40" s="59">
        <f t="shared" si="7"/>
        <v>-2.8637296927344117E-3</v>
      </c>
      <c r="D40" s="59">
        <f t="shared" si="8"/>
        <v>1.7907917760279965E-3</v>
      </c>
      <c r="E40" s="59">
        <f t="shared" si="9"/>
        <v>1.0730027371207547E-2</v>
      </c>
      <c r="F40" s="59">
        <f t="shared" si="9"/>
        <v>9.7604378715774442E-3</v>
      </c>
      <c r="G40" s="59">
        <f t="shared" si="9"/>
        <v>1.0464545214139098E-2</v>
      </c>
      <c r="H40" s="34">
        <f>'9. Standardlized_Income'!J38/'9. Standardlized_Income'!J34</f>
        <v>-7.6422764227642281E-3</v>
      </c>
      <c r="I40" s="34">
        <f>'9. Standardlized_Income'!L38/'9. Standardlized_Income'!L34</f>
        <v>-2.5429035508469456E-4</v>
      </c>
      <c r="J40" s="34">
        <f>'9. Standardlized_Income'!N38/'9. Standardlized_Income'!N34</f>
        <v>0</v>
      </c>
      <c r="K40" s="34">
        <f>'9. Standardlized_Income'!P38/'9. Standardlized_Income'!P34</f>
        <v>4.8617396112542371E-2</v>
      </c>
      <c r="L40" s="58">
        <f>'9. Standardlized_Income'!R38/'9. Standardlized_Income'!R34</f>
        <v>-2.8400670645119903E-3</v>
      </c>
    </row>
    <row r="41" spans="2:12" ht="16" customHeight="1" x14ac:dyDescent="0.15">
      <c r="B41" s="57" t="s">
        <v>276</v>
      </c>
      <c r="C41" s="56">
        <f t="shared" si="7"/>
        <v>0.25840207485321126</v>
      </c>
      <c r="D41" s="56">
        <f t="shared" si="8"/>
        <v>0.22104658792650919</v>
      </c>
      <c r="E41" s="56">
        <f t="shared" si="9"/>
        <v>0.24919364165563682</v>
      </c>
      <c r="F41" s="56">
        <f t="shared" si="9"/>
        <v>0.27344055434973097</v>
      </c>
      <c r="G41" s="56">
        <f t="shared" si="9"/>
        <v>0.28659757464331143</v>
      </c>
      <c r="H41" s="38">
        <f>'9. Standardlized_Income'!J46/'9. Standardlized_Income'!J34</f>
        <v>0.34634146341463412</v>
      </c>
      <c r="I41" s="38">
        <f>'9. Standardlized_Income'!L46/'9. Standardlized_Income'!L34</f>
        <v>0.15613745665144102</v>
      </c>
      <c r="J41" s="38">
        <f>'9. Standardlized_Income'!N46/'9. Standardlized_Income'!N34</f>
        <v>0.19972227414746174</v>
      </c>
      <c r="K41" s="38">
        <f>'9. Standardlized_Income'!P46/'9. Standardlized_Income'!P34</f>
        <v>0.14231323317555056</v>
      </c>
      <c r="L41" s="55">
        <f>'9. Standardlized_Income'!R46/'9. Standardlized_Income'!R34</f>
        <v>0.33820686482254003</v>
      </c>
    </row>
    <row r="42" spans="2:12" ht="16" customHeight="1" x14ac:dyDescent="0.15">
      <c r="B42" s="57" t="s">
        <v>279</v>
      </c>
      <c r="C42" s="56">
        <f t="shared" si="7"/>
        <v>0.17501170707107086</v>
      </c>
      <c r="D42" s="56">
        <f t="shared" si="8"/>
        <v>0.14073436132983377</v>
      </c>
      <c r="E42" s="56">
        <f t="shared" si="9"/>
        <v>0.16990709209833074</v>
      </c>
      <c r="F42" s="56">
        <f t="shared" si="9"/>
        <v>0.18821197945454785</v>
      </c>
      <c r="G42" s="56">
        <f t="shared" si="9"/>
        <v>0.19234111143292498</v>
      </c>
      <c r="H42" s="38">
        <f>'9. Standardlized_Income'!J39/'9. Standardlized_Income'!J34</f>
        <v>0.24276422764227643</v>
      </c>
      <c r="I42" s="38">
        <f>'9. Standardlized_Income'!L39/'9. Standardlized_Income'!L34</f>
        <v>9.4554689908805126E-2</v>
      </c>
      <c r="J42" s="38">
        <f>'9. Standardlized_Income'!N39/'9. Standardlized_Income'!N34</f>
        <v>0.14214756856356983</v>
      </c>
      <c r="K42" s="38">
        <f>'9. Standardlized_Income'!P39/'9. Standardlized_Income'!P34</f>
        <v>6.2289702130191901E-2</v>
      </c>
      <c r="L42" s="55">
        <f>'9. Standardlized_Income'!R39/'9. Standardlized_Income'!R34</f>
        <v>0.2679129930856311</v>
      </c>
    </row>
    <row r="43" spans="2:12" ht="16" customHeight="1" x14ac:dyDescent="0.15">
      <c r="B43" s="57" t="s">
        <v>301</v>
      </c>
      <c r="C43" s="56">
        <f t="shared" si="7"/>
        <v>0.12081697345196499</v>
      </c>
      <c r="D43" s="56">
        <f t="shared" si="8"/>
        <v>7.8685476815398087E-2</v>
      </c>
      <c r="E43" s="56">
        <f t="shared" si="9"/>
        <v>0.11991929991390278</v>
      </c>
      <c r="F43" s="56">
        <f t="shared" si="9"/>
        <v>0.12293568087142914</v>
      </c>
      <c r="G43" s="56">
        <f t="shared" si="9"/>
        <v>0.13558575008500082</v>
      </c>
      <c r="H43" s="38">
        <f>'9. Standardlized_Income'!J44/'9. Standardlized_Income'!J34</f>
        <v>0.1848780487804878</v>
      </c>
      <c r="I43" s="38">
        <f>'9. Standardlized_Income'!L44/'9. Standardlized_Income'!L34</f>
        <v>4.9926732591441217E-2</v>
      </c>
      <c r="J43" s="38">
        <f>'9. Standardlized_Income'!N44/'9. Standardlized_Income'!N34</f>
        <v>0.10022164659385265</v>
      </c>
      <c r="K43" s="38">
        <f>'9. Standardlized_Income'!P44/'9. Standardlized_Income'!P34</f>
        <v>5.9519411252749219E-2</v>
      </c>
      <c r="L43" s="55">
        <f>'9. Standardlized_Income'!R44/'9. Standardlized_Income'!R34</f>
        <v>0.20500683474083281</v>
      </c>
    </row>
    <row r="44" spans="2:12" s="8" customFormat="1" ht="8" customHeight="1" x14ac:dyDescent="0.15">
      <c r="B44" s="14"/>
      <c r="C44" s="17"/>
      <c r="D44" s="62"/>
      <c r="E44" s="62"/>
      <c r="F44" s="62"/>
      <c r="G44" s="62"/>
      <c r="H44" s="61"/>
      <c r="I44" s="61"/>
      <c r="J44" s="61"/>
      <c r="K44" s="61"/>
      <c r="L44" s="17"/>
    </row>
    <row r="45" spans="2:12" ht="16" customHeight="1" x14ac:dyDescent="0.15">
      <c r="B45" s="60" t="s">
        <v>124</v>
      </c>
      <c r="C45" s="59">
        <f>C15/$C$20</f>
        <v>1.7175098300030694E-2</v>
      </c>
      <c r="D45" s="59">
        <f t="shared" ref="D45:G49" si="10">D15/D$20</f>
        <v>1.1338569401317916E-2</v>
      </c>
      <c r="E45" s="59">
        <f t="shared" si="10"/>
        <v>6.401204479674405E-2</v>
      </c>
      <c r="F45" s="59">
        <f t="shared" si="10"/>
        <v>3.2721809082830552E-2</v>
      </c>
      <c r="G45" s="59">
        <f t="shared" si="10"/>
        <v>1.0975785011137457E-2</v>
      </c>
      <c r="H45" s="34">
        <f>'9. Standardlized_Income'!J8/'9. Standardlized_Income'!J17</f>
        <v>3.5807813585591363E-3</v>
      </c>
      <c r="I45" s="34">
        <f>'9. Standardlized_Income'!L8/'9. Standardlized_Income'!L17</f>
        <v>3.3812679617874528E-2</v>
      </c>
      <c r="J45" s="34">
        <f>'9. Standardlized_Income'!N8/'9. Standardlized_Income'!N17</f>
        <v>7.022235937526787E-2</v>
      </c>
      <c r="K45" s="34">
        <f>'9. Standardlized_Income'!P8/'9. Standardlized_Income'!P17</f>
        <v>6.8221481341084619E-2</v>
      </c>
      <c r="L45" s="58">
        <f>'9. Standardlized_Income'!R8/'9. Standardlized_Income'!R17</f>
        <v>6.2488704554017494E-3</v>
      </c>
    </row>
    <row r="46" spans="2:12" ht="16" customHeight="1" x14ac:dyDescent="0.15">
      <c r="B46" s="60" t="s">
        <v>285</v>
      </c>
      <c r="C46" s="59">
        <f>C16/$C$20</f>
        <v>5.7240582930144855E-2</v>
      </c>
      <c r="D46" s="59">
        <f t="shared" si="10"/>
        <v>5.9404549478032399E-2</v>
      </c>
      <c r="E46" s="59">
        <f t="shared" si="10"/>
        <v>6.1165842826402306E-2</v>
      </c>
      <c r="F46" s="59">
        <f t="shared" si="10"/>
        <v>5.2166643281418082E-2</v>
      </c>
      <c r="G46" s="59">
        <f t="shared" si="10"/>
        <v>5.3154415463102678E-2</v>
      </c>
      <c r="H46" s="34">
        <f>'9. Standardlized_Income'!J9/'9. Standardlized_Income'!J17</f>
        <v>3.7838704505371169E-2</v>
      </c>
      <c r="I46" s="34">
        <f>'9. Standardlized_Income'!L9/'9. Standardlized_Income'!L17</f>
        <v>4.127272876707825E-2</v>
      </c>
      <c r="J46" s="34">
        <f>'9. Standardlized_Income'!N9/'9. Standardlized_Income'!N17</f>
        <v>8.8772308800082286E-2</v>
      </c>
      <c r="K46" s="34">
        <f>'9. Standardlized_Income'!P9/'9. Standardlized_Income'!P17</f>
        <v>6.1089896224855014E-2</v>
      </c>
      <c r="L46" s="58">
        <f>'9. Standardlized_Income'!R9/'9. Standardlized_Income'!R17</f>
        <v>6.5040326656639891E-2</v>
      </c>
    </row>
    <row r="47" spans="2:12" ht="16" customHeight="1" x14ac:dyDescent="0.15">
      <c r="B47" s="60" t="s">
        <v>126</v>
      </c>
      <c r="C47" s="59">
        <f>C17/$C$20</f>
        <v>3.8099484016195749E-2</v>
      </c>
      <c r="D47" s="59">
        <f t="shared" si="10"/>
        <v>4.0696612479451472E-2</v>
      </c>
      <c r="E47" s="59">
        <f t="shared" si="10"/>
        <v>4.2321785819864288E-2</v>
      </c>
      <c r="F47" s="59">
        <f t="shared" si="10"/>
        <v>3.9860156213460549E-2</v>
      </c>
      <c r="G47" s="59">
        <f t="shared" si="10"/>
        <v>4.0747527005341184E-2</v>
      </c>
      <c r="H47" s="34">
        <f>'9. Standardlized_Income'!J10/'9. Standardlized_Income'!J17</f>
        <v>5.7613168724279837E-2</v>
      </c>
      <c r="I47" s="34">
        <f>'9. Standardlized_Income'!L10/'9. Standardlized_Income'!L17</f>
        <v>0.11936900531764795</v>
      </c>
      <c r="J47" s="34">
        <f>'9. Standardlized_Income'!N10/'9. Standardlized_Income'!N17</f>
        <v>9.0023830341682529E-2</v>
      </c>
      <c r="K47" s="34">
        <f>'9. Standardlized_Income'!P10/'9. Standardlized_Income'!P17</f>
        <v>5.2557334567905067E-2</v>
      </c>
      <c r="L47" s="58">
        <f>'9. Standardlized_Income'!R10/'9. Standardlized_Income'!R17</f>
        <v>0.12717676645459308</v>
      </c>
    </row>
    <row r="48" spans="2:12" ht="16" customHeight="1" x14ac:dyDescent="0.15">
      <c r="B48" s="57" t="s">
        <v>286</v>
      </c>
      <c r="C48" s="56">
        <f>C18/$C$20</f>
        <v>0.12399690117375352</v>
      </c>
      <c r="D48" s="56">
        <f t="shared" si="10"/>
        <v>0.1336180855099546</v>
      </c>
      <c r="E48" s="56">
        <f t="shared" si="10"/>
        <v>0.17358394577091513</v>
      </c>
      <c r="F48" s="56">
        <f t="shared" si="10"/>
        <v>0.13245989429867638</v>
      </c>
      <c r="G48" s="56">
        <f t="shared" si="10"/>
        <v>0.15376278412493113</v>
      </c>
      <c r="H48" s="38">
        <f>'9. Standardlized_Income'!J12/'9. Standardlized_Income'!J17</f>
        <v>0.17064828175939287</v>
      </c>
      <c r="I48" s="38">
        <f>'9. Standardlized_Income'!L12/'9. Standardlized_Income'!L17</f>
        <v>0.26325781962735367</v>
      </c>
      <c r="J48" s="38">
        <f>'9. Standardlized_Income'!N12/'9. Standardlized_Income'!N17</f>
        <v>0.26151656980232818</v>
      </c>
      <c r="K48" s="38">
        <f>'9. Standardlized_Income'!P12/'9. Standardlized_Income'!P17</f>
        <v>0.21048377881142091</v>
      </c>
      <c r="L48" s="55">
        <f>'9. Standardlized_Income'!R12/'9. Standardlized_Income'!R17</f>
        <v>0.20482204503475165</v>
      </c>
    </row>
    <row r="49" spans="2:23" ht="16" customHeight="1" x14ac:dyDescent="0.15">
      <c r="B49" s="60" t="s">
        <v>287</v>
      </c>
      <c r="C49" s="59">
        <f>C19/$C$20</f>
        <v>0.45592212006489991</v>
      </c>
      <c r="D49" s="59">
        <f t="shared" si="10"/>
        <v>0.46533797928989923</v>
      </c>
      <c r="E49" s="59">
        <f t="shared" si="10"/>
        <v>0.46263844297627471</v>
      </c>
      <c r="F49" s="59">
        <f t="shared" si="10"/>
        <v>0.52546068939712831</v>
      </c>
      <c r="G49" s="59">
        <f t="shared" si="10"/>
        <v>0.51915522981485474</v>
      </c>
      <c r="H49" s="34">
        <f>'9. Standardlized_Income'!J13/'9. Standardlized_Income'!J17</f>
        <v>0.56955801400245842</v>
      </c>
      <c r="I49" s="34">
        <f>'9. Standardlized_Income'!L13/'9. Standardlized_Income'!L17</f>
        <v>0.57026226606869379</v>
      </c>
      <c r="J49" s="34">
        <f>'9. Standardlized_Income'!N13/'9. Standardlized_Income'!N17</f>
        <v>0.45274220370656104</v>
      </c>
      <c r="K49" s="34">
        <f>'9. Standardlized_Income'!P13/'9. Standardlized_Income'!P17</f>
        <v>0.42010273597806497</v>
      </c>
      <c r="L49" s="58">
        <f>'9. Standardlized_Income'!R13/'9. Standardlized_Income'!R17</f>
        <v>0.55820179563130434</v>
      </c>
    </row>
    <row r="50" spans="2:23" ht="16" customHeight="1" x14ac:dyDescent="0.15">
      <c r="B50" s="57" t="s">
        <v>136</v>
      </c>
      <c r="C50" s="56">
        <v>1</v>
      </c>
      <c r="D50" s="56">
        <v>1</v>
      </c>
      <c r="E50" s="56">
        <f t="shared" ref="E50:G56" si="11">E20/E$20</f>
        <v>1</v>
      </c>
      <c r="F50" s="56">
        <f t="shared" si="11"/>
        <v>1</v>
      </c>
      <c r="G50" s="56">
        <f t="shared" si="11"/>
        <v>1</v>
      </c>
      <c r="H50" s="38">
        <v>1</v>
      </c>
      <c r="I50" s="38">
        <v>1</v>
      </c>
      <c r="J50" s="38">
        <v>1</v>
      </c>
      <c r="K50" s="38">
        <v>1</v>
      </c>
      <c r="L50" s="55">
        <v>1</v>
      </c>
    </row>
    <row r="51" spans="2:23" ht="16" customHeight="1" x14ac:dyDescent="0.15">
      <c r="B51" s="60" t="s">
        <v>288</v>
      </c>
      <c r="C51" s="59">
        <f>C21/$C$20</f>
        <v>2.6712759270898806E-2</v>
      </c>
      <c r="D51" s="59">
        <f t="shared" ref="D51:D56" si="12">D21/D$20</f>
        <v>3.1929242830848775E-2</v>
      </c>
      <c r="E51" s="59">
        <f t="shared" si="11"/>
        <v>2.6839547082642978E-2</v>
      </c>
      <c r="F51" s="59">
        <f t="shared" si="11"/>
        <v>2.379449043543333E-2</v>
      </c>
      <c r="G51" s="59">
        <f t="shared" si="11"/>
        <v>2.6256856123206627E-2</v>
      </c>
      <c r="H51" s="34">
        <f>'9. Standardlized_Income'!J19/'9. Standardlized_Income'!J17</f>
        <v>2.0789909678798568E-2</v>
      </c>
      <c r="I51" s="34">
        <f>'9. Standardlized_Income'!L19/'9. Standardlized_Income'!L17</f>
        <v>3.9883729531438782E-2</v>
      </c>
      <c r="J51" s="34">
        <f>'9. Standardlized_Income'!N19/'9. Standardlized_Income'!N17</f>
        <v>5.5941298496459735E-2</v>
      </c>
      <c r="K51" s="34">
        <f>'9. Standardlized_Income'!P19/'9. Standardlized_Income'!P17</f>
        <v>0.10729622920500968</v>
      </c>
      <c r="L51" s="58">
        <f>'9. Standardlized_Income'!R19/'9. Standardlized_Income'!R17</f>
        <v>3.9790601576308204E-2</v>
      </c>
    </row>
    <row r="52" spans="2:23" ht="16" customHeight="1" x14ac:dyDescent="0.15">
      <c r="B52" s="57" t="s">
        <v>289</v>
      </c>
      <c r="C52" s="56">
        <f>C22/$C$20</f>
        <v>5.6224694137079208E-2</v>
      </c>
      <c r="D52" s="56">
        <f t="shared" si="12"/>
        <v>6.720245036741461E-2</v>
      </c>
      <c r="E52" s="56">
        <f t="shared" si="11"/>
        <v>5.4834074674989859E-2</v>
      </c>
      <c r="F52" s="56">
        <f t="shared" si="11"/>
        <v>7.2441653804779946E-2</v>
      </c>
      <c r="G52" s="56">
        <f t="shared" si="11"/>
        <v>5.7250125745491119E-2</v>
      </c>
      <c r="H52" s="38">
        <f>'9. Standardlized_Income'!J22/'9. Standardlized_Income'!J17</f>
        <v>4.783282561060339E-2</v>
      </c>
      <c r="I52" s="38">
        <f>'9. Standardlized_Income'!L22/'9. Standardlized_Income'!L17</f>
        <v>0.10355578325036779</v>
      </c>
      <c r="J52" s="38">
        <f>'9. Standardlized_Income'!N22/'9. Standardlized_Income'!N17</f>
        <v>0.15007972020778687</v>
      </c>
      <c r="K52" s="38">
        <f>'9. Standardlized_Income'!P22/'9. Standardlized_Income'!P17</f>
        <v>0.25491109944206058</v>
      </c>
      <c r="L52" s="55">
        <f>'9. Standardlized_Income'!R22/'9. Standardlized_Income'!R17</f>
        <v>7.5047708900658275E-2</v>
      </c>
    </row>
    <row r="53" spans="2:23" ht="16" customHeight="1" x14ac:dyDescent="0.15">
      <c r="B53" s="57" t="s">
        <v>147</v>
      </c>
      <c r="C53" s="56">
        <f>C23/$C$20</f>
        <v>0.51999619955271659</v>
      </c>
      <c r="D53" s="56">
        <f t="shared" si="12"/>
        <v>0.51159849943096392</v>
      </c>
      <c r="E53" s="56">
        <f t="shared" si="11"/>
        <v>0.48384058519012491</v>
      </c>
      <c r="F53" s="56">
        <f t="shared" si="11"/>
        <v>0.52396403348767595</v>
      </c>
      <c r="G53" s="56">
        <f t="shared" si="11"/>
        <v>0.48810208138727212</v>
      </c>
      <c r="H53" s="38">
        <f>'9. Standardlized_Income'!J26/'9. Standardlized_Income'!J17</f>
        <v>0.46373790818235261</v>
      </c>
      <c r="I53" s="38">
        <f>'9. Standardlized_Income'!L26/'9. Standardlized_Income'!L17</f>
        <v>0.55044094561533763</v>
      </c>
      <c r="J53" s="38">
        <f>'9. Standardlized_Income'!N26/'9. Standardlized_Income'!N17</f>
        <v>0.57057381405475838</v>
      </c>
      <c r="K53" s="38">
        <f>'9. Standardlized_Income'!P26/'9. Standardlized_Income'!P17</f>
        <v>0.52972759671761349</v>
      </c>
      <c r="L53" s="55">
        <f>'9. Standardlized_Income'!R26/'9. Standardlized_Income'!R17</f>
        <v>0.553787765079229</v>
      </c>
    </row>
    <row r="54" spans="2:23" ht="16" customHeight="1" x14ac:dyDescent="0.15">
      <c r="B54" s="60" t="s">
        <v>290</v>
      </c>
      <c r="C54" s="59">
        <f>C24/$C$20</f>
        <v>0.29058073757911507</v>
      </c>
      <c r="D54" s="59">
        <f t="shared" si="12"/>
        <v>0.28330968204234752</v>
      </c>
      <c r="E54" s="59">
        <f t="shared" si="11"/>
        <v>0.26859484246203347</v>
      </c>
      <c r="F54" s="59">
        <f t="shared" si="11"/>
        <v>0.31147981853047102</v>
      </c>
      <c r="G54" s="59">
        <f t="shared" si="11"/>
        <v>0.2618440276879595</v>
      </c>
      <c r="H54" s="34">
        <f>'9. Standardlized_Income'!J31/'9. Standardlized_Income'!J17</f>
        <v>0.30062530062530063</v>
      </c>
      <c r="I54" s="34">
        <f>'9. Standardlized_Income'!L31/'9. Standardlized_Income'!L17</f>
        <v>0.3193164041631622</v>
      </c>
      <c r="J54" s="34">
        <f>'9. Standardlized_Income'!N31/'9. Standardlized_Income'!N17</f>
        <v>0.31180030516552659</v>
      </c>
      <c r="K54" s="34">
        <f>'9. Standardlized_Income'!P31/'9. Standardlized_Income'!P17</f>
        <v>0.2340711418511188</v>
      </c>
      <c r="L54" s="58">
        <f>'9. Standardlized_Income'!R31/'9. Standardlized_Income'!R17</f>
        <v>0.37931868933005364</v>
      </c>
    </row>
    <row r="55" spans="2:23" ht="16" customHeight="1" x14ac:dyDescent="0.15">
      <c r="B55" s="57" t="s">
        <v>291</v>
      </c>
      <c r="C55" s="56">
        <f>C25/$C$20</f>
        <v>0.48000380044728336</v>
      </c>
      <c r="D55" s="56">
        <f t="shared" si="12"/>
        <v>0.48840150056903597</v>
      </c>
      <c r="E55" s="56">
        <f t="shared" si="11"/>
        <v>0.51615941480987504</v>
      </c>
      <c r="F55" s="56">
        <f t="shared" si="11"/>
        <v>0.47603596651232405</v>
      </c>
      <c r="G55" s="56">
        <f t="shared" si="11"/>
        <v>0.51189791861272782</v>
      </c>
      <c r="H55" s="38">
        <f>'9. Standardlized_Income'!J30/'9. Standardlized_Income'!J17</f>
        <v>0.53626209181764739</v>
      </c>
      <c r="I55" s="38">
        <f>'9. Standardlized_Income'!L30/'9. Standardlized_Income'!L17</f>
        <v>0.44955905438466237</v>
      </c>
      <c r="J55" s="38">
        <f>'9. Standardlized_Income'!N30/'9. Standardlized_Income'!N17</f>
        <v>0.42942618594524162</v>
      </c>
      <c r="K55" s="38">
        <f>'9. Standardlized_Income'!P30/'9. Standardlized_Income'!P17</f>
        <v>0.47027240328238656</v>
      </c>
      <c r="L55" s="55">
        <f>'9. Standardlized_Income'!R30/'9. Standardlized_Income'!R17</f>
        <v>0.44621223492077106</v>
      </c>
    </row>
    <row r="56" spans="2:23" ht="16" customHeight="1" x14ac:dyDescent="0.15">
      <c r="B56" s="57" t="s">
        <v>292</v>
      </c>
      <c r="C56" s="56">
        <f>C26/$C$5</f>
        <v>0.16701487698569936</v>
      </c>
      <c r="D56" s="56">
        <f t="shared" si="12"/>
        <v>6.6415635142540008E-2</v>
      </c>
      <c r="E56" s="56">
        <f t="shared" si="11"/>
        <v>0.11874987109592526</v>
      </c>
      <c r="F56" s="56">
        <f t="shared" si="11"/>
        <v>6.0018240493896445E-2</v>
      </c>
      <c r="G56" s="56">
        <f t="shared" si="11"/>
        <v>9.6512658379440022E-2</v>
      </c>
      <c r="H56" s="38">
        <f>('9. Standardlized_Income'!J12-'9. Standardlized_Income'!J22)/'9. Standardlized_Income'!J17</f>
        <v>0.12281545614878948</v>
      </c>
      <c r="I56" s="38">
        <f>('9. Standardlized_Income'!L12-'9. Standardlized_Income'!L22)/'9. Standardlized_Income'!L17</f>
        <v>0.15970203637698588</v>
      </c>
      <c r="J56" s="38">
        <f>('9. Standardlized_Income'!N12-'9. Standardlized_Income'!N22)/'9. Standardlized_Income'!N17</f>
        <v>0.11143684959454131</v>
      </c>
      <c r="K56" s="38">
        <f>('9. Standardlized_Income'!P12-'9. Standardlized_Income'!P22)/'9. Standardlized_Income'!P17</f>
        <v>-4.4427320630639672E-2</v>
      </c>
      <c r="L56" s="55">
        <f>('9. Standardlized_Income'!R12-'9. Standardlized_Income'!R22)/'9. Standardlized_Income'!R17</f>
        <v>0.12977433613409339</v>
      </c>
    </row>
    <row r="57" spans="2:23" s="8" customFormat="1" ht="8" customHeight="1" x14ac:dyDescent="0.15">
      <c r="L57" s="54"/>
    </row>
    <row r="58" spans="2:23" ht="16" customHeight="1" x14ac:dyDescent="0.15">
      <c r="B58" s="39" t="s">
        <v>302</v>
      </c>
      <c r="C58" s="24"/>
      <c r="D58" s="24"/>
      <c r="E58" s="24"/>
      <c r="F58" s="24"/>
      <c r="G58" s="24"/>
      <c r="H58" s="53"/>
      <c r="I58" s="24"/>
      <c r="J58" s="24"/>
      <c r="K58" s="24"/>
      <c r="L58" s="52"/>
      <c r="M58" s="24"/>
      <c r="N58" s="24"/>
    </row>
    <row r="59" spans="2:23" ht="16" customHeight="1" x14ac:dyDescent="0.15">
      <c r="B59" s="51" t="s">
        <v>233</v>
      </c>
      <c r="C59" s="51">
        <v>2021</v>
      </c>
      <c r="D59" s="51">
        <v>2022</v>
      </c>
      <c r="E59" s="51">
        <v>2023</v>
      </c>
      <c r="F59" s="51">
        <v>2024</v>
      </c>
      <c r="G59" s="50" t="s">
        <v>303</v>
      </c>
      <c r="H59" s="50" t="s">
        <v>271</v>
      </c>
      <c r="I59" s="50" t="s">
        <v>274</v>
      </c>
      <c r="J59" s="50" t="s">
        <v>273</v>
      </c>
      <c r="K59" s="50" t="s">
        <v>275</v>
      </c>
      <c r="L59" s="50" t="s">
        <v>272</v>
      </c>
      <c r="M59" s="50" t="s">
        <v>304</v>
      </c>
      <c r="N59" s="50" t="s">
        <v>305</v>
      </c>
    </row>
    <row r="60" spans="2:23" ht="16" customHeight="1" x14ac:dyDescent="0.15">
      <c r="B60" s="30" t="s">
        <v>306</v>
      </c>
      <c r="C60" s="48"/>
      <c r="D60" s="48"/>
      <c r="E60" s="48"/>
      <c r="F60" s="48"/>
      <c r="G60" s="48"/>
      <c r="H60" s="49" t="s">
        <v>80</v>
      </c>
      <c r="I60" s="49" t="s">
        <v>80</v>
      </c>
      <c r="J60" s="49" t="s">
        <v>80</v>
      </c>
      <c r="K60" s="49" t="s">
        <v>80</v>
      </c>
      <c r="L60" s="49" t="s">
        <v>307</v>
      </c>
      <c r="M60" s="48"/>
      <c r="N60" s="30"/>
      <c r="Q60" s="45"/>
      <c r="R60" s="45"/>
      <c r="S60" s="45"/>
      <c r="T60" s="45"/>
      <c r="U60" s="45"/>
      <c r="V60" s="45"/>
      <c r="W60" s="45"/>
    </row>
    <row r="61" spans="2:23" ht="16" customHeight="1" x14ac:dyDescent="0.15">
      <c r="B61" s="24" t="s">
        <v>308</v>
      </c>
      <c r="C61" s="31">
        <f>C18/C22</f>
        <v>2.2053815156635901</v>
      </c>
      <c r="D61" s="31">
        <f>D18/D22</f>
        <v>1.9882918670290612</v>
      </c>
      <c r="E61" s="31">
        <f>E18/E22</f>
        <v>3.1656218655967905</v>
      </c>
      <c r="F61" s="31">
        <f>F18/F22</f>
        <v>1.8285045597611169</v>
      </c>
      <c r="G61" s="31">
        <f>G18/G22</f>
        <v>2.6858069239619287</v>
      </c>
      <c r="H61" s="32">
        <f>'9. Standardlized_Income'!J12/'9. Standardlized_Income'!J22</f>
        <v>3.5675977653631286</v>
      </c>
      <c r="I61" s="32">
        <f>'9. Standardlized_Income'!L12/'9. Standardlized_Income'!L22</f>
        <v>2.5421836556522659</v>
      </c>
      <c r="J61" s="32">
        <f>'9. Standardlized_Income'!N12/'9. Standardlized_Income'!N22</f>
        <v>1.7425177061914554</v>
      </c>
      <c r="K61" s="32">
        <f>'9. Standardlized_Income'!P12/'9. Standardlized_Income'!P22</f>
        <v>0.82571445210553618</v>
      </c>
      <c r="L61" s="32">
        <f>'9. Standardlized_Income'!R12/'9. Standardlized_Income'!R22</f>
        <v>2.7292244897959184</v>
      </c>
      <c r="M61" s="31">
        <f>MEDIAN(G61:K61)</f>
        <v>2.5421836556522659</v>
      </c>
      <c r="N61" s="20">
        <f>RANK(G61,G61:L61,0)</f>
        <v>3</v>
      </c>
      <c r="Q61" s="45"/>
      <c r="R61" s="45"/>
      <c r="S61" s="45"/>
      <c r="T61" s="45"/>
      <c r="U61" s="45"/>
      <c r="V61" s="45"/>
      <c r="W61" s="45"/>
    </row>
    <row r="62" spans="2:23" ht="16" customHeight="1" x14ac:dyDescent="0.15">
      <c r="B62" s="24" t="s">
        <v>309</v>
      </c>
      <c r="C62" s="47">
        <f>(C18-C17)/C22</f>
        <v>1.5277525022747953</v>
      </c>
      <c r="D62" s="47">
        <f>(D18-D17)/D22</f>
        <v>1.3827095964875602</v>
      </c>
      <c r="E62" s="47">
        <f>(E18-E17)/E22</f>
        <v>2.3938064192577735</v>
      </c>
      <c r="F62" s="47">
        <f>(F18-F17)/F22</f>
        <v>1.278266483738197</v>
      </c>
      <c r="G62" s="47">
        <f>(G18-G17)/G22</f>
        <v>1.9740612906599728</v>
      </c>
      <c r="H62" s="1">
        <f>('9. Standardlized_Income'!J12-'9. Standardlized_Income'!J10)/'9. Standardlized_Income'!J22</f>
        <v>2.3631284916201118</v>
      </c>
      <c r="I62" s="1">
        <f>('9. Standardlized_Income'!L12-'9. Standardlized_Income'!L10)/'9. Standardlized_Income'!L22</f>
        <v>1.3894812032064341</v>
      </c>
      <c r="J62" s="1">
        <f>('9. Standardlized_Income'!N12-'9. Standardlized_Income'!N10)/'9. Standardlized_Income'!N22</f>
        <v>1.1426776330820196</v>
      </c>
      <c r="K62" s="1">
        <f>('9. Standardlized_Income'!P12-'9. Standardlized_Income'!P10)/'9. Standardlized_Income'!P22</f>
        <v>0.61953537758527988</v>
      </c>
      <c r="L62" s="1">
        <f>('9. Standardlized_Income'!R12-'9. Standardlized_Income'!R10)/'9. Standardlized_Income'!R22</f>
        <v>1.0346122448979591</v>
      </c>
      <c r="M62" s="47">
        <f>MEDIAN(G62:K62)</f>
        <v>1.3894812032064341</v>
      </c>
      <c r="N62" s="20">
        <f>RANK(G62,G62:L62,0)</f>
        <v>2</v>
      </c>
      <c r="Q62" s="46"/>
      <c r="R62" s="46"/>
      <c r="S62" s="46"/>
      <c r="T62" s="46"/>
      <c r="U62" s="46"/>
      <c r="V62" s="46"/>
      <c r="W62" s="46"/>
    </row>
    <row r="63" spans="2:23" ht="16" customHeight="1" x14ac:dyDescent="0.15">
      <c r="B63" s="24" t="s">
        <v>310</v>
      </c>
      <c r="C63" s="31">
        <f>C15/C22</f>
        <v>0.3054725074743273</v>
      </c>
      <c r="D63" s="31">
        <f>D15/D22</f>
        <v>0.16872255906334938</v>
      </c>
      <c r="E63" s="31">
        <f>E15/E22</f>
        <v>1.1673771313941825</v>
      </c>
      <c r="F63" s="31">
        <f>F15/F22</f>
        <v>0.45169881365507231</v>
      </c>
      <c r="G63" s="31">
        <f>G15/G22</f>
        <v>0.19171634766237841</v>
      </c>
      <c r="H63" s="32">
        <f>'9. Standardlized_Income'!J8/'9. Standardlized_Income'!J22</f>
        <v>7.4860335195530731E-2</v>
      </c>
      <c r="I63" s="32">
        <f>'9. Standardlized_Income'!L8/'9. Standardlized_Income'!L22</f>
        <v>0.32651657451255323</v>
      </c>
      <c r="J63" s="32">
        <f>'9. Standardlized_Income'!N8/'9. Standardlized_Income'!N22</f>
        <v>0.4679003883938771</v>
      </c>
      <c r="K63" s="32">
        <f>'9. Standardlized_Income'!P8/'9. Standardlized_Income'!P22</f>
        <v>0.26762852418119543</v>
      </c>
      <c r="L63" s="32">
        <f>'9. Standardlized_Income'!R8/'9. Standardlized_Income'!R22</f>
        <v>8.3265306122448979E-2</v>
      </c>
      <c r="M63" s="31">
        <f>MEDIAN(G63:K63)</f>
        <v>0.26762852418119543</v>
      </c>
      <c r="N63" s="20">
        <f>RANK(G63,G63:L63,0)</f>
        <v>4</v>
      </c>
      <c r="Q63" s="45"/>
      <c r="R63" s="45"/>
      <c r="S63" s="45"/>
      <c r="T63" s="45"/>
      <c r="U63" s="45"/>
      <c r="V63" s="45"/>
      <c r="W63" s="45"/>
    </row>
    <row r="64" spans="2:23" ht="16" customHeight="1" x14ac:dyDescent="0.15">
      <c r="B64" s="44" t="s">
        <v>292</v>
      </c>
      <c r="C64" s="43">
        <f>C18-C22</f>
        <v>927.3</v>
      </c>
      <c r="D64" s="43">
        <f>D18-D22</f>
        <v>945.4</v>
      </c>
      <c r="E64" s="43">
        <f>E18-E22</f>
        <v>1727.3000000000002</v>
      </c>
      <c r="F64" s="43">
        <f>F18-F22</f>
        <v>1026.5999999999999</v>
      </c>
      <c r="G64" s="43">
        <f>G18-G22</f>
        <v>1611.8000000000002</v>
      </c>
      <c r="H64" s="43">
        <f>'9. Standardlized_Income'!J12-'9. Standardlized_Income'!J22</f>
        <v>2298</v>
      </c>
      <c r="I64" s="43">
        <f>'9. Standardlized_Income'!L12-'9. Standardlized_Income'!L22</f>
        <v>582.92999999999995</v>
      </c>
      <c r="J64" s="42">
        <f>'9. Standardlized_Income'!N12-'9. Standardlized_Income'!N22</f>
        <v>6500</v>
      </c>
      <c r="K64" s="42">
        <f>'9. Standardlized_Income'!P12-'9. Standardlized_Income'!P22</f>
        <v>-1286.8599999999997</v>
      </c>
      <c r="L64" s="42">
        <f>'9. Standardlized_Income'!R12-'9. Standardlized_Income'!R22</f>
        <v>423.65999999999997</v>
      </c>
      <c r="M64" s="41">
        <f>MEDIAN(G64:G64)</f>
        <v>1611.8000000000002</v>
      </c>
      <c r="N64" s="40">
        <f>RANK(G64,G64:L64,0)</f>
        <v>3</v>
      </c>
    </row>
    <row r="65" spans="2:14" ht="16" customHeight="1" x14ac:dyDescent="0.15">
      <c r="B65" s="24" t="s">
        <v>311</v>
      </c>
      <c r="C65" s="33">
        <f>C29/C22</f>
        <v>1.3153516183543481</v>
      </c>
      <c r="D65" s="33">
        <f>D29/D22</f>
        <v>1.2002927033242734</v>
      </c>
      <c r="E65" s="33">
        <f>E29/E22</f>
        <v>1.9267803410230691</v>
      </c>
      <c r="F65" s="33">
        <f>F29/F22</f>
        <v>1.1375998708740214</v>
      </c>
      <c r="G65" s="33">
        <f>G29/G22</f>
        <v>1.8962451626398911</v>
      </c>
      <c r="H65" s="34">
        <f>'9. Standardlized_Income'!J51/'9. Standardlized_Income'!J22</f>
        <v>1.994413407821229</v>
      </c>
      <c r="I65" s="34">
        <f>'9. Standardlized_Income'!L51/'9. Standardlized_Income'!L22</f>
        <v>0.73673906717108917</v>
      </c>
      <c r="J65" s="34">
        <f>'9. Standardlized_Income'!N51/'9. Standardlized_Income'!N22</f>
        <v>0.64256339958875941</v>
      </c>
      <c r="K65" s="34">
        <f>'9. Standardlized_Income'!P51/'9. Standardlized_Income'!P22</f>
        <v>0.27868270755712299</v>
      </c>
      <c r="L65" s="34">
        <f>'9. Standardlized_Income'!R51/'9. Standardlized_Income'!R22</f>
        <v>2.2389795918367343</v>
      </c>
      <c r="M65" s="33">
        <f>MEDIAN(G65:G65)</f>
        <v>1.8962451626398911</v>
      </c>
      <c r="N65" s="20">
        <f>RANK(G65,G65:L65,0)</f>
        <v>3</v>
      </c>
    </row>
    <row r="66" spans="2:14" ht="16" customHeight="1" x14ac:dyDescent="0.15">
      <c r="B66" s="39" t="s">
        <v>312</v>
      </c>
      <c r="C66" s="37"/>
      <c r="D66" s="37"/>
      <c r="E66" s="37"/>
      <c r="F66" s="37"/>
      <c r="G66" s="37"/>
      <c r="H66" s="38"/>
      <c r="I66" s="38"/>
      <c r="J66" s="38"/>
      <c r="K66" s="38"/>
      <c r="L66" s="38"/>
      <c r="M66" s="37"/>
      <c r="N66" s="36"/>
    </row>
    <row r="67" spans="2:14" s="8" customFormat="1" ht="16" customHeight="1" x14ac:dyDescent="0.15">
      <c r="B67" s="24" t="s">
        <v>276</v>
      </c>
      <c r="C67" s="33">
        <f>C41</f>
        <v>0.25840207485321126</v>
      </c>
      <c r="D67" s="33">
        <f>D41</f>
        <v>0.22104658792650919</v>
      </c>
      <c r="E67" s="33">
        <f>E41</f>
        <v>0.24919364165563682</v>
      </c>
      <c r="F67" s="33">
        <f>F41</f>
        <v>0.27344055434973097</v>
      </c>
      <c r="G67" s="33">
        <f>G41</f>
        <v>0.28659757464331143</v>
      </c>
      <c r="H67" s="34">
        <f>'9. Standardlized_Income'!J46/'9. Standardlized_Income'!J34</f>
        <v>0.34634146341463412</v>
      </c>
      <c r="I67" s="34">
        <f>'9. Standardlized_Income'!L46/'9. Standardlized_Income'!L34</f>
        <v>0.15613745665144102</v>
      </c>
      <c r="J67" s="34">
        <f>'9. Standardlized_Income'!N46/'9. Standardlized_Income'!N34</f>
        <v>0.19972227414746174</v>
      </c>
      <c r="K67" s="34">
        <f>'9. Standardlized_Income'!P46/'9. Standardlized_Income'!P34</f>
        <v>0.14231323317555056</v>
      </c>
      <c r="L67" s="34">
        <f>'9. Standardlized_Income'!R46/'9. Standardlized_Income'!R34</f>
        <v>0.33820686482254003</v>
      </c>
      <c r="M67" s="33">
        <f t="shared" ref="M67:M72" si="13">MEDIAN(G67:L67)</f>
        <v>0.24315992439538658</v>
      </c>
      <c r="N67" s="20">
        <f t="shared" ref="N67:N72" si="14">RANK(G67,G67:L67,0)</f>
        <v>3</v>
      </c>
    </row>
    <row r="68" spans="2:14" ht="16" customHeight="1" x14ac:dyDescent="0.15">
      <c r="B68" s="35" t="s">
        <v>313</v>
      </c>
      <c r="C68" s="34">
        <f>C12/C5</f>
        <v>0.12081697345196499</v>
      </c>
      <c r="D68" s="34">
        <f>D12/D5</f>
        <v>7.8685476815398087E-2</v>
      </c>
      <c r="E68" s="34">
        <f>E12/E5</f>
        <v>0.11991929991390278</v>
      </c>
      <c r="F68" s="34">
        <f>F12/F5</f>
        <v>0.12293568087142914</v>
      </c>
      <c r="G68" s="34">
        <f>G12/G5</f>
        <v>0.13558575008500082</v>
      </c>
      <c r="H68" s="34">
        <f>'9. Standardlized_Income'!J44/'9. Standardlized_Income'!J34</f>
        <v>0.1848780487804878</v>
      </c>
      <c r="I68" s="34">
        <f>'9. Standardlized_Income'!L44/'9. Standardlized_Income'!L34</f>
        <v>4.9926732591441217E-2</v>
      </c>
      <c r="J68" s="34">
        <f>'9. Standardlized_Income'!N44/'9. Standardlized_Income'!N34</f>
        <v>0.10022164659385265</v>
      </c>
      <c r="K68" s="34">
        <f>'9. Standardlized_Income'!P44/'9. Standardlized_Income'!P34</f>
        <v>5.9519411252749219E-2</v>
      </c>
      <c r="L68" s="34">
        <f>'9. Standardlized_Income'!R44/'9. Standardlized_Income'!R34</f>
        <v>0.20500683474083281</v>
      </c>
      <c r="M68" s="33">
        <f t="shared" si="13"/>
        <v>0.11790369833942674</v>
      </c>
      <c r="N68" s="20">
        <f t="shared" si="14"/>
        <v>3</v>
      </c>
    </row>
    <row r="69" spans="2:14" ht="16" customHeight="1" x14ac:dyDescent="0.15">
      <c r="B69" s="35" t="s">
        <v>314</v>
      </c>
      <c r="C69" s="33">
        <f>C11/C5</f>
        <v>0.17501170707107086</v>
      </c>
      <c r="D69" s="33">
        <f>D11/D5</f>
        <v>0.14073436132983377</v>
      </c>
      <c r="E69" s="33">
        <f>E11/E5</f>
        <v>0.16990709209833074</v>
      </c>
      <c r="F69" s="33">
        <f>F11/F5</f>
        <v>0.18821197945454785</v>
      </c>
      <c r="G69" s="33">
        <f>G11/G5</f>
        <v>0.19234111143292498</v>
      </c>
      <c r="H69" s="34">
        <f>'9. Standardlized_Income'!J39/'9. Standardlized_Income'!J34</f>
        <v>0.24276422764227643</v>
      </c>
      <c r="I69" s="34">
        <f>'9. Standardlized_Income'!L39/'9. Standardlized_Income'!L34</f>
        <v>9.4554689908805126E-2</v>
      </c>
      <c r="J69" s="34">
        <f>'9. Standardlized_Income'!N39/'9. Standardlized_Income'!N34</f>
        <v>0.14214756856356983</v>
      </c>
      <c r="K69" s="34">
        <f>'9. Standardlized_Income'!P39/'9. Standardlized_Income'!P34</f>
        <v>6.2289702130191901E-2</v>
      </c>
      <c r="L69" s="34">
        <f>'9. Standardlized_Income'!R39/'9. Standardlized_Income'!R34</f>
        <v>0.2679129930856311</v>
      </c>
      <c r="M69" s="33">
        <f t="shared" si="13"/>
        <v>0.16724433999824739</v>
      </c>
      <c r="N69" s="20">
        <f t="shared" si="14"/>
        <v>3</v>
      </c>
    </row>
    <row r="70" spans="2:14" ht="16" customHeight="1" x14ac:dyDescent="0.15">
      <c r="B70" s="35" t="s">
        <v>315</v>
      </c>
      <c r="C70" s="33">
        <f>C11*(1-'9. Standardlized_Income'!H43/'9. Standardlized_Income'!H42)/(C24+C25)</f>
        <v>7.1055514473981674E-2</v>
      </c>
      <c r="D70" s="33">
        <f>D11*(1-'9. Standardlized_Income'!G43/'9. Standardlized_Income'!G42)/(D24+D25)</f>
        <v>7.0767672542820473E-2</v>
      </c>
      <c r="E70" s="33">
        <f>E11*(1-'9. Standardlized_Income'!F43/'9. Standardlized_Income'!F42)/(E24+E25)</f>
        <v>8.7978793540264708E-2</v>
      </c>
      <c r="F70" s="33">
        <f>F11*(1-'9. Standardlized_Income'!E43/'9. Standardlized_Income'!E42)/(F24+F25)</f>
        <v>8.1412808374653201E-2</v>
      </c>
      <c r="G70" s="33">
        <f>G11*(1-'9. Standardlized_Income'!D43/'9. Standardlized_Income'!D42)/(G24+G25)</f>
        <v>9.2055925966479796E-2</v>
      </c>
      <c r="H70" s="34">
        <f>'9. Standardlized_Income'!J39*(1-'9. Standardlized_Income'!J43/'9. Standardlized_Income'!J42)/('9. Standardlized_Income'!J31+'9. Standardlized_Income'!J30)</f>
        <v>7.69910970628402E-2</v>
      </c>
      <c r="I70" s="34">
        <f>'9. Standardlized_Income'!L39*(1-'9. Standardlized_Income'!L43/'9. Standardlized_Income'!L42)/('9. Standardlized_Income'!L31+'9. Standardlized_Income'!L30)</f>
        <v>7.8084870684493504E-2</v>
      </c>
      <c r="J70" s="34">
        <f>'9. Standardlized_Income'!N39*(1-'9. Standardlized_Income'!N43/'9. Standardlized_Income'!N42)/('9. Standardlized_Income'!N31+'9. Standardlized_Income'!N30)</f>
        <v>9.6444446637312456E-2</v>
      </c>
      <c r="K70" s="34">
        <f>'9. Standardlized_Income'!P39*(1-'9. Standardlized_Income'!P43/'9. Standardlized_Income'!P42)/('9. Standardlized_Income'!P31+'9. Standardlized_Income'!P30)</f>
        <v>2.5229730518122998E-2</v>
      </c>
      <c r="L70" s="34">
        <f>'9. Standardlized_Income'!R39*(1-'9. Standardlized_Income'!R43/'9. Standardlized_Income'!R42)/('9. Standardlized_Income'!R31+'9. Standardlized_Income'!R30)</f>
        <v>0.17606198040098431</v>
      </c>
      <c r="M70" s="33">
        <f t="shared" si="13"/>
        <v>8.5070398325486657E-2</v>
      </c>
      <c r="N70" s="20">
        <f t="shared" si="14"/>
        <v>3</v>
      </c>
    </row>
    <row r="71" spans="2:14" ht="16" customHeight="1" x14ac:dyDescent="0.15">
      <c r="B71" s="35" t="s">
        <v>316</v>
      </c>
      <c r="C71" s="33">
        <f>C12/C20</f>
        <v>4.902576995600251E-2</v>
      </c>
      <c r="D71" s="33">
        <f>D12/D20</f>
        <v>4.0436682449805403E-2</v>
      </c>
      <c r="E71" s="33">
        <f>E12/E20</f>
        <v>6.4156417360457046E-2</v>
      </c>
      <c r="F71" s="33">
        <f>F12/F20</f>
        <v>5.3312520462092512E-2</v>
      </c>
      <c r="G71" s="33">
        <f>G12/G20</f>
        <v>6.4471509664439167E-2</v>
      </c>
      <c r="H71" s="34">
        <f>'9. Standardlized_Income'!J44/'9. Standardlized_Income'!J17</f>
        <v>6.0766394099727436E-2</v>
      </c>
      <c r="I71" s="34">
        <f>'9. Standardlized_Income'!L44/'9. Standardlized_Income'!L17</f>
        <v>4.3031579870195687E-2</v>
      </c>
      <c r="J71" s="34">
        <f>'9. Standardlized_Income'!N44/'9. Standardlized_Income'!N17</f>
        <v>6.4341922542817467E-2</v>
      </c>
      <c r="K71" s="34">
        <f>'9. Standardlized_Income'!P44/'9. Standardlized_Income'!P17</f>
        <v>3.3148389239478264E-2</v>
      </c>
      <c r="L71" s="34">
        <f>'9. Standardlized_Income'!R44/'9. Standardlized_Income'!R17</f>
        <v>0.1419535071785431</v>
      </c>
      <c r="M71" s="33">
        <f t="shared" si="13"/>
        <v>6.2554158321272452E-2</v>
      </c>
      <c r="N71" s="20">
        <f t="shared" si="14"/>
        <v>2</v>
      </c>
    </row>
    <row r="72" spans="2:14" ht="16" customHeight="1" x14ac:dyDescent="0.15">
      <c r="B72" s="35" t="s">
        <v>317</v>
      </c>
      <c r="C72" s="33">
        <f>C12/C25</f>
        <v>0.10213621206815171</v>
      </c>
      <c r="D72" s="33">
        <f>D12/D25</f>
        <v>8.2793935732573862E-2</v>
      </c>
      <c r="E72" s="33">
        <f>E12/E25</f>
        <v>0.12429574181861773</v>
      </c>
      <c r="F72" s="33">
        <f>F12/F25</f>
        <v>0.11199263125575683</v>
      </c>
      <c r="G72" s="33">
        <f>G12/G25</f>
        <v>0.12594602814397174</v>
      </c>
      <c r="H72" s="34">
        <f>'9. Standardlized_Income'!J44/'9. Standardlized_Income'!J30</f>
        <v>0.11331472991827786</v>
      </c>
      <c r="I72" s="34">
        <f>'9. Standardlized_Income'!L44/'9. Standardlized_Income'!L30</f>
        <v>9.5719526612795092E-2</v>
      </c>
      <c r="J72" s="34">
        <f>'9. Standardlized_Income'!N44/'9. Standardlized_Income'!N30</f>
        <v>0.1498323219418716</v>
      </c>
      <c r="K72" s="34">
        <f>'9. Standardlized_Income'!P44/'9. Standardlized_Income'!P30</f>
        <v>7.0487634418074707E-2</v>
      </c>
      <c r="L72" s="34">
        <f>'9. Standardlized_Income'!R44/'9. Standardlized_Income'!R30</f>
        <v>0.31813001990801126</v>
      </c>
      <c r="M72" s="33">
        <f t="shared" si="13"/>
        <v>0.11963037903112481</v>
      </c>
      <c r="N72" s="20">
        <f t="shared" si="14"/>
        <v>3</v>
      </c>
    </row>
    <row r="73" spans="2:14" ht="16" customHeight="1" x14ac:dyDescent="0.15">
      <c r="B73" s="30" t="s">
        <v>318</v>
      </c>
      <c r="C73" s="28"/>
      <c r="D73" s="28"/>
      <c r="E73" s="28"/>
      <c r="F73" s="28"/>
      <c r="G73" s="28"/>
      <c r="H73" s="28"/>
      <c r="I73" s="28"/>
      <c r="J73" s="28"/>
      <c r="K73" s="28"/>
      <c r="L73" s="29"/>
      <c r="M73" s="28"/>
      <c r="N73" s="27"/>
    </row>
    <row r="74" spans="2:14" ht="16" customHeight="1" x14ac:dyDescent="0.15">
      <c r="B74" s="24" t="s">
        <v>319</v>
      </c>
      <c r="C74" s="33">
        <f>C24/C25</f>
        <v>0.60537174353274359</v>
      </c>
      <c r="D74" s="33">
        <f>D24/D25</f>
        <v>0.58007537182474611</v>
      </c>
      <c r="E74" s="33">
        <f>E24/E25</f>
        <v>0.52037187495837722</v>
      </c>
      <c r="F74" s="33">
        <f>F24/F25</f>
        <v>0.65431992631255764</v>
      </c>
      <c r="G74" s="33">
        <f>G24/G25</f>
        <v>0.51151610148674098</v>
      </c>
      <c r="H74" s="34">
        <f>'9. Standardlized_Income'!J31/'9. Standardlized_Income'!J30</f>
        <v>0.56059398046641418</v>
      </c>
      <c r="I74" s="34">
        <f>'9. Standardlized_Income'!L31/'9. Standardlized_Income'!L30</f>
        <v>0.71028800565529504</v>
      </c>
      <c r="J74" s="34">
        <f>'9. Standardlized_Income'!N31/'9. Standardlized_Income'!N30</f>
        <v>0.72608591504311726</v>
      </c>
      <c r="K74" s="34">
        <f>'9. Standardlized_Income'!P31/'9. Standardlized_Income'!P30</f>
        <v>0.49773522796013409</v>
      </c>
      <c r="L74" s="34">
        <f>'9. Standardlized_Income'!R31/'9. Standardlized_Income'!R30</f>
        <v>0.85008581039335473</v>
      </c>
      <c r="M74" s="33">
        <f>MEDIAN(G74:L74)</f>
        <v>0.63544099306085466</v>
      </c>
      <c r="N74" s="20">
        <f>RANK(G74,G74:L74,0)</f>
        <v>5</v>
      </c>
    </row>
    <row r="75" spans="2:14" ht="16" customHeight="1" x14ac:dyDescent="0.15">
      <c r="B75" s="24" t="s">
        <v>320</v>
      </c>
      <c r="C75" s="33">
        <f>C24/C20</f>
        <v>0.29058073757911507</v>
      </c>
      <c r="D75" s="33">
        <f>D24/D20</f>
        <v>0.28330968204234752</v>
      </c>
      <c r="E75" s="33">
        <f>E24/E20</f>
        <v>0.26859484246203347</v>
      </c>
      <c r="F75" s="33">
        <f>F24/F20</f>
        <v>0.31147981853047102</v>
      </c>
      <c r="G75" s="33">
        <f>G24/G20</f>
        <v>0.2618440276879595</v>
      </c>
      <c r="H75" s="34">
        <f>'9. Standardlized_Income'!J31/'9. Standardlized_Income'!J17</f>
        <v>0.30062530062530063</v>
      </c>
      <c r="I75" s="34">
        <f>'9. Standardlized_Income'!L31/'9. Standardlized_Income'!L17</f>
        <v>0.3193164041631622</v>
      </c>
      <c r="J75" s="34">
        <f>'9. Standardlized_Income'!N31/'9. Standardlized_Income'!N17</f>
        <v>0.31180030516552659</v>
      </c>
      <c r="K75" s="34">
        <f>'9. Standardlized_Income'!P31/'9. Standardlized_Income'!P17</f>
        <v>0.2340711418511188</v>
      </c>
      <c r="L75" s="34">
        <f>'9. Standardlized_Income'!R31/'9. Standardlized_Income'!R17</f>
        <v>0.37931868933005364</v>
      </c>
      <c r="M75" s="33">
        <f>MEDIAN(G75:L75)</f>
        <v>0.30621280289541364</v>
      </c>
      <c r="N75" s="20">
        <f>RANK(G75,G75:L75,0)</f>
        <v>5</v>
      </c>
    </row>
    <row r="76" spans="2:14" ht="16" customHeight="1" x14ac:dyDescent="0.15">
      <c r="B76" s="24" t="s">
        <v>321</v>
      </c>
      <c r="C76" s="33">
        <f>C24/(C24+C25)</f>
        <v>0.37709131605903107</v>
      </c>
      <c r="D76" s="33">
        <f>D24/(D24+D25)</f>
        <v>0.36711879836140193</v>
      </c>
      <c r="E76" s="33">
        <f>E24/(E24+E25)</f>
        <v>0.34226618074780113</v>
      </c>
      <c r="F76" s="33">
        <f>F24/(F24+F25)</f>
        <v>0.39552200025240719</v>
      </c>
      <c r="G76" s="33">
        <f>G24/(G24+G25)</f>
        <v>0.3384126050550233</v>
      </c>
      <c r="H76" s="34">
        <f>'9. Standardlized_Income'!J31/('9. Standardlized_Income'!J31+'9. Standardlized_Income'!J30)</f>
        <v>0.35921834089022286</v>
      </c>
      <c r="I76" s="34">
        <f>'9. Standardlized_Income'!L31/('9. Standardlized_Income'!L31+'9. Standardlized_Income'!L30)</f>
        <v>0.41530315555428865</v>
      </c>
      <c r="J76" s="34">
        <f>'9. Standardlized_Income'!N31/('9. Standardlized_Income'!N31+'9. Standardlized_Income'!N30)</f>
        <v>0.42065456227593384</v>
      </c>
      <c r="K76" s="34">
        <f>'9. Standardlized_Income'!P31/('9. Standardlized_Income'!P31+'9. Standardlized_Income'!P30)</f>
        <v>0.33232524592349549</v>
      </c>
      <c r="L76" s="34">
        <f>'9. Standardlized_Income'!R31/('9. Standardlized_Income'!R31+'9. Standardlized_Income'!R30)</f>
        <v>0.4594845307270447</v>
      </c>
      <c r="M76" s="33">
        <f>MEDIAN(G76:L76)</f>
        <v>0.38726074822225576</v>
      </c>
      <c r="N76" s="20">
        <f>RANK(G76,G76:L76,0)</f>
        <v>5</v>
      </c>
    </row>
    <row r="77" spans="2:14" ht="16" customHeight="1" x14ac:dyDescent="0.15">
      <c r="B77" s="24" t="s">
        <v>322</v>
      </c>
      <c r="C77" s="32">
        <f>C11/'9. Standardlized_Income'!H40</f>
        <v>6.508372404554585</v>
      </c>
      <c r="D77" s="32">
        <f>D11/'9. Standardlized_Income'!G40</f>
        <v>6.08451536643026</v>
      </c>
      <c r="E77" s="32">
        <f>E11/'9. Standardlized_Income'!F40</f>
        <v>6.7424783273839886</v>
      </c>
      <c r="F77" s="32">
        <f>F11/'9. Standardlized_Income'!E40</f>
        <v>7.3017782426778215</v>
      </c>
      <c r="G77" s="32">
        <f>G11/'9. Standardlized_Income'!D40</f>
        <v>6.3721318314559889</v>
      </c>
      <c r="H77" s="32">
        <f>'9. Standardlized_Income'!J39/'9. Standardlized_Income'!J40</f>
        <v>6.4913043478260866</v>
      </c>
      <c r="I77" s="32">
        <f>'9. Standardlized_Income'!L39/'9. Standardlized_Income'!L40</f>
        <v>3.6303392726385164</v>
      </c>
      <c r="J77" s="32">
        <f>'9. Standardlized_Income'!N39/'9. Standardlized_Income'!N40</f>
        <v>6.5716049382716051</v>
      </c>
      <c r="K77" s="32">
        <f>'9. Standardlized_Income'!P39/'9. Standardlized_Income'!P40</f>
        <v>3.3408138839018555</v>
      </c>
      <c r="L77" s="32">
        <f>'9. Standardlized_Income'!R39/'9. Standardlized_Income'!R40</f>
        <v>15.050198807157058</v>
      </c>
      <c r="M77" s="31">
        <f>MEDIAN(G77:L77)</f>
        <v>6.4317180896410377</v>
      </c>
      <c r="N77" s="20">
        <f>RANK(G77,G77:L77,0)</f>
        <v>4</v>
      </c>
    </row>
    <row r="78" spans="2:14" ht="16" customHeight="1" x14ac:dyDescent="0.15">
      <c r="B78" s="30" t="s">
        <v>323</v>
      </c>
      <c r="C78" s="28"/>
      <c r="D78" s="28"/>
      <c r="E78" s="28"/>
      <c r="F78" s="28"/>
      <c r="G78" s="28"/>
      <c r="H78" s="28"/>
      <c r="I78" s="28"/>
      <c r="J78" s="28"/>
      <c r="K78" s="28"/>
      <c r="L78" s="29"/>
      <c r="M78" s="28"/>
      <c r="N78" s="27"/>
    </row>
    <row r="79" spans="2:14" ht="16" customHeight="1" x14ac:dyDescent="0.15">
      <c r="B79" s="24" t="s">
        <v>324</v>
      </c>
      <c r="C79" s="25">
        <f>C5/C20</f>
        <v>0.40578545013374651</v>
      </c>
      <c r="D79" s="25">
        <f>D5/D20</f>
        <v>0.51390274401809677</v>
      </c>
      <c r="E79" s="25">
        <f>E5/E20</f>
        <v>0.53499659693242674</v>
      </c>
      <c r="F79" s="25">
        <f>F5/F20</f>
        <v>0.43366189607595529</v>
      </c>
      <c r="G79" s="25">
        <f>G5/G20</f>
        <v>0.47550358075255683</v>
      </c>
      <c r="H79" s="26">
        <f>'9. Standardlized_Income'!J34/'9. Standardlized_Income'!J17</f>
        <v>0.32868366201699534</v>
      </c>
      <c r="I79" s="26">
        <f>'9. Standardlized_Income'!L34/'9. Standardlized_Income'!L17</f>
        <v>0.86189457304026462</v>
      </c>
      <c r="J79" s="26">
        <f>'9. Standardlized_Income'!N34/'9. Standardlized_Income'!N17</f>
        <v>0.64199626257950593</v>
      </c>
      <c r="K79" s="26">
        <f>'9. Standardlized_Income'!P34/'9. Standardlized_Income'!P17</f>
        <v>0.55693409161447527</v>
      </c>
      <c r="L79" s="26">
        <f>'9. Standardlized_Income'!R34/'9. Standardlized_Income'!R17</f>
        <v>0.69243304672255934</v>
      </c>
      <c r="M79" s="25">
        <f>MEDIAN(G79:L79)</f>
        <v>0.59946517709699054</v>
      </c>
      <c r="N79" s="20">
        <f>RANK(G79,G79:L79,0)</f>
        <v>5</v>
      </c>
    </row>
    <row r="80" spans="2:14" ht="16" customHeight="1" x14ac:dyDescent="0.15">
      <c r="B80" s="24" t="s">
        <v>325</v>
      </c>
      <c r="C80" s="25">
        <f>C5/C19</f>
        <v>0.89003238113558403</v>
      </c>
      <c r="D80" s="25">
        <f>D5/D19</f>
        <v>1.1043644982563143</v>
      </c>
      <c r="E80" s="25">
        <f>E5/E19</f>
        <v>1.1564032454602193</v>
      </c>
      <c r="F80" s="25">
        <f>F5/F19</f>
        <v>0.82529845681416125</v>
      </c>
      <c r="G80" s="25">
        <f>G5/G19</f>
        <v>0.91591792482208967</v>
      </c>
      <c r="H80" s="26">
        <f>'9. Standardlized_Income'!J34/'9. Standardlized_Income'!J13</f>
        <v>0.57708548371962087</v>
      </c>
      <c r="I80" s="26">
        <f>'9. Standardlized_Income'!L34/'9. Standardlized_Income'!L13</f>
        <v>1.5114003228410009</v>
      </c>
      <c r="J80" s="26">
        <f>'9. Standardlized_Income'!N34/'9. Standardlized_Income'!N13</f>
        <v>1.4180172674946985</v>
      </c>
      <c r="K80" s="26">
        <f>'9. Standardlized_Income'!P34/'9. Standardlized_Income'!P13</f>
        <v>1.3257092704189262</v>
      </c>
      <c r="L80" s="26">
        <f>'9. Standardlized_Income'!R34/'9. Standardlized_Income'!R13</f>
        <v>1.2404708335619823</v>
      </c>
      <c r="M80" s="25">
        <f>MEDIAN(G80:L80)</f>
        <v>1.2830900519904542</v>
      </c>
      <c r="N80" s="20">
        <f>RANK(G80,G80:L80,0)</f>
        <v>5</v>
      </c>
    </row>
    <row r="81" spans="2:14" ht="16" customHeight="1" x14ac:dyDescent="0.15">
      <c r="B81" s="24" t="s">
        <v>326</v>
      </c>
      <c r="C81" s="21">
        <f>C16/C5*365</f>
        <v>51.48733835236483</v>
      </c>
      <c r="D81" s="21">
        <f>D16/D5*365</f>
        <v>42.192147856517934</v>
      </c>
      <c r="E81" s="21">
        <f>E16/E5*365</f>
        <v>41.730232976522451</v>
      </c>
      <c r="F81" s="21">
        <f>F16/F5*365</f>
        <v>43.907073621203338</v>
      </c>
      <c r="G81" s="21">
        <f>G16/G5*365</f>
        <v>40.801715127627155</v>
      </c>
      <c r="H81" s="23">
        <f>'9. Standardlized_Income'!J9/'9. Standardlized_Income'!J34*365</f>
        <v>42.019512195121955</v>
      </c>
      <c r="I81" s="23">
        <f>'9. Standardlized_Income'!L9/'9. Standardlized_Income'!L34*365</f>
        <v>17.47840915953859</v>
      </c>
      <c r="J81" s="23">
        <f>'9. Standardlized_Income'!N9/'9. Standardlized_Income'!N34*365</f>
        <v>50.47053168478115</v>
      </c>
      <c r="K81" s="23">
        <f>'9. Standardlized_Income'!P9/'9. Standardlized_Income'!P34*365</f>
        <v>40.036716117402314</v>
      </c>
      <c r="L81" s="23">
        <f>'9. Standardlized_Income'!R9/'9. Standardlized_Income'!R34*365</f>
        <v>34.284497746083844</v>
      </c>
      <c r="M81" s="21">
        <f>MEDIAN(G81:L81)</f>
        <v>40.419215622514734</v>
      </c>
      <c r="N81" s="20">
        <f>RANK(G81,G81:L81,0)</f>
        <v>3</v>
      </c>
    </row>
    <row r="82" spans="2:14" ht="16" customHeight="1" x14ac:dyDescent="0.15">
      <c r="B82" s="24" t="s">
        <v>327</v>
      </c>
      <c r="C82" s="21">
        <f>C16/C6*365</f>
        <v>68.409112663922656</v>
      </c>
      <c r="D82" s="21">
        <f>D16/D6*365</f>
        <v>53.607294832826746</v>
      </c>
      <c r="E82" s="21">
        <f>E16/E6*365</f>
        <v>55.669163780985365</v>
      </c>
      <c r="F82" s="21">
        <f>F16/F6*365</f>
        <v>60.11138591018991</v>
      </c>
      <c r="G82" s="21">
        <f>G16/G6*365</f>
        <v>56.188415850169086</v>
      </c>
      <c r="H82" s="23">
        <f>'9. Standardlized_Income'!J10/'9. Standardlized_Income'!J35*365</f>
        <v>92.342173198779633</v>
      </c>
      <c r="I82" s="23">
        <f>'9. Standardlized_Income'!L10/'9. Standardlized_Income'!L35*365</f>
        <v>61.912791784107014</v>
      </c>
      <c r="J82" s="23">
        <f>'9. Standardlized_Income'!N10/'9. Standardlized_Income'!N35*365</f>
        <v>80.129395041598727</v>
      </c>
      <c r="K82" s="23">
        <f>'9. Standardlized_Income'!P10/'9. Standardlized_Income'!P35*365</f>
        <v>51.348188815279393</v>
      </c>
      <c r="L82" s="22">
        <f>'9. Standardlized_Income'!R10/'9. Standardlized_Income'!R35*365</f>
        <v>95.466526392712481</v>
      </c>
      <c r="M82" s="21">
        <f>MEDIAN(G82:L82)</f>
        <v>71.021093412852878</v>
      </c>
      <c r="N82" s="20">
        <f>RANK(G82,G82:L82,0)</f>
        <v>5</v>
      </c>
    </row>
    <row r="83" spans="2:14" ht="16" customHeight="1" x14ac:dyDescent="0.15">
      <c r="B83" s="24" t="s">
        <v>328</v>
      </c>
      <c r="C83" s="21">
        <f>C21/C6*365</f>
        <v>31.924834880827031</v>
      </c>
      <c r="D83" s="21">
        <f>D21/D6*365</f>
        <v>28.813287016934435</v>
      </c>
      <c r="E83" s="21">
        <f>E21/E6*365</f>
        <v>24.427606541639523</v>
      </c>
      <c r="F83" s="21">
        <f>F21/F6*365</f>
        <v>27.418283161994054</v>
      </c>
      <c r="G83" s="21">
        <f>G21/G6*365</f>
        <v>27.755570970259257</v>
      </c>
      <c r="H83" s="23">
        <f>'9. Standardlized_Income'!J19/'9. Standardlized_Income'!J35*365</f>
        <v>33.321990143158878</v>
      </c>
      <c r="I83" s="23">
        <f>'9. Standardlized_Income'!L19/'9. Standardlized_Income'!L35*365</f>
        <v>20.686383667876111</v>
      </c>
      <c r="J83" s="23">
        <f>'9. Standardlized_Income'!N19/'9. Standardlized_Income'!N35*365</f>
        <v>49.792842510138385</v>
      </c>
      <c r="K83" s="23">
        <f>'9. Standardlized_Income'!P19/'9. Standardlized_Income'!P35*365</f>
        <v>104.82774824259774</v>
      </c>
      <c r="L83" s="22">
        <f>'9. Standardlized_Income'!R19/'9. Standardlized_Income'!R35*365</f>
        <v>29.869217636719863</v>
      </c>
      <c r="M83" s="21">
        <f>MEDIAN(G83:L83)</f>
        <v>31.595603889939369</v>
      </c>
      <c r="N83" s="20">
        <f>RANK(G83,G83:L83,0)</f>
        <v>5</v>
      </c>
    </row>
    <row r="86" spans="2:14" x14ac:dyDescent="0.15">
      <c r="B86" s="14"/>
      <c r="C86" s="8"/>
      <c r="D86" s="8"/>
      <c r="E86" s="8"/>
      <c r="F86" s="8"/>
      <c r="G86" s="8"/>
      <c r="H86" s="8"/>
      <c r="I86" s="8"/>
      <c r="J86" s="8"/>
    </row>
    <row r="87" spans="2:14" x14ac:dyDescent="0.15">
      <c r="B87" s="15"/>
      <c r="C87" s="17"/>
      <c r="D87" s="17"/>
      <c r="E87" s="17"/>
      <c r="F87" s="17"/>
      <c r="G87" s="17"/>
      <c r="H87" s="17"/>
      <c r="I87" s="17"/>
      <c r="J87" s="17"/>
    </row>
    <row r="88" spans="2:14" x14ac:dyDescent="0.15">
      <c r="B88" s="19"/>
      <c r="C88" s="18"/>
      <c r="D88" s="8"/>
      <c r="E88" s="8"/>
      <c r="F88" s="8"/>
      <c r="G88" s="8"/>
      <c r="H88" s="8"/>
      <c r="I88" s="18"/>
      <c r="J88" s="18"/>
    </row>
    <row r="89" spans="2:14" x14ac:dyDescent="0.15">
      <c r="B89" s="14"/>
      <c r="C89" s="17"/>
      <c r="D89" s="17"/>
      <c r="E89" s="17"/>
      <c r="F89" s="17"/>
      <c r="G89" s="17"/>
      <c r="H89" s="17"/>
      <c r="I89" s="13"/>
      <c r="J89" s="13"/>
    </row>
    <row r="90" spans="2:14" x14ac:dyDescent="0.15">
      <c r="B90" s="11"/>
      <c r="C90" s="12"/>
      <c r="D90" s="8"/>
      <c r="E90" s="8"/>
      <c r="F90" s="8"/>
      <c r="G90" s="8"/>
      <c r="H90" s="8"/>
      <c r="I90" s="8"/>
      <c r="J90" s="8"/>
    </row>
    <row r="91" spans="2:14" x14ac:dyDescent="0.15">
      <c r="B91" s="11"/>
      <c r="C91" s="12"/>
      <c r="D91" s="8"/>
      <c r="E91" s="8"/>
      <c r="F91" s="8"/>
      <c r="G91" s="8"/>
      <c r="H91" s="8"/>
      <c r="I91" s="8"/>
      <c r="J91" s="8"/>
    </row>
    <row r="92" spans="2:14" x14ac:dyDescent="0.15">
      <c r="B92" s="11"/>
      <c r="C92" s="12"/>
      <c r="D92" s="8"/>
      <c r="E92" s="8"/>
      <c r="F92" s="8"/>
      <c r="G92" s="8"/>
      <c r="H92" s="8"/>
      <c r="I92" s="8"/>
      <c r="J92" s="8"/>
    </row>
    <row r="93" spans="2:14" x14ac:dyDescent="0.15">
      <c r="B93" s="11"/>
      <c r="C93" s="12"/>
      <c r="D93" s="8"/>
      <c r="E93" s="8"/>
      <c r="F93" s="8"/>
      <c r="G93" s="8"/>
      <c r="H93" s="8"/>
      <c r="I93" s="8"/>
      <c r="J93" s="8"/>
    </row>
    <row r="94" spans="2:14" x14ac:dyDescent="0.15">
      <c r="B94" s="11"/>
      <c r="C94" s="9"/>
      <c r="D94" s="8"/>
      <c r="E94" s="8"/>
      <c r="F94" s="8"/>
      <c r="G94" s="8"/>
      <c r="H94" s="8"/>
      <c r="I94" s="8"/>
      <c r="J94" s="8"/>
    </row>
    <row r="95" spans="2:14" ht="16" customHeight="1" x14ac:dyDescent="0.15">
      <c r="D95" s="8"/>
      <c r="E95" s="8"/>
      <c r="F95" s="8"/>
      <c r="G95" s="8"/>
      <c r="H95" s="8"/>
      <c r="I95" s="8"/>
      <c r="J95" s="8"/>
    </row>
    <row r="96" spans="2:14" x14ac:dyDescent="0.15">
      <c r="B96" s="15"/>
      <c r="C96" s="8"/>
      <c r="D96" s="8"/>
      <c r="E96" s="8"/>
      <c r="F96" s="8"/>
      <c r="G96" s="8"/>
      <c r="H96" s="8"/>
      <c r="I96" s="8"/>
      <c r="J96" s="8"/>
    </row>
    <row r="97" spans="2:10" x14ac:dyDescent="0.15">
      <c r="B97" s="11"/>
      <c r="C97" s="16"/>
      <c r="D97" s="8"/>
      <c r="E97" s="8"/>
      <c r="F97" s="8"/>
      <c r="G97" s="8"/>
      <c r="H97" s="8"/>
      <c r="I97" s="8"/>
      <c r="J97" s="8"/>
    </row>
    <row r="98" spans="2:10" x14ac:dyDescent="0.15">
      <c r="B98" s="11"/>
      <c r="C98" s="16"/>
      <c r="D98" s="8"/>
      <c r="E98" s="8"/>
      <c r="F98" s="8"/>
      <c r="G98" s="8"/>
      <c r="H98" s="8"/>
      <c r="I98" s="8"/>
      <c r="J98" s="8"/>
    </row>
    <row r="99" spans="2:10" x14ac:dyDescent="0.15">
      <c r="B99" s="11"/>
      <c r="C99" s="16"/>
      <c r="D99" s="8"/>
      <c r="E99" s="8"/>
      <c r="F99" s="8"/>
      <c r="G99" s="8"/>
      <c r="H99" s="8"/>
      <c r="I99" s="8"/>
      <c r="J99" s="8"/>
    </row>
    <row r="100" spans="2:10" x14ac:dyDescent="0.15">
      <c r="B100" s="11"/>
      <c r="C100" s="16"/>
      <c r="D100" s="8"/>
      <c r="E100" s="8"/>
      <c r="F100" s="8"/>
      <c r="G100" s="8"/>
      <c r="H100" s="8"/>
      <c r="I100" s="8"/>
      <c r="J100" s="8"/>
    </row>
    <row r="101" spans="2:10" x14ac:dyDescent="0.15">
      <c r="B101" s="11"/>
      <c r="C101" s="16"/>
      <c r="D101" s="8"/>
      <c r="E101" s="8"/>
      <c r="F101" s="8"/>
      <c r="G101" s="8"/>
      <c r="H101" s="8"/>
      <c r="I101" s="8"/>
      <c r="J101" s="8"/>
    </row>
    <row r="102" spans="2:10" ht="16" customHeight="1" x14ac:dyDescent="0.15">
      <c r="D102" s="8"/>
      <c r="E102" s="8"/>
      <c r="F102" s="8"/>
      <c r="G102" s="8"/>
      <c r="H102" s="8"/>
      <c r="I102" s="8"/>
      <c r="J102" s="8"/>
    </row>
    <row r="103" spans="2:10" x14ac:dyDescent="0.15">
      <c r="B103" s="14"/>
      <c r="C103" s="13"/>
      <c r="D103" s="8"/>
      <c r="E103" s="8"/>
      <c r="F103" s="8"/>
      <c r="G103" s="8"/>
      <c r="H103" s="8"/>
      <c r="I103" s="8"/>
      <c r="J103" s="8"/>
    </row>
    <row r="104" spans="2:10" x14ac:dyDescent="0.15">
      <c r="B104" s="15"/>
      <c r="C104" s="12"/>
      <c r="D104" s="8"/>
      <c r="E104" s="8"/>
      <c r="F104" s="8"/>
      <c r="G104" s="8"/>
      <c r="H104" s="8"/>
      <c r="I104" s="8"/>
      <c r="J104" s="8"/>
    </row>
    <row r="105" spans="2:10" x14ac:dyDescent="0.15">
      <c r="B105" s="11"/>
      <c r="C105" s="12"/>
      <c r="D105" s="8"/>
      <c r="E105" s="8"/>
      <c r="F105" s="8"/>
      <c r="G105" s="8"/>
      <c r="H105" s="8"/>
      <c r="I105" s="8"/>
      <c r="J105" s="8"/>
    </row>
    <row r="106" spans="2:10" x14ac:dyDescent="0.15">
      <c r="B106" s="11"/>
      <c r="C106" s="12"/>
      <c r="D106" s="8"/>
      <c r="E106" s="8"/>
      <c r="F106" s="8"/>
      <c r="G106" s="8"/>
      <c r="H106" s="8"/>
      <c r="I106" s="8"/>
      <c r="J106" s="8"/>
    </row>
    <row r="107" spans="2:10" x14ac:dyDescent="0.15">
      <c r="B107" s="11"/>
      <c r="C107" s="12"/>
      <c r="D107" s="8"/>
      <c r="E107" s="8"/>
      <c r="F107" s="8"/>
      <c r="G107" s="8"/>
      <c r="H107" s="8"/>
      <c r="I107" s="8"/>
      <c r="J107" s="8"/>
    </row>
    <row r="108" spans="2:10" ht="16" customHeight="1" x14ac:dyDescent="0.15">
      <c r="D108" s="8"/>
      <c r="E108" s="8"/>
      <c r="F108" s="8"/>
      <c r="G108" s="8"/>
      <c r="H108" s="8"/>
      <c r="I108" s="8"/>
      <c r="J108" s="8"/>
    </row>
    <row r="109" spans="2:10" x14ac:dyDescent="0.15">
      <c r="B109" s="14"/>
      <c r="C109" s="13"/>
      <c r="D109" s="8"/>
      <c r="E109" s="8"/>
      <c r="F109" s="8"/>
      <c r="G109" s="8"/>
      <c r="H109" s="8"/>
      <c r="I109" s="8"/>
      <c r="J109" s="8"/>
    </row>
    <row r="110" spans="2:10" x14ac:dyDescent="0.15">
      <c r="B110" s="11"/>
      <c r="C110" s="12"/>
      <c r="D110" s="8"/>
      <c r="E110" s="8"/>
      <c r="F110" s="8"/>
      <c r="G110" s="8"/>
      <c r="H110" s="8"/>
      <c r="I110" s="8"/>
      <c r="J110" s="8"/>
    </row>
    <row r="111" spans="2:10" x14ac:dyDescent="0.15">
      <c r="B111" s="11"/>
      <c r="C111" s="12"/>
      <c r="D111" s="8"/>
      <c r="E111" s="8"/>
      <c r="F111" s="8"/>
      <c r="G111" s="8"/>
      <c r="H111" s="8"/>
      <c r="I111" s="8"/>
      <c r="J111" s="8"/>
    </row>
    <row r="112" spans="2:10" hidden="1" outlineLevel="1" x14ac:dyDescent="0.15">
      <c r="B112" s="11"/>
      <c r="C112" s="10"/>
      <c r="D112" s="10"/>
      <c r="E112" s="10"/>
      <c r="F112" s="10"/>
      <c r="G112" s="10"/>
      <c r="H112" s="10"/>
      <c r="I112" s="10"/>
      <c r="J112" s="10"/>
    </row>
    <row r="113" spans="2:10" hidden="1" outlineLevel="1" x14ac:dyDescent="0.15">
      <c r="B113" s="11"/>
      <c r="C113" s="10"/>
      <c r="D113" s="10"/>
      <c r="E113" s="10"/>
      <c r="F113" s="10"/>
      <c r="G113" s="10"/>
      <c r="H113" s="10"/>
      <c r="I113" s="10"/>
      <c r="J113" s="10"/>
    </row>
    <row r="114" spans="2:10" hidden="1" outlineLevel="1" x14ac:dyDescent="0.15">
      <c r="B114" s="11"/>
      <c r="C114" s="10"/>
      <c r="D114" s="10"/>
      <c r="E114" s="10"/>
      <c r="F114" s="10"/>
      <c r="G114" s="10"/>
      <c r="H114" s="10"/>
      <c r="I114" s="10"/>
      <c r="J114" s="10"/>
    </row>
    <row r="115" spans="2:10" hidden="1" outlineLevel="1" x14ac:dyDescent="0.15">
      <c r="C115" s="9"/>
      <c r="D115" s="9"/>
      <c r="E115" s="9"/>
      <c r="F115" s="9"/>
      <c r="G115" s="9"/>
      <c r="H115" s="9"/>
      <c r="I115" s="8"/>
      <c r="J115" s="8"/>
    </row>
    <row r="116" spans="2:10" hidden="1" outlineLevel="1" x14ac:dyDescent="0.15">
      <c r="C116" s="9"/>
      <c r="D116" s="9"/>
      <c r="E116" s="9"/>
      <c r="F116" s="9"/>
      <c r="G116" s="9"/>
      <c r="H116" s="9"/>
      <c r="I116" s="8"/>
      <c r="J116" s="8"/>
    </row>
    <row r="117" spans="2:10" hidden="1" outlineLevel="1" x14ac:dyDescent="0.15">
      <c r="C117" s="9"/>
      <c r="D117" s="9"/>
      <c r="E117" s="9"/>
      <c r="F117" s="9"/>
      <c r="G117" s="9"/>
      <c r="H117" s="9"/>
      <c r="I117" s="8"/>
      <c r="J117" s="8"/>
    </row>
    <row r="118" spans="2:10" hidden="1" outlineLevel="1" x14ac:dyDescent="0.15">
      <c r="C118" s="9"/>
      <c r="D118" s="9"/>
      <c r="E118" s="9"/>
      <c r="F118" s="9"/>
      <c r="G118" s="9"/>
      <c r="H118" s="9"/>
      <c r="I118" s="8"/>
      <c r="J118" s="8"/>
    </row>
    <row r="119" spans="2:10" hidden="1" outlineLevel="1" x14ac:dyDescent="0.15">
      <c r="C119" s="9"/>
      <c r="D119" s="9"/>
      <c r="E119" s="9"/>
      <c r="F119" s="9"/>
      <c r="G119" s="9"/>
      <c r="H119" s="9"/>
      <c r="I119" s="8"/>
      <c r="J119" s="8"/>
    </row>
    <row r="120" spans="2:10" hidden="1" outlineLevel="1" x14ac:dyDescent="0.15">
      <c r="C120" s="9"/>
      <c r="D120" s="9"/>
      <c r="E120" s="9"/>
      <c r="F120" s="9"/>
      <c r="G120" s="9"/>
      <c r="H120" s="9"/>
      <c r="I120" s="8"/>
      <c r="J120" s="8"/>
    </row>
    <row r="121" spans="2:10" hidden="1" outlineLevel="1" x14ac:dyDescent="0.15">
      <c r="C121" s="9"/>
      <c r="D121" s="9"/>
      <c r="E121" s="9"/>
      <c r="F121" s="9"/>
      <c r="G121" s="9"/>
      <c r="H121" s="9"/>
      <c r="I121" s="8"/>
      <c r="J121" s="8"/>
    </row>
    <row r="122" spans="2:10" hidden="1" outlineLevel="1" x14ac:dyDescent="0.15">
      <c r="C122" s="9"/>
      <c r="D122" s="9"/>
      <c r="E122" s="9"/>
      <c r="F122" s="9"/>
      <c r="G122" s="9"/>
      <c r="H122" s="9"/>
      <c r="I122" s="8"/>
      <c r="J122" s="8"/>
    </row>
    <row r="123" spans="2:10" hidden="1" outlineLevel="1" x14ac:dyDescent="0.15">
      <c r="C123" s="9"/>
      <c r="D123" s="9"/>
      <c r="E123" s="9"/>
      <c r="F123" s="9"/>
      <c r="G123" s="9"/>
      <c r="H123" s="9"/>
      <c r="I123" s="8"/>
      <c r="J123" s="8"/>
    </row>
    <row r="124" spans="2:10" hidden="1" outlineLevel="1" x14ac:dyDescent="0.15">
      <c r="C124" s="9"/>
      <c r="D124" s="9"/>
      <c r="E124" s="9"/>
      <c r="F124" s="9"/>
      <c r="G124" s="9"/>
      <c r="H124" s="9"/>
      <c r="I124" s="8"/>
      <c r="J124" s="8"/>
    </row>
    <row r="125" spans="2:10" hidden="1" outlineLevel="1" x14ac:dyDescent="0.15">
      <c r="C125" s="9"/>
      <c r="D125" s="9"/>
      <c r="E125" s="9"/>
      <c r="F125" s="9"/>
      <c r="G125" s="9"/>
      <c r="H125" s="9"/>
      <c r="I125" s="8"/>
      <c r="J125" s="8"/>
    </row>
    <row r="126" spans="2:10" hidden="1" outlineLevel="1" x14ac:dyDescent="0.15">
      <c r="C126" s="9"/>
      <c r="D126" s="9"/>
      <c r="E126" s="9"/>
      <c r="F126" s="9"/>
      <c r="G126" s="9"/>
      <c r="H126" s="9"/>
      <c r="I126" s="8"/>
      <c r="J126" s="8"/>
    </row>
    <row r="127" spans="2:10" hidden="1" outlineLevel="1" x14ac:dyDescent="0.15">
      <c r="C127" s="9"/>
      <c r="D127" s="9"/>
      <c r="E127" s="9"/>
      <c r="F127" s="9"/>
      <c r="G127" s="9"/>
      <c r="H127" s="9"/>
      <c r="I127" s="8"/>
      <c r="J127" s="8"/>
    </row>
    <row r="128" spans="2:10" hidden="1" outlineLevel="1" x14ac:dyDescent="0.15">
      <c r="C128" s="9"/>
      <c r="D128" s="9"/>
      <c r="E128" s="9"/>
      <c r="F128" s="9"/>
      <c r="G128" s="9"/>
      <c r="H128" s="9"/>
      <c r="I128" s="8"/>
      <c r="J128" s="8"/>
    </row>
    <row r="129" spans="3:10" hidden="1" outlineLevel="1" x14ac:dyDescent="0.15">
      <c r="C129" s="9"/>
      <c r="D129" s="9"/>
      <c r="E129" s="9"/>
      <c r="F129" s="9"/>
      <c r="G129" s="9"/>
      <c r="H129" s="9"/>
      <c r="I129" s="8"/>
      <c r="J129" s="8"/>
    </row>
    <row r="130" spans="3:10" hidden="1" outlineLevel="1" x14ac:dyDescent="0.15">
      <c r="C130" s="9"/>
      <c r="D130" s="9"/>
      <c r="E130" s="9"/>
      <c r="F130" s="9"/>
      <c r="G130" s="9"/>
      <c r="H130" s="9"/>
      <c r="I130" s="8"/>
      <c r="J130" s="8"/>
    </row>
    <row r="131" spans="3:10" hidden="1" outlineLevel="1" x14ac:dyDescent="0.15">
      <c r="C131" s="9"/>
      <c r="D131" s="9"/>
      <c r="E131" s="9"/>
      <c r="F131" s="9"/>
      <c r="G131" s="9"/>
      <c r="H131" s="9"/>
      <c r="I131" s="8"/>
      <c r="J131" s="8"/>
    </row>
    <row r="132" spans="3:10" collapsed="1" x14ac:dyDescent="0.15">
      <c r="C132" s="8"/>
      <c r="D132" s="8"/>
      <c r="E132" s="8"/>
      <c r="F132" s="8"/>
      <c r="G132" s="8"/>
      <c r="H132" s="8"/>
      <c r="I132" s="8"/>
      <c r="J132" s="8"/>
    </row>
    <row r="133" spans="3:10" x14ac:dyDescent="0.15">
      <c r="C133" s="8"/>
      <c r="D133" s="8"/>
      <c r="E133" s="8"/>
      <c r="F133" s="8"/>
      <c r="G133" s="8"/>
      <c r="H133" s="8"/>
      <c r="I133" s="8"/>
      <c r="J133" s="8"/>
    </row>
    <row r="134" spans="3:10" x14ac:dyDescent="0.15">
      <c r="C134" s="8"/>
      <c r="D134" s="8"/>
      <c r="E134" s="8"/>
      <c r="F134" s="8"/>
      <c r="G134" s="8"/>
      <c r="H134" s="8"/>
      <c r="I134" s="8"/>
      <c r="J134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O113"/>
  <sheetViews>
    <sheetView showGridLines="0" workbookViewId="0">
      <pane xSplit="1" ySplit="10" topLeftCell="B32" activePane="bottomRight" state="frozen"/>
      <selection pane="topRight" activeCell="B1" sqref="B1"/>
      <selection pane="bottomLeft" activeCell="A11" sqref="A11"/>
      <selection pane="bottomRight" activeCell="B11" sqref="B11:J11"/>
    </sheetView>
  </sheetViews>
  <sheetFormatPr baseColWidth="10" defaultRowHeight="16" x14ac:dyDescent="0.2"/>
  <cols>
    <col min="1" max="1" width="4.6640625" customWidth="1"/>
    <col min="2" max="2" width="36.6640625" customWidth="1"/>
    <col min="3" max="3" width="15" customWidth="1"/>
    <col min="4" max="4" width="9.1640625" customWidth="1"/>
    <col min="5" max="5" width="10" bestFit="1" customWidth="1"/>
    <col min="6" max="7" width="29.1640625" customWidth="1"/>
    <col min="8" max="8" width="2.5" customWidth="1"/>
    <col min="9" max="9" width="22.1640625" bestFit="1" customWidth="1"/>
    <col min="10" max="10" width="42.6640625" bestFit="1" customWidth="1"/>
    <col min="11" max="11" width="28.5" bestFit="1" customWidth="1"/>
  </cols>
  <sheetData>
    <row r="1" spans="1:15" x14ac:dyDescent="0.2">
      <c r="A1" s="8"/>
      <c r="B1" s="277" t="s">
        <v>329</v>
      </c>
      <c r="C1" s="278"/>
      <c r="D1" s="278"/>
      <c r="E1" s="278"/>
      <c r="F1" s="278"/>
      <c r="G1" s="278"/>
      <c r="H1" s="279"/>
      <c r="I1" s="279"/>
      <c r="J1" s="279"/>
      <c r="K1" s="279"/>
      <c r="L1" s="280"/>
      <c r="M1" s="280"/>
      <c r="N1" s="280"/>
    </row>
    <row r="2" spans="1: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5" x14ac:dyDescent="0.2">
      <c r="A3" s="8"/>
      <c r="B3" s="125" t="s">
        <v>330</v>
      </c>
      <c r="C3" s="124"/>
      <c r="D3" s="30"/>
      <c r="E3" s="44"/>
      <c r="F3" s="44"/>
      <c r="G3" s="44"/>
      <c r="H3" s="44"/>
      <c r="I3" s="44"/>
    </row>
    <row r="4" spans="1:15" x14ac:dyDescent="0.2">
      <c r="A4" s="8"/>
      <c r="B4" s="123" t="s">
        <v>331</v>
      </c>
      <c r="C4" s="122" t="s">
        <v>332</v>
      </c>
      <c r="D4" s="121" t="s">
        <v>333</v>
      </c>
      <c r="E4" s="120" t="s">
        <v>334</v>
      </c>
      <c r="F4" s="93" t="s">
        <v>335</v>
      </c>
      <c r="G4" s="93"/>
      <c r="H4" s="93"/>
      <c r="I4" s="93"/>
      <c r="J4" s="93"/>
      <c r="K4" s="93"/>
      <c r="L4" s="663"/>
      <c r="M4" s="664"/>
      <c r="N4" s="93"/>
      <c r="O4" s="14"/>
    </row>
    <row r="5" spans="1:15" x14ac:dyDescent="0.2">
      <c r="A5" s="8"/>
      <c r="B5" s="24" t="s">
        <v>336</v>
      </c>
      <c r="C5" s="117" t="s">
        <v>337</v>
      </c>
      <c r="D5" s="119">
        <v>2</v>
      </c>
      <c r="E5" s="118" t="s">
        <v>338</v>
      </c>
      <c r="F5" s="281" t="s">
        <v>339</v>
      </c>
      <c r="G5" s="281"/>
      <c r="H5" s="8"/>
    </row>
    <row r="6" spans="1:15" x14ac:dyDescent="0.2">
      <c r="A6" s="8"/>
      <c r="B6" s="24" t="s">
        <v>340</v>
      </c>
      <c r="C6" s="117" t="s">
        <v>341</v>
      </c>
      <c r="D6" s="119">
        <v>2</v>
      </c>
      <c r="E6" s="118" t="s">
        <v>338</v>
      </c>
      <c r="F6" s="282" t="s">
        <v>342</v>
      </c>
      <c r="G6" s="282"/>
      <c r="H6" s="8"/>
    </row>
    <row r="7" spans="1:15" x14ac:dyDescent="0.2">
      <c r="A7" s="8"/>
      <c r="B7" s="24" t="s">
        <v>343</v>
      </c>
      <c r="C7" s="117" t="s">
        <v>344</v>
      </c>
      <c r="D7" s="119">
        <v>1</v>
      </c>
      <c r="E7" s="118" t="s">
        <v>338</v>
      </c>
      <c r="F7" s="282" t="s">
        <v>345</v>
      </c>
      <c r="G7" s="282"/>
      <c r="H7" s="8"/>
    </row>
    <row r="8" spans="1:15" x14ac:dyDescent="0.2">
      <c r="A8" s="8"/>
      <c r="B8" s="24" t="s">
        <v>346</v>
      </c>
      <c r="C8" s="117" t="s">
        <v>347</v>
      </c>
      <c r="D8" s="119">
        <v>3</v>
      </c>
      <c r="E8" s="118" t="s">
        <v>338</v>
      </c>
      <c r="F8" s="282" t="s">
        <v>348</v>
      </c>
      <c r="G8" s="282"/>
      <c r="H8" s="8"/>
    </row>
    <row r="9" spans="1:15" x14ac:dyDescent="0.2">
      <c r="A9" s="8"/>
      <c r="B9" s="24" t="s">
        <v>349</v>
      </c>
      <c r="C9" s="117" t="s">
        <v>350</v>
      </c>
      <c r="D9" s="116">
        <v>1</v>
      </c>
      <c r="E9" s="115" t="s">
        <v>338</v>
      </c>
      <c r="F9" s="283" t="s">
        <v>351</v>
      </c>
      <c r="G9" s="283"/>
      <c r="H9" s="8"/>
    </row>
    <row r="10" spans="1:15" x14ac:dyDescent="0.2">
      <c r="A10" s="8"/>
      <c r="B10" s="90" t="s">
        <v>352</v>
      </c>
      <c r="C10" s="114" t="s">
        <v>353</v>
      </c>
      <c r="D10" s="113" t="s">
        <v>354</v>
      </c>
      <c r="E10" s="112" t="s">
        <v>355</v>
      </c>
      <c r="F10" s="285" t="s">
        <v>356</v>
      </c>
      <c r="G10" s="285"/>
      <c r="H10" s="285"/>
      <c r="I10" s="285"/>
      <c r="J10" s="285"/>
      <c r="K10" s="285"/>
      <c r="L10" s="285"/>
      <c r="M10" s="285"/>
      <c r="N10" s="285"/>
    </row>
    <row r="11" spans="1:15" x14ac:dyDescent="0.2">
      <c r="A11" s="8"/>
      <c r="B11" s="8"/>
      <c r="C11" s="8"/>
      <c r="D11" s="8"/>
      <c r="E11" s="8"/>
      <c r="F11" s="8"/>
      <c r="G11" s="8"/>
      <c r="H11" s="8"/>
    </row>
    <row r="12" spans="1:15" x14ac:dyDescent="0.2">
      <c r="A12" s="8"/>
      <c r="B12" s="30" t="s">
        <v>357</v>
      </c>
      <c r="C12" s="44"/>
      <c r="D12" s="44"/>
      <c r="E12" s="44"/>
      <c r="F12" s="44"/>
      <c r="G12" s="44"/>
      <c r="H12" s="8"/>
      <c r="I12" s="136" t="s">
        <v>358</v>
      </c>
      <c r="J12" s="137"/>
      <c r="K12" s="137"/>
      <c r="L12" s="137"/>
      <c r="M12" s="137"/>
      <c r="N12" s="137"/>
    </row>
    <row r="13" spans="1:15" x14ac:dyDescent="0.2">
      <c r="A13" s="8"/>
      <c r="B13" s="111" t="s">
        <v>359</v>
      </c>
      <c r="C13" s="104">
        <v>2021</v>
      </c>
      <c r="D13" s="104">
        <v>2022</v>
      </c>
      <c r="E13" s="104">
        <v>2023</v>
      </c>
      <c r="F13" s="104">
        <v>2024</v>
      </c>
      <c r="G13" s="104">
        <v>2025</v>
      </c>
      <c r="H13" s="8"/>
      <c r="I13" s="141" t="s">
        <v>360</v>
      </c>
      <c r="J13" s="141" t="s">
        <v>361</v>
      </c>
      <c r="K13" s="141" t="s">
        <v>362</v>
      </c>
      <c r="L13" s="142"/>
      <c r="M13" s="142"/>
      <c r="N13" s="142"/>
    </row>
    <row r="14" spans="1:15" x14ac:dyDescent="0.2">
      <c r="A14" s="8"/>
      <c r="B14" s="24" t="s">
        <v>363</v>
      </c>
      <c r="C14" s="107">
        <f>'2. Financial_Analyst'!C15</f>
        <v>235</v>
      </c>
      <c r="D14" s="107">
        <f>'2. Financial_Analyst'!D15</f>
        <v>161.4</v>
      </c>
      <c r="E14" s="107">
        <f>'2. Financial_Analyst'!E15</f>
        <v>931.1</v>
      </c>
      <c r="F14" s="107">
        <f>'2. Financial_Analyst'!F15</f>
        <v>559.70000000000005</v>
      </c>
      <c r="G14" s="107">
        <f>'2. Financial_Analyst'!G15</f>
        <v>183.3</v>
      </c>
      <c r="H14" s="8"/>
      <c r="I14" t="s">
        <v>364</v>
      </c>
      <c r="J14" t="s">
        <v>365</v>
      </c>
      <c r="K14" t="s">
        <v>366</v>
      </c>
    </row>
    <row r="15" spans="1:15" x14ac:dyDescent="0.2">
      <c r="A15" s="8"/>
      <c r="B15" s="24" t="s">
        <v>139</v>
      </c>
      <c r="C15" s="107">
        <f>'2. Financial_Analyst'!C24-'[1]Sheet9_Financial Data'!G834</f>
        <v>40.599999999999909</v>
      </c>
      <c r="D15" s="107">
        <f>'2. Financial_Analyst'!D24-'[1]Sheet9_Financial Data'!F834</f>
        <v>122.80000000000018</v>
      </c>
      <c r="E15" s="107">
        <f>'2. Financial_Analyst'!E24-'[1]Sheet9_Financial Data'!E834</f>
        <v>13</v>
      </c>
      <c r="F15" s="107">
        <f>'2. Financial_Analyst'!F24-'[1]Sheet9_Financial Data'!D834</f>
        <v>411.19999999999982</v>
      </c>
      <c r="G15" s="107">
        <f>'2. Financial_Analyst'!G24-'[1]Sheet9_Financial Data'!C834</f>
        <v>6.1999999999998181</v>
      </c>
      <c r="H15" s="8"/>
      <c r="I15" t="s">
        <v>367</v>
      </c>
      <c r="J15" t="s">
        <v>368</v>
      </c>
      <c r="K15" t="s">
        <v>369</v>
      </c>
    </row>
    <row r="16" spans="1:15" x14ac:dyDescent="0.2">
      <c r="A16" s="8"/>
      <c r="B16" s="24" t="s">
        <v>143</v>
      </c>
      <c r="C16" s="107">
        <f>'[1]Sheet9_Financial Data'!G834</f>
        <v>3935.3</v>
      </c>
      <c r="D16" s="107">
        <f>'[1]Sheet9_Financial Data'!F834</f>
        <v>3910</v>
      </c>
      <c r="E16" s="107">
        <f>'[1]Sheet9_Financial Data'!E834</f>
        <v>3893.9</v>
      </c>
      <c r="F16" s="107">
        <f>'[1]Sheet9_Financial Data'!D834</f>
        <v>4916.6000000000004</v>
      </c>
      <c r="G16" s="107">
        <f>'[1]Sheet9_Financial Data'!C834</f>
        <v>4366.7</v>
      </c>
      <c r="H16" s="8"/>
      <c r="I16" t="s">
        <v>293</v>
      </c>
      <c r="J16" t="s">
        <v>370</v>
      </c>
      <c r="K16" t="s">
        <v>371</v>
      </c>
    </row>
    <row r="17" spans="1:14" x14ac:dyDescent="0.2">
      <c r="A17" s="8"/>
      <c r="B17" s="97" t="s">
        <v>290</v>
      </c>
      <c r="C17" s="99">
        <f>'2. Financial_Analyst'!C24</f>
        <v>3975.9</v>
      </c>
      <c r="D17" s="99">
        <f>'2. Financial_Analyst'!D24</f>
        <v>4032.8</v>
      </c>
      <c r="E17" s="99">
        <f>'2. Financial_Analyst'!E24</f>
        <v>3906.9</v>
      </c>
      <c r="F17" s="99">
        <f>'2. Financial_Analyst'!F24</f>
        <v>5327.8</v>
      </c>
      <c r="G17" s="99">
        <f>'2. Financial_Analyst'!G24</f>
        <v>4372.8999999999996</v>
      </c>
      <c r="H17" s="8"/>
    </row>
    <row r="18" spans="1:14" x14ac:dyDescent="0.2">
      <c r="A18" s="8"/>
      <c r="B18" s="97" t="s">
        <v>372</v>
      </c>
      <c r="C18" s="99">
        <f>C17-C14</f>
        <v>3740.9</v>
      </c>
      <c r="D18" s="99">
        <f>D17-D14</f>
        <v>3871.4</v>
      </c>
      <c r="E18" s="99">
        <f>E17-E14</f>
        <v>2975.8</v>
      </c>
      <c r="F18" s="99">
        <f>F17-F14</f>
        <v>4768.1000000000004</v>
      </c>
      <c r="G18" s="99">
        <f>G17-G14</f>
        <v>4189.5999999999995</v>
      </c>
      <c r="H18" s="8"/>
      <c r="I18" s="138" t="s">
        <v>373</v>
      </c>
    </row>
    <row r="19" spans="1:14" x14ac:dyDescent="0.2">
      <c r="A19" s="8"/>
      <c r="B19" s="24" t="s">
        <v>291</v>
      </c>
      <c r="C19" s="107">
        <f>'2. Financial_Analyst'!C25</f>
        <v>6567.7</v>
      </c>
      <c r="D19" s="107">
        <f>'2. Financial_Analyst'!D25</f>
        <v>6952.2</v>
      </c>
      <c r="E19" s="107">
        <f>'2. Financial_Analyst'!E25</f>
        <v>7507.9</v>
      </c>
      <c r="F19" s="107">
        <f>'2. Financial_Analyst'!F25</f>
        <v>8142.5</v>
      </c>
      <c r="G19" s="107">
        <f>'2. Financial_Analyst'!G25</f>
        <v>8548.9</v>
      </c>
      <c r="H19" s="8"/>
      <c r="I19" s="141" t="s">
        <v>360</v>
      </c>
      <c r="J19" s="141" t="s">
        <v>361</v>
      </c>
      <c r="K19" s="141" t="s">
        <v>362</v>
      </c>
      <c r="L19" s="142"/>
      <c r="M19" s="142"/>
      <c r="N19" s="142"/>
    </row>
    <row r="20" spans="1:14" x14ac:dyDescent="0.2">
      <c r="A20" s="8"/>
      <c r="B20" s="24" t="s">
        <v>374</v>
      </c>
      <c r="C20" s="98">
        <f>C17+C19</f>
        <v>10543.6</v>
      </c>
      <c r="D20" s="98">
        <f>D17+D19</f>
        <v>10985</v>
      </c>
      <c r="E20" s="98">
        <f>E17+E19</f>
        <v>11414.8</v>
      </c>
      <c r="F20" s="98">
        <f>F17+F19</f>
        <v>13470.3</v>
      </c>
      <c r="G20" s="98">
        <f>G17+G19</f>
        <v>12921.8</v>
      </c>
      <c r="H20" s="8"/>
      <c r="I20" t="s">
        <v>375</v>
      </c>
      <c r="J20" t="s">
        <v>376</v>
      </c>
      <c r="K20" t="s">
        <v>377</v>
      </c>
    </row>
    <row r="21" spans="1:14" x14ac:dyDescent="0.2">
      <c r="A21" s="8"/>
      <c r="B21" s="126" t="s">
        <v>378</v>
      </c>
      <c r="C21" s="127"/>
      <c r="D21" s="127"/>
      <c r="E21" s="127"/>
      <c r="F21" s="127"/>
      <c r="G21" s="128">
        <f>G18+G17-G14</f>
        <v>8379.2000000000007</v>
      </c>
      <c r="H21" s="8"/>
      <c r="I21" t="s">
        <v>379</v>
      </c>
      <c r="J21" t="s">
        <v>380</v>
      </c>
      <c r="K21" t="s">
        <v>381</v>
      </c>
    </row>
    <row r="22" spans="1:14" x14ac:dyDescent="0.2">
      <c r="A22" s="8"/>
      <c r="B22" s="24" t="s">
        <v>382</v>
      </c>
      <c r="C22" s="100">
        <f>C17/C20</f>
        <v>0.37709131605903107</v>
      </c>
      <c r="D22" s="100">
        <f>D17/D20</f>
        <v>0.36711879836140193</v>
      </c>
      <c r="E22" s="100">
        <f>E17/E20</f>
        <v>0.34226618074780113</v>
      </c>
      <c r="F22" s="100">
        <f>F17/F20</f>
        <v>0.39552200025240719</v>
      </c>
      <c r="G22" s="100">
        <f>G17/G20</f>
        <v>0.3384126050550233</v>
      </c>
      <c r="H22" s="8"/>
      <c r="I22" t="s">
        <v>383</v>
      </c>
      <c r="J22" t="s">
        <v>384</v>
      </c>
      <c r="K22" t="s">
        <v>385</v>
      </c>
    </row>
    <row r="23" spans="1:14" x14ac:dyDescent="0.2">
      <c r="A23" s="8"/>
      <c r="B23" s="24" t="s">
        <v>386</v>
      </c>
      <c r="C23" s="100">
        <f>C19/C20</f>
        <v>0.62290868394096888</v>
      </c>
      <c r="D23" s="100">
        <f>D19/D20</f>
        <v>0.63288120163859807</v>
      </c>
      <c r="E23" s="100">
        <f>E19/E20</f>
        <v>0.65773381925219887</v>
      </c>
      <c r="F23" s="100">
        <f>F19/F20</f>
        <v>0.60447799974759286</v>
      </c>
      <c r="G23" s="100">
        <f>G19/G20</f>
        <v>0.66158739494497676</v>
      </c>
      <c r="H23" s="8"/>
      <c r="I23" s="8"/>
      <c r="J23" s="8"/>
      <c r="K23" s="8"/>
    </row>
    <row r="24" spans="1:14" x14ac:dyDescent="0.2">
      <c r="A24" s="8"/>
      <c r="B24" s="8"/>
      <c r="C24" s="8"/>
      <c r="D24" s="8"/>
      <c r="E24" s="8"/>
      <c r="F24" s="8"/>
      <c r="G24" s="8"/>
      <c r="H24" s="8"/>
      <c r="I24" s="138" t="s">
        <v>387</v>
      </c>
      <c r="J24" s="139"/>
      <c r="K24" s="139"/>
    </row>
    <row r="25" spans="1:14" x14ac:dyDescent="0.2">
      <c r="A25" s="8"/>
      <c r="B25" s="30" t="s">
        <v>388</v>
      </c>
      <c r="C25" s="44"/>
      <c r="D25" s="44"/>
      <c r="E25" s="44"/>
      <c r="F25" s="44"/>
      <c r="G25" s="44"/>
      <c r="H25" s="8"/>
      <c r="I25" s="143" t="s">
        <v>360</v>
      </c>
      <c r="J25" s="143" t="s">
        <v>361</v>
      </c>
      <c r="K25" s="143" t="s">
        <v>389</v>
      </c>
      <c r="L25" s="142"/>
      <c r="M25" s="142"/>
      <c r="N25" s="142"/>
    </row>
    <row r="26" spans="1:14" x14ac:dyDescent="0.2">
      <c r="A26" s="8"/>
      <c r="B26" s="93" t="s">
        <v>364</v>
      </c>
      <c r="C26" s="104">
        <v>2021</v>
      </c>
      <c r="D26" s="104">
        <v>2022</v>
      </c>
      <c r="E26" s="104">
        <v>2023</v>
      </c>
      <c r="F26" s="104">
        <v>2024</v>
      </c>
      <c r="G26" s="104">
        <v>2025</v>
      </c>
      <c r="H26" s="8"/>
      <c r="I26" s="139" t="s">
        <v>390</v>
      </c>
      <c r="J26" s="139" t="s">
        <v>391</v>
      </c>
      <c r="K26" s="139" t="s">
        <v>392</v>
      </c>
    </row>
    <row r="27" spans="1:14" x14ac:dyDescent="0.2">
      <c r="A27" s="8"/>
      <c r="B27" s="24" t="s">
        <v>393</v>
      </c>
      <c r="C27" s="105">
        <f>'2. Financial_Analyst'!C24/'2. Financial_Analyst'!C10</f>
        <v>2.7712413745033815</v>
      </c>
      <c r="D27" s="105">
        <f>'2. Financial_Analyst'!D24/'2. Financial_Analyst'!D10</f>
        <v>2.4940012368583799</v>
      </c>
      <c r="E27" s="105">
        <f>'2. Financial_Analyst'!E24/'2. Financial_Analyst'!E10</f>
        <v>2.014696782178218</v>
      </c>
      <c r="F27" s="105">
        <f>'2. Financial_Analyst'!F24/'2. Financial_Analyst'!F10</f>
        <v>2.6267317457969734</v>
      </c>
      <c r="G27" s="105">
        <f>'2. Financial_Analyst'!G24/'2. Financial_Analyst'!G10</f>
        <v>1.9213937343468512</v>
      </c>
      <c r="H27" s="8"/>
      <c r="I27" s="139" t="s">
        <v>394</v>
      </c>
      <c r="J27" s="139" t="s">
        <v>395</v>
      </c>
      <c r="K27" s="139" t="s">
        <v>396</v>
      </c>
    </row>
    <row r="28" spans="1:14" x14ac:dyDescent="0.2">
      <c r="A28" s="8"/>
      <c r="B28" s="24" t="s">
        <v>397</v>
      </c>
      <c r="C28" s="105">
        <f>C18/'2. Financial_Analyst'!C10</f>
        <v>2.6074440649613169</v>
      </c>
      <c r="D28" s="105">
        <f>D18/'2. Financial_Analyst'!D10</f>
        <v>2.3941867656153373</v>
      </c>
      <c r="E28" s="105">
        <f>E18/'2. Financial_Analyst'!E10</f>
        <v>1.5345503300330035</v>
      </c>
      <c r="F28" s="105">
        <f>F18/'2. Financial_Analyst'!F10</f>
        <v>2.3507863728245337</v>
      </c>
      <c r="G28" s="105">
        <f>G18/'2. Financial_Analyst'!G10</f>
        <v>1.8408541675820547</v>
      </c>
      <c r="H28" s="8"/>
      <c r="I28" s="139" t="s">
        <v>398</v>
      </c>
      <c r="J28" s="139" t="s">
        <v>399</v>
      </c>
      <c r="K28" s="139" t="s">
        <v>400</v>
      </c>
    </row>
    <row r="29" spans="1:14" x14ac:dyDescent="0.2">
      <c r="A29" s="8"/>
      <c r="B29" s="24" t="s">
        <v>401</v>
      </c>
      <c r="C29" s="105">
        <f>C17/C19</f>
        <v>0.60537174353274359</v>
      </c>
      <c r="D29" s="105">
        <f>D17/D19</f>
        <v>0.58007537182474611</v>
      </c>
      <c r="E29" s="105">
        <f>E17/E19</f>
        <v>0.52037187495837722</v>
      </c>
      <c r="F29" s="105">
        <f>F17/F19</f>
        <v>0.65431992631255764</v>
      </c>
      <c r="G29" s="105">
        <f>G17/G19</f>
        <v>0.51151610148674098</v>
      </c>
      <c r="H29" s="8"/>
      <c r="I29" s="138" t="s">
        <v>402</v>
      </c>
      <c r="J29" s="139"/>
      <c r="K29" s="139"/>
    </row>
    <row r="30" spans="1:14" x14ac:dyDescent="0.2">
      <c r="A30" s="8"/>
      <c r="B30" s="24" t="s">
        <v>382</v>
      </c>
      <c r="C30" s="100">
        <f>C22</f>
        <v>0.37709131605903107</v>
      </c>
      <c r="D30" s="100">
        <f>D22</f>
        <v>0.36711879836140193</v>
      </c>
      <c r="E30" s="100">
        <f>E22</f>
        <v>0.34226618074780113</v>
      </c>
      <c r="F30" s="100">
        <f>F22</f>
        <v>0.39552200025240719</v>
      </c>
      <c r="G30" s="100">
        <f>G22</f>
        <v>0.3384126050550233</v>
      </c>
      <c r="H30" s="8"/>
      <c r="I30" s="143" t="s">
        <v>360</v>
      </c>
      <c r="J30" s="143" t="s">
        <v>361</v>
      </c>
      <c r="K30" s="143" t="s">
        <v>362</v>
      </c>
      <c r="L30" s="142"/>
      <c r="M30" s="142"/>
      <c r="N30" s="142"/>
    </row>
    <row r="31" spans="1:14" x14ac:dyDescent="0.2">
      <c r="A31" s="8"/>
      <c r="B31" s="8"/>
      <c r="C31" s="8"/>
      <c r="D31" s="8"/>
      <c r="E31" s="8"/>
      <c r="F31" s="8"/>
      <c r="G31" s="8"/>
      <c r="H31" s="8"/>
      <c r="I31" s="139" t="s">
        <v>403</v>
      </c>
      <c r="J31" s="139" t="s">
        <v>404</v>
      </c>
      <c r="K31" s="139" t="s">
        <v>405</v>
      </c>
    </row>
    <row r="32" spans="1:14" x14ac:dyDescent="0.2">
      <c r="A32" s="8"/>
      <c r="B32" s="51" t="s">
        <v>367</v>
      </c>
      <c r="C32" s="110"/>
      <c r="D32" s="110"/>
      <c r="E32" s="110"/>
      <c r="F32" s="110"/>
      <c r="G32" s="110"/>
      <c r="H32" s="8"/>
      <c r="I32" s="139" t="s">
        <v>406</v>
      </c>
      <c r="J32" s="139" t="s">
        <v>407</v>
      </c>
      <c r="K32" s="139" t="s">
        <v>408</v>
      </c>
    </row>
    <row r="33" spans="1:14" x14ac:dyDescent="0.2">
      <c r="A33" s="8"/>
      <c r="B33" s="24" t="s">
        <v>409</v>
      </c>
      <c r="C33" s="105">
        <f>'2. Financial_Analyst'!C10/'[1]Sheet9_Financial Data'!G996</f>
        <v>9.6095110515740085</v>
      </c>
      <c r="D33" s="105">
        <f>'2. Financial_Analyst'!D10/'[1]Sheet9_Financial Data'!F996</f>
        <v>9.5567375886524832</v>
      </c>
      <c r="E33" s="105">
        <f>'2. Financial_Analyst'!E10/'[1]Sheet9_Financial Data'!E996</f>
        <v>9.88883222845487</v>
      </c>
      <c r="F33" s="105">
        <f>'2. Financial_Analyst'!F10/'[1]Sheet9_Financial Data'!D996</f>
        <v>10.608263598326358</v>
      </c>
      <c r="G33" s="105">
        <f>'2. Financial_Analyst'!G10/'[1]Sheet9_Financial Data'!C996</f>
        <v>9.494785148101796</v>
      </c>
      <c r="H33" s="8"/>
      <c r="I33" s="139" t="s">
        <v>410</v>
      </c>
      <c r="J33" s="139" t="s">
        <v>411</v>
      </c>
      <c r="K33" s="139" t="s">
        <v>412</v>
      </c>
    </row>
    <row r="34" spans="1:14" x14ac:dyDescent="0.2">
      <c r="A34" s="8"/>
      <c r="B34" s="24" t="s">
        <v>413</v>
      </c>
      <c r="C34" s="105">
        <f>'2. Financial_Analyst'!C11/'[1]Sheet9_Financial Data'!G996</f>
        <v>6.508372404554585</v>
      </c>
      <c r="D34" s="105">
        <f>'2. Financial_Analyst'!D11/'[1]Sheet9_Financial Data'!F996</f>
        <v>6.08451536643026</v>
      </c>
      <c r="E34" s="105">
        <f>'2. Financial_Analyst'!E11/'[1]Sheet9_Financial Data'!E996</f>
        <v>6.7424783273839886</v>
      </c>
      <c r="F34" s="105">
        <f>'2. Financial_Analyst'!F11/'[1]Sheet9_Financial Data'!D996</f>
        <v>7.3017782426778215</v>
      </c>
      <c r="G34" s="105">
        <f>'2. Financial_Analyst'!G11/'[1]Sheet9_Financial Data'!C996</f>
        <v>6.3721318314559889</v>
      </c>
      <c r="H34" s="8"/>
      <c r="I34" s="139" t="s">
        <v>414</v>
      </c>
      <c r="J34" s="139" t="s">
        <v>415</v>
      </c>
      <c r="K34" s="139" t="s">
        <v>416</v>
      </c>
    </row>
    <row r="35" spans="1:14" x14ac:dyDescent="0.2">
      <c r="A35" s="8"/>
      <c r="B35" s="8"/>
      <c r="C35" s="8"/>
      <c r="D35" s="8"/>
      <c r="E35" s="8"/>
      <c r="F35" s="8"/>
      <c r="G35" s="8"/>
      <c r="H35" s="8"/>
      <c r="I35" s="139" t="s">
        <v>417</v>
      </c>
      <c r="J35" s="139" t="s">
        <v>418</v>
      </c>
      <c r="K35" s="139" t="s">
        <v>419</v>
      </c>
    </row>
    <row r="36" spans="1:14" x14ac:dyDescent="0.2">
      <c r="A36" s="8"/>
      <c r="B36" s="51" t="s">
        <v>420</v>
      </c>
      <c r="C36" s="110"/>
      <c r="D36" s="110"/>
      <c r="E36" s="110"/>
      <c r="F36" s="110"/>
      <c r="G36" s="110"/>
      <c r="H36" s="8"/>
    </row>
    <row r="37" spans="1:14" x14ac:dyDescent="0.2">
      <c r="A37" s="8"/>
      <c r="B37" s="24" t="s">
        <v>421</v>
      </c>
      <c r="C37" s="100">
        <f>'2. Financial_Analyst'!C29/'2. Financial_Analyst'!C24</f>
        <v>0.25450841318946654</v>
      </c>
      <c r="D37" s="100">
        <f>'2. Financial_Analyst'!D29/'2. Financial_Analyst'!D24</f>
        <v>0.28471533425907558</v>
      </c>
      <c r="E37" s="100">
        <f>'2. Financial_Analyst'!E29/'2. Financial_Analyst'!E24</f>
        <v>0.39335534567048042</v>
      </c>
      <c r="F37" s="100">
        <f>'2. Financial_Analyst'!F29/'2. Financial_Analyst'!F24</f>
        <v>0.26457449603964112</v>
      </c>
      <c r="G37" s="100">
        <f>'2. Financial_Analyst'!G29/'2. Financial_Analyst'!G24</f>
        <v>0.41459900752361134</v>
      </c>
      <c r="H37" s="8"/>
      <c r="I37" s="138" t="s">
        <v>422</v>
      </c>
      <c r="J37" s="139"/>
      <c r="K37" s="139"/>
    </row>
    <row r="38" spans="1:14" x14ac:dyDescent="0.2">
      <c r="A38" s="8"/>
      <c r="B38" s="24" t="s">
        <v>423</v>
      </c>
      <c r="C38" s="100">
        <f>'[1]Sheet9_Financial Data'!G1192/'2. Financial_Analyst'!C24</f>
        <v>0.14099952212077768</v>
      </c>
      <c r="D38" s="100">
        <f>'[1]Sheet9_Financial Data'!F1192/'2. Financial_Analyst'!D24</f>
        <v>0.13281095020829201</v>
      </c>
      <c r="E38" s="100">
        <f>'[1]Sheet9_Financial Data'!E1192/'2. Financial_Analyst'!E24</f>
        <v>0.17000691085003455</v>
      </c>
      <c r="F38" s="100">
        <f>'[1]Sheet9_Financial Data'!D1192/'2. Financial_Analyst'!F24</f>
        <v>0.15130072450167048</v>
      </c>
      <c r="G38" s="100">
        <f>'[1]Sheet9_Financial Data'!C1192/'2. Financial_Analyst'!G24</f>
        <v>0.25962176130256809</v>
      </c>
      <c r="H38" s="8"/>
      <c r="I38" s="143" t="s">
        <v>360</v>
      </c>
      <c r="J38" s="143" t="s">
        <v>361</v>
      </c>
      <c r="K38" s="143" t="s">
        <v>362</v>
      </c>
      <c r="L38" s="142"/>
      <c r="M38" s="142"/>
      <c r="N38" s="142"/>
    </row>
    <row r="39" spans="1:14" x14ac:dyDescent="0.2">
      <c r="A39" s="8"/>
      <c r="B39" s="24" t="s">
        <v>424</v>
      </c>
      <c r="C39" s="100">
        <f>'[1]Sheet9_Financial Data'!G1192/C18</f>
        <v>0.14985698628672245</v>
      </c>
      <c r="D39" s="100">
        <f>'[1]Sheet9_Financial Data'!F1192/D18</f>
        <v>0.13834788448623236</v>
      </c>
      <c r="E39" s="100">
        <f>'[1]Sheet9_Financial Data'!E1192/E18</f>
        <v>0.22320048390348815</v>
      </c>
      <c r="F39" s="100">
        <f>'[1]Sheet9_Financial Data'!D1192/F18</f>
        <v>0.16906105157190493</v>
      </c>
      <c r="G39" s="100">
        <f>'[1]Sheet9_Financial Data'!C1192/G18</f>
        <v>0.27098052320030552</v>
      </c>
      <c r="H39" s="8"/>
      <c r="I39" s="139" t="s">
        <v>425</v>
      </c>
      <c r="J39" s="139" t="s">
        <v>426</v>
      </c>
      <c r="K39" s="139" t="s">
        <v>427</v>
      </c>
    </row>
    <row r="40" spans="1:14" x14ac:dyDescent="0.2">
      <c r="A40" s="8"/>
      <c r="B40" s="8"/>
      <c r="C40" s="8"/>
      <c r="D40" s="8"/>
      <c r="E40" s="8"/>
      <c r="F40" s="8"/>
      <c r="G40" s="8"/>
      <c r="H40" s="8"/>
      <c r="I40" s="140" t="s">
        <v>428</v>
      </c>
      <c r="J40" s="140" t="s">
        <v>429</v>
      </c>
      <c r="K40" s="140" t="s">
        <v>430</v>
      </c>
    </row>
    <row r="41" spans="1:14" x14ac:dyDescent="0.2">
      <c r="A41" s="8"/>
      <c r="B41" s="51" t="s">
        <v>431</v>
      </c>
      <c r="C41" s="110"/>
      <c r="D41" s="110"/>
      <c r="E41" s="110"/>
      <c r="F41" s="110"/>
      <c r="G41" s="110"/>
      <c r="H41" s="8"/>
      <c r="I41" s="140" t="s">
        <v>432</v>
      </c>
      <c r="J41" s="140" t="s">
        <v>433</v>
      </c>
      <c r="K41" s="140" t="s">
        <v>434</v>
      </c>
    </row>
    <row r="42" spans="1:14" x14ac:dyDescent="0.2">
      <c r="A42" s="8"/>
      <c r="B42" s="24" t="s">
        <v>308</v>
      </c>
      <c r="C42" s="109">
        <f>'2. Financial_Analyst'!C61</f>
        <v>2.2053815156635901</v>
      </c>
      <c r="D42" s="109">
        <f>'2. Financial_Analyst'!D61</f>
        <v>1.9882918670290612</v>
      </c>
      <c r="E42" s="109">
        <f>'2. Financial_Analyst'!E61</f>
        <v>3.1656218655967905</v>
      </c>
      <c r="F42" s="109">
        <f>'2. Financial_Analyst'!F61</f>
        <v>1.8285045597611169</v>
      </c>
      <c r="G42" s="109">
        <f>'2. Financial_Analyst'!G61</f>
        <v>2.6858069239619287</v>
      </c>
      <c r="H42" s="8"/>
      <c r="I42" s="140" t="s">
        <v>435</v>
      </c>
      <c r="J42" s="140" t="s">
        <v>436</v>
      </c>
      <c r="K42" s="140" t="s">
        <v>437</v>
      </c>
    </row>
    <row r="43" spans="1:14" x14ac:dyDescent="0.2">
      <c r="A43" s="8"/>
      <c r="B43" s="24" t="s">
        <v>309</v>
      </c>
      <c r="C43" s="109">
        <f>'2. Financial_Analyst'!C62</f>
        <v>1.5277525022747953</v>
      </c>
      <c r="D43" s="109">
        <f>'2. Financial_Analyst'!D62</f>
        <v>1.3827095964875602</v>
      </c>
      <c r="E43" s="109">
        <f>'2. Financial_Analyst'!E62</f>
        <v>2.3938064192577735</v>
      </c>
      <c r="F43" s="109">
        <f>'2. Financial_Analyst'!F62</f>
        <v>1.278266483738197</v>
      </c>
      <c r="G43" s="109">
        <f>'2. Financial_Analyst'!G62</f>
        <v>1.9740612906599728</v>
      </c>
      <c r="H43" s="8"/>
      <c r="I43" s="140" t="s">
        <v>321</v>
      </c>
      <c r="J43" s="140" t="s">
        <v>438</v>
      </c>
      <c r="K43" s="140" t="s">
        <v>439</v>
      </c>
    </row>
    <row r="44" spans="1:14" x14ac:dyDescent="0.2">
      <c r="A44" s="8"/>
      <c r="B44" s="8"/>
      <c r="C44" s="8"/>
      <c r="D44" s="8"/>
      <c r="E44" s="8"/>
      <c r="F44" s="8"/>
      <c r="G44" s="8"/>
      <c r="H44" s="8"/>
    </row>
    <row r="45" spans="1:14" x14ac:dyDescent="0.2">
      <c r="A45" s="8"/>
      <c r="B45" s="30" t="s">
        <v>440</v>
      </c>
      <c r="C45" s="44"/>
      <c r="D45" s="44"/>
      <c r="E45" s="44"/>
      <c r="F45" s="44"/>
      <c r="G45" s="44"/>
      <c r="H45" s="8"/>
      <c r="I45" s="8"/>
      <c r="J45" s="8"/>
      <c r="K45" s="8"/>
    </row>
    <row r="46" spans="1:14" x14ac:dyDescent="0.2">
      <c r="A46" s="8"/>
      <c r="B46" s="129" t="s">
        <v>359</v>
      </c>
      <c r="C46" s="130"/>
      <c r="D46" s="130"/>
      <c r="E46" s="130"/>
      <c r="F46" s="130"/>
      <c r="G46" s="131" t="s">
        <v>441</v>
      </c>
      <c r="H46" s="8"/>
      <c r="I46" s="8"/>
      <c r="J46" s="8"/>
      <c r="K46" s="8"/>
    </row>
    <row r="47" spans="1:14" x14ac:dyDescent="0.2">
      <c r="A47" s="8"/>
      <c r="B47" s="24" t="s">
        <v>442</v>
      </c>
      <c r="C47" s="8"/>
      <c r="D47" s="8"/>
      <c r="E47" s="8"/>
      <c r="F47" s="8"/>
      <c r="G47" s="107">
        <f>'2. Financial_Analyst'!G10</f>
        <v>2275.9000000000005</v>
      </c>
      <c r="H47" s="8"/>
      <c r="I47" s="8"/>
      <c r="J47" s="8"/>
      <c r="K47" s="8"/>
    </row>
    <row r="48" spans="1:14" x14ac:dyDescent="0.2">
      <c r="A48" s="8"/>
      <c r="B48" s="24" t="s">
        <v>443</v>
      </c>
      <c r="C48" s="8"/>
      <c r="D48" s="8"/>
      <c r="E48" s="8"/>
      <c r="F48" s="8"/>
      <c r="G48" s="108">
        <v>3</v>
      </c>
      <c r="H48" s="8"/>
      <c r="I48" s="8"/>
      <c r="J48" s="8"/>
      <c r="K48" s="8"/>
    </row>
    <row r="49" spans="1:11" x14ac:dyDescent="0.2">
      <c r="A49" s="8"/>
      <c r="B49" s="97" t="s">
        <v>444</v>
      </c>
      <c r="C49" s="88"/>
      <c r="D49" s="88"/>
      <c r="E49" s="88"/>
      <c r="F49" s="88"/>
      <c r="G49" s="99">
        <f>G47*G48</f>
        <v>6827.7000000000016</v>
      </c>
      <c r="H49" s="8"/>
      <c r="I49" s="8"/>
      <c r="J49" s="8"/>
      <c r="K49" s="8"/>
    </row>
    <row r="50" spans="1:11" x14ac:dyDescent="0.2">
      <c r="A50" s="8"/>
      <c r="B50" s="24" t="s">
        <v>445</v>
      </c>
      <c r="C50" s="8"/>
      <c r="D50" s="8"/>
      <c r="E50" s="8"/>
      <c r="F50" s="8"/>
      <c r="G50" s="107">
        <f>G17</f>
        <v>4372.8999999999996</v>
      </c>
      <c r="H50" s="8"/>
      <c r="I50" s="8"/>
      <c r="J50" s="8"/>
      <c r="K50" s="8"/>
    </row>
    <row r="51" spans="1:11" x14ac:dyDescent="0.2">
      <c r="A51" s="8"/>
      <c r="B51" s="126" t="s">
        <v>446</v>
      </c>
      <c r="C51" s="127"/>
      <c r="D51" s="127"/>
      <c r="E51" s="127"/>
      <c r="F51" s="127"/>
      <c r="G51" s="128">
        <f>G49-G50</f>
        <v>2454.800000000002</v>
      </c>
      <c r="H51" s="8"/>
      <c r="I51" s="8"/>
      <c r="J51" s="8"/>
      <c r="K51" s="8"/>
    </row>
    <row r="52" spans="1:1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2">
      <c r="A53" s="8"/>
      <c r="B53" s="24" t="s">
        <v>447</v>
      </c>
      <c r="C53" s="8"/>
      <c r="D53" s="8"/>
      <c r="E53" s="8"/>
      <c r="F53" s="8"/>
      <c r="G53" s="105">
        <f>G49/G47</f>
        <v>3</v>
      </c>
      <c r="H53" s="8"/>
      <c r="I53" s="8"/>
      <c r="J53" s="8"/>
      <c r="K53" s="8"/>
    </row>
    <row r="54" spans="1:11" x14ac:dyDescent="0.2">
      <c r="A54" s="8"/>
      <c r="B54" s="24" t="s">
        <v>448</v>
      </c>
      <c r="C54" s="8"/>
      <c r="D54" s="8"/>
      <c r="E54" s="8"/>
      <c r="F54" s="8"/>
      <c r="G54" s="107">
        <f>'[1]Sheet9_Financial Data'!C905</f>
        <v>1576.9</v>
      </c>
      <c r="H54" s="8"/>
      <c r="I54" s="8"/>
      <c r="J54" s="8"/>
      <c r="K54" s="8"/>
    </row>
    <row r="55" spans="1:1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2">
      <c r="A56" s="8"/>
      <c r="B56" s="30" t="s">
        <v>449</v>
      </c>
      <c r="C56" s="44"/>
      <c r="D56" s="44"/>
      <c r="E56" s="44"/>
      <c r="F56" s="44"/>
      <c r="G56" s="44"/>
      <c r="H56" s="8"/>
      <c r="I56" s="8"/>
      <c r="J56" s="8"/>
      <c r="K56" s="8"/>
    </row>
    <row r="57" spans="1:11" x14ac:dyDescent="0.2">
      <c r="A57" s="8"/>
      <c r="B57" s="129" t="s">
        <v>359</v>
      </c>
      <c r="C57" s="130"/>
      <c r="D57" s="130"/>
      <c r="E57" s="131" t="s">
        <v>450</v>
      </c>
      <c r="F57" s="104" t="s">
        <v>451</v>
      </c>
      <c r="G57" s="104" t="s">
        <v>452</v>
      </c>
      <c r="H57" s="8"/>
      <c r="I57" s="8"/>
      <c r="J57" s="8"/>
      <c r="K57" s="8"/>
    </row>
    <row r="58" spans="1:11" x14ac:dyDescent="0.2">
      <c r="A58" s="8"/>
      <c r="B58" s="24" t="s">
        <v>442</v>
      </c>
      <c r="C58" s="8"/>
      <c r="D58" s="8"/>
      <c r="E58" s="107">
        <f>G47</f>
        <v>2275.9000000000005</v>
      </c>
      <c r="F58" s="107">
        <f>E58</f>
        <v>2275.9000000000005</v>
      </c>
      <c r="G58" s="107">
        <f>E58</f>
        <v>2275.9000000000005</v>
      </c>
      <c r="H58" s="8"/>
      <c r="I58" s="8"/>
      <c r="J58" s="8"/>
      <c r="K58" s="8"/>
    </row>
    <row r="59" spans="1:11" x14ac:dyDescent="0.2">
      <c r="A59" s="8"/>
      <c r="B59" s="24" t="s">
        <v>453</v>
      </c>
      <c r="C59" s="8"/>
      <c r="D59" s="8"/>
      <c r="E59" s="107">
        <f>'[1]Sheet9_Financial Data'!C996</f>
        <v>239.7</v>
      </c>
      <c r="F59" s="107">
        <f>E59</f>
        <v>239.7</v>
      </c>
      <c r="G59" s="107">
        <f>E59</f>
        <v>239.7</v>
      </c>
      <c r="H59" s="8"/>
      <c r="I59" s="8"/>
      <c r="J59" s="8"/>
      <c r="K59" s="8"/>
    </row>
    <row r="60" spans="1:11" x14ac:dyDescent="0.2">
      <c r="A60" s="8"/>
      <c r="B60" s="24" t="s">
        <v>454</v>
      </c>
      <c r="C60" s="8"/>
      <c r="D60" s="8"/>
      <c r="E60" s="98">
        <v>0</v>
      </c>
      <c r="F60" s="98">
        <f>G17*0.01</f>
        <v>43.728999999999999</v>
      </c>
      <c r="G60" s="98">
        <f>G17*0.02</f>
        <v>87.457999999999998</v>
      </c>
      <c r="H60" s="8"/>
      <c r="I60" s="8"/>
      <c r="J60" s="8"/>
      <c r="K60" s="8"/>
    </row>
    <row r="61" spans="1:11" x14ac:dyDescent="0.2">
      <c r="A61" s="8"/>
      <c r="B61" s="97" t="s">
        <v>455</v>
      </c>
      <c r="C61" s="88"/>
      <c r="D61" s="88"/>
      <c r="E61" s="99">
        <f>E59+E60</f>
        <v>239.7</v>
      </c>
      <c r="F61" s="99">
        <f>F59+F60</f>
        <v>283.42899999999997</v>
      </c>
      <c r="G61" s="99">
        <f>G59+G60</f>
        <v>327.15800000000002</v>
      </c>
      <c r="H61" s="8"/>
      <c r="I61" s="8"/>
      <c r="J61" s="8"/>
      <c r="K61" s="8"/>
    </row>
    <row r="62" spans="1:1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2">
      <c r="A63" s="8"/>
      <c r="B63" s="24" t="s">
        <v>456</v>
      </c>
      <c r="C63" s="8"/>
      <c r="D63" s="8"/>
      <c r="E63" s="105">
        <f>E58/E61</f>
        <v>9.494785148101796</v>
      </c>
      <c r="F63" s="105">
        <f>F58/F61</f>
        <v>8.0298769709521629</v>
      </c>
      <c r="G63" s="105">
        <f>G58/G61</f>
        <v>6.9565775557987282</v>
      </c>
      <c r="H63" s="8"/>
      <c r="I63" s="8"/>
      <c r="J63" s="8"/>
      <c r="K63" s="8"/>
    </row>
    <row r="64" spans="1:11" x14ac:dyDescent="0.2">
      <c r="A64" s="8"/>
      <c r="B64" s="24" t="s">
        <v>457</v>
      </c>
      <c r="C64" s="8"/>
      <c r="D64" s="8"/>
      <c r="E64" s="105">
        <f>'2. Financial_Analyst'!G11/E61</f>
        <v>6.3721318314559889</v>
      </c>
      <c r="F64" s="105">
        <f>'2. Financial_Analyst'!G11/F61</f>
        <v>5.3890039480787095</v>
      </c>
      <c r="G64" s="105">
        <f>'2. Financial_Analyst'!G11/G61</f>
        <v>4.6686921915404804</v>
      </c>
      <c r="H64" s="8"/>
      <c r="I64" s="8"/>
      <c r="J64" s="8"/>
      <c r="K64" s="8"/>
    </row>
    <row r="65" spans="1:11" x14ac:dyDescent="0.2">
      <c r="A65" s="8"/>
      <c r="B65" s="24" t="s">
        <v>458</v>
      </c>
      <c r="C65" s="8"/>
      <c r="D65" s="8"/>
      <c r="E65" s="106" t="s">
        <v>459</v>
      </c>
      <c r="F65" s="105">
        <f>F63-E63</f>
        <v>-1.4649081771496331</v>
      </c>
      <c r="G65" s="105">
        <f>G63-E63</f>
        <v>-2.5382075923030678</v>
      </c>
      <c r="H65" s="8"/>
      <c r="I65" s="8"/>
      <c r="J65" s="8"/>
      <c r="K65" s="8"/>
    </row>
    <row r="66" spans="1:1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2">
      <c r="A67" s="8"/>
      <c r="B67" s="30" t="s">
        <v>460</v>
      </c>
      <c r="C67" s="44"/>
      <c r="D67" s="44"/>
      <c r="E67" s="44"/>
      <c r="F67" s="44"/>
      <c r="G67" s="44"/>
      <c r="H67" s="8"/>
      <c r="I67" s="8"/>
      <c r="J67" s="8"/>
      <c r="K67" s="8"/>
    </row>
    <row r="68" spans="1:11" x14ac:dyDescent="0.2">
      <c r="A68" s="8"/>
      <c r="B68" s="129" t="s">
        <v>461</v>
      </c>
      <c r="C68" s="130"/>
      <c r="D68" s="130"/>
      <c r="E68" s="131" t="s">
        <v>30</v>
      </c>
      <c r="F68" s="104" t="s">
        <v>462</v>
      </c>
      <c r="G68" s="104" t="s">
        <v>463</v>
      </c>
      <c r="H68" s="8"/>
      <c r="I68" s="8"/>
      <c r="J68" s="8"/>
      <c r="K68" s="8"/>
    </row>
    <row r="69" spans="1:11" x14ac:dyDescent="0.2">
      <c r="A69" s="8"/>
      <c r="B69" s="24" t="s">
        <v>464</v>
      </c>
      <c r="C69" s="8"/>
      <c r="D69" s="8"/>
      <c r="E69" s="103">
        <v>0</v>
      </c>
      <c r="F69" s="103">
        <v>-0.1</v>
      </c>
      <c r="G69" s="103">
        <v>-0.25</v>
      </c>
      <c r="H69" s="8"/>
      <c r="I69" s="8"/>
      <c r="J69" s="8"/>
      <c r="K69" s="8"/>
    </row>
    <row r="70" spans="1:11" x14ac:dyDescent="0.2">
      <c r="A70" s="8"/>
      <c r="B70" s="24" t="s">
        <v>465</v>
      </c>
      <c r="C70" s="8"/>
      <c r="D70" s="8"/>
      <c r="E70" s="103">
        <v>0</v>
      </c>
      <c r="F70" s="103">
        <v>-0.03</v>
      </c>
      <c r="G70" s="103">
        <v>-7.0000000000000007E-2</v>
      </c>
      <c r="H70" s="8"/>
      <c r="I70" s="8"/>
      <c r="J70" s="8"/>
      <c r="K70" s="8"/>
    </row>
    <row r="71" spans="1:11" x14ac:dyDescent="0.2">
      <c r="A71" s="8"/>
      <c r="B71" s="24" t="s">
        <v>466</v>
      </c>
      <c r="C71" s="8"/>
      <c r="D71" s="8"/>
      <c r="E71" s="103">
        <v>0</v>
      </c>
      <c r="F71" s="103">
        <v>-0.15</v>
      </c>
      <c r="G71" s="103">
        <v>-0.3</v>
      </c>
      <c r="H71" s="8"/>
      <c r="I71" s="8"/>
      <c r="J71" s="8"/>
      <c r="K71" s="8"/>
    </row>
    <row r="72" spans="1:11" x14ac:dyDescent="0.2">
      <c r="A72" s="8"/>
      <c r="B72" s="24" t="s">
        <v>467</v>
      </c>
      <c r="C72" s="8"/>
      <c r="D72" s="8"/>
      <c r="E72" s="102">
        <v>0</v>
      </c>
      <c r="F72" s="102">
        <v>100</v>
      </c>
      <c r="G72" s="102">
        <v>200</v>
      </c>
      <c r="H72" s="8"/>
      <c r="I72" s="8"/>
      <c r="J72" s="8"/>
      <c r="K72" s="8"/>
    </row>
    <row r="73" spans="1:1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2">
      <c r="A74" s="8"/>
      <c r="B74" s="132" t="s">
        <v>468</v>
      </c>
      <c r="C74" s="133"/>
      <c r="D74" s="133"/>
      <c r="E74" s="133"/>
      <c r="F74" s="101"/>
      <c r="G74" s="101"/>
      <c r="H74" s="8"/>
      <c r="I74" s="8"/>
      <c r="J74" s="8"/>
      <c r="K74" s="8"/>
    </row>
    <row r="75" spans="1:11" x14ac:dyDescent="0.2">
      <c r="A75" s="8"/>
      <c r="B75" s="24" t="s">
        <v>469</v>
      </c>
      <c r="C75" s="8"/>
      <c r="D75" s="8"/>
      <c r="E75" s="98">
        <f>'2. Financial_Analyst'!G5*(1+E69)</f>
        <v>7941.1</v>
      </c>
      <c r="F75" s="98">
        <f>'2. Financial_Analyst'!G5*(1+F69)</f>
        <v>7146.9900000000007</v>
      </c>
      <c r="G75" s="98">
        <f>'2. Financial_Analyst'!G5*(1+G69)</f>
        <v>5955.8250000000007</v>
      </c>
      <c r="H75" s="8"/>
      <c r="I75" s="8"/>
      <c r="J75" s="8"/>
      <c r="K75" s="8"/>
    </row>
    <row r="76" spans="1:11" x14ac:dyDescent="0.2">
      <c r="A76" s="8"/>
      <c r="B76" s="24" t="s">
        <v>470</v>
      </c>
      <c r="C76" s="8"/>
      <c r="D76" s="8"/>
      <c r="E76" s="100">
        <f>'2. Financial_Analyst'!G41+E70</f>
        <v>0.28659757464331143</v>
      </c>
      <c r="F76" s="100">
        <f>'2. Financial_Analyst'!G41+F70</f>
        <v>0.25659757464331145</v>
      </c>
      <c r="G76" s="100">
        <f>'2. Financial_Analyst'!G41+G70</f>
        <v>0.21659757464331142</v>
      </c>
      <c r="H76" s="8"/>
      <c r="I76" s="8"/>
      <c r="J76" s="8"/>
      <c r="K76" s="8"/>
    </row>
    <row r="77" spans="1:11" x14ac:dyDescent="0.2">
      <c r="A77" s="8"/>
      <c r="B77" s="97" t="s">
        <v>471</v>
      </c>
      <c r="C77" s="88"/>
      <c r="D77" s="88"/>
      <c r="E77" s="99">
        <f>E75*E76</f>
        <v>2275.9000000000005</v>
      </c>
      <c r="F77" s="99">
        <f>F75*F76</f>
        <v>1833.9003000000007</v>
      </c>
      <c r="G77" s="99">
        <f>G75*G76</f>
        <v>1290.0172500000003</v>
      </c>
      <c r="H77" s="8"/>
      <c r="I77" s="8"/>
      <c r="J77" s="8"/>
      <c r="K77" s="8"/>
    </row>
    <row r="78" spans="1:11" x14ac:dyDescent="0.2">
      <c r="A78" s="8"/>
      <c r="B78" s="24" t="s">
        <v>472</v>
      </c>
      <c r="C78" s="8"/>
      <c r="D78" s="8"/>
      <c r="E78" s="98">
        <f>'[1]Sheet9_Financial Data'!C996+G17*E72/10000</f>
        <v>239.7</v>
      </c>
      <c r="F78" s="98">
        <f>'[1]Sheet9_Financial Data'!C996+G17*F72/10000</f>
        <v>283.42899999999997</v>
      </c>
      <c r="G78" s="98">
        <f>'[1]Sheet9_Financial Data'!C996+G17*G72/10000</f>
        <v>327.15799999999996</v>
      </c>
      <c r="H78" s="8"/>
      <c r="I78" s="8"/>
      <c r="J78" s="8"/>
      <c r="K78" s="8"/>
    </row>
    <row r="79" spans="1:11" x14ac:dyDescent="0.2">
      <c r="A79" s="8"/>
      <c r="B79" s="24" t="s">
        <v>473</v>
      </c>
      <c r="C79" s="8"/>
      <c r="D79" s="8"/>
      <c r="E79" s="98">
        <f>'[1]Sheet9_Financial Data'!C1153*(1+E71)</f>
        <v>677.7</v>
      </c>
      <c r="F79" s="98">
        <f>'[1]Sheet9_Financial Data'!C1153*(1+F71)</f>
        <v>576.04500000000007</v>
      </c>
      <c r="G79" s="98">
        <f>'[1]Sheet9_Financial Data'!C1153*(1+G71)</f>
        <v>474.39</v>
      </c>
      <c r="H79" s="8"/>
      <c r="I79" s="8"/>
      <c r="J79" s="8"/>
      <c r="K79" s="8"/>
    </row>
    <row r="80" spans="1:1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2">
      <c r="A81" s="8"/>
      <c r="B81" s="97" t="s">
        <v>397</v>
      </c>
      <c r="C81" s="88"/>
      <c r="D81" s="88"/>
      <c r="E81" s="96">
        <f>G18/E77</f>
        <v>1.8408541675820547</v>
      </c>
      <c r="F81" s="96">
        <f>G18/F77</f>
        <v>2.284529862392191</v>
      </c>
      <c r="G81" s="96">
        <f>G18/G77</f>
        <v>3.247708509324196</v>
      </c>
      <c r="H81" s="8"/>
      <c r="I81" s="8"/>
      <c r="J81" s="8"/>
      <c r="K81" s="8"/>
    </row>
    <row r="82" spans="1:11" x14ac:dyDescent="0.2">
      <c r="A82" s="8"/>
      <c r="B82" s="39" t="s">
        <v>474</v>
      </c>
      <c r="C82" s="8"/>
      <c r="D82" s="8"/>
      <c r="E82" s="95">
        <f>E77/E78</f>
        <v>9.494785148101796</v>
      </c>
      <c r="F82" s="95">
        <f>F77/F78</f>
        <v>6.4704045810414632</v>
      </c>
      <c r="G82" s="95">
        <f>G77/G78</f>
        <v>3.9431016511899464</v>
      </c>
      <c r="H82" s="8"/>
      <c r="I82" s="8"/>
      <c r="J82" s="8"/>
      <c r="K82" s="8"/>
    </row>
    <row r="83" spans="1:11" x14ac:dyDescent="0.2">
      <c r="A83" s="8"/>
      <c r="B83" s="39" t="s">
        <v>296</v>
      </c>
      <c r="C83" s="8"/>
      <c r="D83" s="8"/>
      <c r="E83" s="94">
        <f>E77-E78-E79</f>
        <v>1358.5000000000005</v>
      </c>
      <c r="F83" s="94">
        <f>F77-F78-F79</f>
        <v>974.42630000000054</v>
      </c>
      <c r="G83" s="94">
        <f>G77-G78-G79</f>
        <v>488.46925000000044</v>
      </c>
      <c r="H83" s="8"/>
      <c r="I83" s="8"/>
      <c r="J83" s="8"/>
      <c r="K83" s="8"/>
    </row>
    <row r="84" spans="1:11" x14ac:dyDescent="0.2">
      <c r="A84" s="8"/>
      <c r="H84" s="8"/>
      <c r="I84" s="8"/>
      <c r="J84" s="8"/>
      <c r="K84" s="8"/>
    </row>
    <row r="85" spans="1:11" x14ac:dyDescent="0.2">
      <c r="A85" s="8"/>
      <c r="B85" s="135" t="s">
        <v>475</v>
      </c>
      <c r="C85" s="134"/>
      <c r="D85" s="134"/>
      <c r="E85" s="134"/>
      <c r="F85" s="134"/>
      <c r="G85" s="134"/>
      <c r="H85" s="8"/>
      <c r="I85" s="8"/>
      <c r="J85" s="8"/>
      <c r="K85" s="8"/>
    </row>
    <row r="86" spans="1:11" x14ac:dyDescent="0.2">
      <c r="A86" s="8"/>
      <c r="B86" s="93" t="s">
        <v>331</v>
      </c>
      <c r="C86" s="93" t="s">
        <v>476</v>
      </c>
      <c r="D86" s="130"/>
      <c r="E86" s="130"/>
      <c r="F86" s="130"/>
      <c r="G86" s="130"/>
      <c r="H86" s="8"/>
      <c r="I86" s="8"/>
      <c r="J86" s="8"/>
      <c r="K86" s="8"/>
    </row>
    <row r="87" spans="1:11" x14ac:dyDescent="0.2">
      <c r="A87" s="8"/>
      <c r="B87" s="92" t="s">
        <v>477</v>
      </c>
      <c r="C87" s="91" t="s">
        <v>478</v>
      </c>
      <c r="D87" s="8"/>
      <c r="E87" s="8"/>
      <c r="F87" s="8"/>
      <c r="G87" s="8"/>
      <c r="H87" s="8"/>
      <c r="I87" s="8"/>
      <c r="J87" s="8"/>
      <c r="K87" s="8"/>
    </row>
    <row r="88" spans="1:11" x14ac:dyDescent="0.2">
      <c r="A88" s="8"/>
      <c r="B88" s="92" t="s">
        <v>479</v>
      </c>
      <c r="C88" s="91" t="s">
        <v>480</v>
      </c>
      <c r="D88" s="8"/>
      <c r="E88" s="8"/>
      <c r="F88" s="8"/>
      <c r="G88" s="8"/>
      <c r="H88" s="8"/>
      <c r="I88" s="8"/>
      <c r="J88" s="8"/>
      <c r="K88" s="8"/>
    </row>
    <row r="89" spans="1:11" x14ac:dyDescent="0.2">
      <c r="A89" s="8"/>
      <c r="B89" s="92" t="s">
        <v>481</v>
      </c>
      <c r="C89" s="91" t="s">
        <v>482</v>
      </c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92" t="s">
        <v>483</v>
      </c>
      <c r="C90" s="91" t="s">
        <v>484</v>
      </c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 x14ac:dyDescent="0.2">
      <c r="A92" s="8"/>
      <c r="B92" s="90" t="s">
        <v>485</v>
      </c>
      <c r="C92" s="89" t="s">
        <v>486</v>
      </c>
      <c r="D92" s="127"/>
      <c r="E92" s="127"/>
      <c r="F92" s="127"/>
      <c r="G92" s="127"/>
      <c r="H92" s="8"/>
      <c r="I92" s="8"/>
      <c r="J92" s="8"/>
      <c r="K92" s="8"/>
    </row>
    <row r="93" spans="1:1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2">
      <c r="A94" s="8"/>
      <c r="B94" s="87" t="s">
        <v>487</v>
      </c>
      <c r="C94" s="86"/>
      <c r="D94" s="8"/>
      <c r="E94" s="8"/>
      <c r="F94" s="8"/>
      <c r="G94" s="8"/>
      <c r="H94" s="8"/>
      <c r="I94" s="8"/>
      <c r="J94" s="8"/>
      <c r="K94" s="8"/>
    </row>
    <row r="95" spans="1:11" x14ac:dyDescent="0.2">
      <c r="A95" s="8"/>
      <c r="H95" s="8"/>
      <c r="I95" s="8"/>
      <c r="J95" s="8"/>
      <c r="K95" s="8"/>
    </row>
    <row r="96" spans="1:1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x14ac:dyDescent="0.2">
      <c r="A97" s="8"/>
      <c r="H97" s="8"/>
      <c r="I97" s="8"/>
      <c r="J97" s="8"/>
      <c r="K97" s="8"/>
    </row>
    <row r="98" spans="1:11" x14ac:dyDescent="0.2">
      <c r="A98" s="8"/>
      <c r="H98" s="8"/>
      <c r="I98" s="8"/>
      <c r="J98" s="8"/>
      <c r="K98" s="8"/>
    </row>
    <row r="99" spans="1:11" ht="36" customHeight="1" x14ac:dyDescent="0.2">
      <c r="A99" s="8"/>
      <c r="H99" s="8"/>
      <c r="I99" s="8"/>
      <c r="J99" s="8"/>
      <c r="K99" s="8"/>
    </row>
    <row r="100" spans="1:11" ht="36" customHeight="1" x14ac:dyDescent="0.2">
      <c r="A100" s="8"/>
      <c r="H100" s="8"/>
      <c r="I100" s="8"/>
      <c r="J100" s="8"/>
      <c r="K100" s="8"/>
    </row>
    <row r="101" spans="1:11" ht="36" customHeight="1" x14ac:dyDescent="0.2">
      <c r="A101" s="8"/>
      <c r="H101" s="8"/>
      <c r="I101" s="8"/>
      <c r="J101" s="8"/>
      <c r="K101" s="8"/>
    </row>
    <row r="102" spans="1:11" ht="36" customHeight="1" x14ac:dyDescent="0.2">
      <c r="A102" s="8"/>
      <c r="H102" s="8"/>
      <c r="I102" s="8"/>
      <c r="J102" s="8"/>
      <c r="K102" s="8"/>
    </row>
    <row r="103" spans="1:11" x14ac:dyDescent="0.2">
      <c r="A103" s="8"/>
      <c r="H103" s="8"/>
      <c r="I103" s="8"/>
      <c r="J103" s="8"/>
      <c r="K103" s="8"/>
    </row>
    <row r="104" spans="1:11" x14ac:dyDescent="0.2">
      <c r="A104" s="8"/>
      <c r="H104" s="8"/>
      <c r="I104" s="8"/>
      <c r="J104" s="8"/>
      <c r="K104" s="8"/>
    </row>
    <row r="105" spans="1:11" x14ac:dyDescent="0.2">
      <c r="A105" s="8"/>
      <c r="H105" s="8"/>
      <c r="I105" s="8"/>
      <c r="J105" s="8"/>
      <c r="K105" s="8"/>
    </row>
    <row r="106" spans="1:11" ht="28" customHeight="1" x14ac:dyDescent="0.2">
      <c r="A106" s="8"/>
      <c r="H106" s="8"/>
      <c r="I106" s="8"/>
      <c r="J106" s="8"/>
      <c r="K106" s="8"/>
    </row>
    <row r="107" spans="1:1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x14ac:dyDescent="0.2">
      <c r="A109" s="8"/>
      <c r="B109" s="14"/>
      <c r="C109" s="8"/>
      <c r="D109" s="8"/>
      <c r="E109" s="8"/>
      <c r="F109" s="8"/>
      <c r="G109" s="8"/>
      <c r="H109" s="8"/>
      <c r="I109" s="8"/>
      <c r="J109" s="8"/>
      <c r="K109" s="8"/>
    </row>
    <row r="110" spans="1:1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 x14ac:dyDescent="0.2">
      <c r="B112" s="8"/>
    </row>
    <row r="113" spans="2:2" x14ac:dyDescent="0.2">
      <c r="B113" s="8"/>
    </row>
  </sheetData>
  <mergeCells count="1">
    <mergeCell ref="L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A1:T65"/>
  <sheetViews>
    <sheetView showGridLines="0" topLeftCell="A16" workbookViewId="0">
      <selection activeCell="H64" sqref="H64"/>
    </sheetView>
  </sheetViews>
  <sheetFormatPr baseColWidth="10" defaultRowHeight="16" outlineLevelCol="2" x14ac:dyDescent="0.2"/>
  <cols>
    <col min="1" max="2" width="21.6640625" customWidth="1"/>
    <col min="3" max="3" width="15" customWidth="1"/>
    <col min="4" max="4" width="13.33203125" customWidth="1"/>
    <col min="5" max="6" width="30.83203125" customWidth="1"/>
    <col min="7" max="7" width="11.6640625" customWidth="1"/>
    <col min="8" max="8" width="9.1640625" customWidth="1"/>
    <col min="9" max="9" width="12.1640625" customWidth="1"/>
    <col min="10" max="10" width="2.5" customWidth="1"/>
    <col min="11" max="11" width="14.1640625" customWidth="1" outlineLevel="1"/>
    <col min="12" max="13" width="12.5" customWidth="1" outlineLevel="2"/>
    <col min="14" max="16" width="10.83203125" customWidth="1" outlineLevel="2"/>
    <col min="17" max="20" width="10.83203125" customWidth="1" outlineLevel="1"/>
  </cols>
  <sheetData>
    <row r="1" spans="1:15" ht="22" customHeight="1" x14ac:dyDescent="0.2">
      <c r="A1" s="234" t="s">
        <v>488</v>
      </c>
      <c r="B1" s="287"/>
      <c r="C1" s="287"/>
      <c r="D1" s="287"/>
      <c r="E1" s="287"/>
      <c r="F1" s="287"/>
      <c r="G1" s="287"/>
      <c r="H1" s="287"/>
      <c r="I1" s="287"/>
      <c r="K1" s="347" t="s">
        <v>489</v>
      </c>
      <c r="L1" s="347" t="s">
        <v>333</v>
      </c>
      <c r="M1" s="348"/>
      <c r="N1" s="348"/>
      <c r="O1" s="348"/>
    </row>
    <row r="2" spans="1:15" x14ac:dyDescent="0.2">
      <c r="K2" s="348" t="s">
        <v>490</v>
      </c>
      <c r="L2" s="348">
        <v>55.17</v>
      </c>
      <c r="M2" s="348"/>
      <c r="N2" s="348"/>
      <c r="O2" s="348"/>
    </row>
    <row r="3" spans="1:15" x14ac:dyDescent="0.2">
      <c r="A3" s="236" t="s">
        <v>491</v>
      </c>
      <c r="B3" s="338"/>
      <c r="C3" s="338"/>
      <c r="D3" s="338"/>
      <c r="E3" s="338"/>
      <c r="F3" s="338"/>
      <c r="G3" s="338"/>
      <c r="H3" s="338"/>
      <c r="I3" s="338"/>
      <c r="K3" s="348" t="s">
        <v>492</v>
      </c>
      <c r="L3" s="348">
        <v>60.99</v>
      </c>
      <c r="M3" s="348"/>
      <c r="N3" s="348"/>
      <c r="O3" s="348"/>
    </row>
    <row r="4" spans="1:15" x14ac:dyDescent="0.2">
      <c r="A4" s="217" t="s">
        <v>493</v>
      </c>
      <c r="K4" s="348" t="s">
        <v>494</v>
      </c>
      <c r="L4" s="348">
        <v>20.99</v>
      </c>
      <c r="M4" s="348"/>
      <c r="N4" s="348"/>
      <c r="O4" s="348"/>
    </row>
    <row r="5" spans="1:15" x14ac:dyDescent="0.2">
      <c r="K5" s="348"/>
      <c r="L5" s="348"/>
      <c r="M5" s="348"/>
      <c r="N5" s="348"/>
      <c r="O5" s="348"/>
    </row>
    <row r="6" spans="1:15" x14ac:dyDescent="0.2">
      <c r="A6" s="299" t="s">
        <v>495</v>
      </c>
      <c r="B6" s="299" t="s">
        <v>333</v>
      </c>
      <c r="C6" s="299" t="s">
        <v>389</v>
      </c>
      <c r="K6" s="347" t="s">
        <v>270</v>
      </c>
      <c r="L6" s="347" t="s">
        <v>496</v>
      </c>
      <c r="M6" s="347" t="s">
        <v>497</v>
      </c>
      <c r="N6" s="348"/>
      <c r="O6" s="348"/>
    </row>
    <row r="7" spans="1:15" x14ac:dyDescent="0.2">
      <c r="A7" s="14" t="s">
        <v>498</v>
      </c>
      <c r="B7" s="344" t="s">
        <v>499</v>
      </c>
      <c r="C7" s="286" t="s">
        <v>500</v>
      </c>
      <c r="K7" s="348" t="s">
        <v>273</v>
      </c>
      <c r="L7" s="348">
        <v>84.18</v>
      </c>
      <c r="M7" s="348">
        <v>76.180000000000007</v>
      </c>
      <c r="N7" s="348"/>
      <c r="O7" s="348"/>
    </row>
    <row r="8" spans="1:15" x14ac:dyDescent="0.2">
      <c r="A8" s="14" t="s">
        <v>501</v>
      </c>
      <c r="B8" s="344" t="s">
        <v>502</v>
      </c>
      <c r="C8" s="286" t="s">
        <v>503</v>
      </c>
      <c r="K8" s="348" t="s">
        <v>275</v>
      </c>
      <c r="L8" s="348">
        <v>81.87</v>
      </c>
      <c r="M8" s="348">
        <v>81.87</v>
      </c>
      <c r="N8" s="348"/>
      <c r="O8" s="348"/>
    </row>
    <row r="9" spans="1:15" x14ac:dyDescent="0.2">
      <c r="A9" s="14" t="s">
        <v>504</v>
      </c>
      <c r="B9" s="344" t="s">
        <v>505</v>
      </c>
      <c r="C9" s="286" t="s">
        <v>506</v>
      </c>
      <c r="K9" s="348" t="s">
        <v>234</v>
      </c>
      <c r="L9" s="348">
        <v>49</v>
      </c>
      <c r="M9" s="348">
        <v>49</v>
      </c>
      <c r="N9" s="348"/>
      <c r="O9" s="348"/>
    </row>
    <row r="10" spans="1:15" x14ac:dyDescent="0.2">
      <c r="A10" s="14" t="s">
        <v>507</v>
      </c>
      <c r="B10" s="344" t="s">
        <v>508</v>
      </c>
      <c r="C10" s="286" t="s">
        <v>509</v>
      </c>
      <c r="K10" s="348" t="s">
        <v>271</v>
      </c>
      <c r="L10" s="348">
        <v>42.6</v>
      </c>
      <c r="M10" s="348">
        <v>42.6</v>
      </c>
      <c r="N10" s="348"/>
      <c r="O10" s="348"/>
    </row>
    <row r="11" spans="1:15" x14ac:dyDescent="0.2">
      <c r="A11" s="14" t="s">
        <v>510</v>
      </c>
      <c r="B11" s="344" t="s">
        <v>511</v>
      </c>
      <c r="C11" s="286" t="s">
        <v>512</v>
      </c>
      <c r="K11" s="348" t="s">
        <v>274</v>
      </c>
      <c r="L11" s="348">
        <v>32.53</v>
      </c>
      <c r="M11" s="348">
        <v>32.53</v>
      </c>
      <c r="N11" s="348"/>
      <c r="O11" s="348"/>
    </row>
    <row r="12" spans="1:15" x14ac:dyDescent="0.2">
      <c r="A12" s="14" t="s">
        <v>513</v>
      </c>
      <c r="B12" s="344" t="s">
        <v>514</v>
      </c>
      <c r="C12" s="286" t="s">
        <v>515</v>
      </c>
      <c r="K12" s="348" t="s">
        <v>272</v>
      </c>
      <c r="L12" s="348">
        <v>27.05</v>
      </c>
      <c r="M12" s="348">
        <v>27.05</v>
      </c>
      <c r="N12" s="348"/>
      <c r="O12" s="348"/>
    </row>
    <row r="13" spans="1:15" x14ac:dyDescent="0.2">
      <c r="A13" s="264" t="s">
        <v>516</v>
      </c>
      <c r="B13" s="345"/>
      <c r="C13" s="304" t="s">
        <v>517</v>
      </c>
      <c r="K13" s="348"/>
      <c r="L13" s="348"/>
      <c r="M13" s="348"/>
      <c r="N13" s="348"/>
      <c r="O13" s="348"/>
    </row>
    <row r="14" spans="1:15" x14ac:dyDescent="0.2">
      <c r="K14" s="78" t="s">
        <v>2</v>
      </c>
      <c r="L14" s="78" t="s">
        <v>496</v>
      </c>
      <c r="M14" s="78" t="s">
        <v>518</v>
      </c>
      <c r="N14" s="78" t="s">
        <v>492</v>
      </c>
      <c r="O14" s="78" t="s">
        <v>519</v>
      </c>
    </row>
    <row r="15" spans="1:15" x14ac:dyDescent="0.2">
      <c r="A15" s="336" t="s">
        <v>520</v>
      </c>
      <c r="B15" s="337"/>
      <c r="C15" s="337"/>
      <c r="D15" s="337"/>
      <c r="E15" s="337"/>
      <c r="F15" s="338"/>
      <c r="G15" s="338"/>
      <c r="H15" s="338"/>
      <c r="I15" s="338"/>
      <c r="K15" s="349" t="s">
        <v>521</v>
      </c>
      <c r="L15" s="349">
        <v>47.42</v>
      </c>
      <c r="M15" s="349">
        <v>55</v>
      </c>
      <c r="N15" s="349">
        <v>46.2</v>
      </c>
      <c r="O15" s="349">
        <v>34</v>
      </c>
    </row>
    <row r="16" spans="1:15" x14ac:dyDescent="0.2">
      <c r="A16" s="299" t="s">
        <v>277</v>
      </c>
      <c r="B16" s="301" t="s">
        <v>333</v>
      </c>
      <c r="C16" s="300" t="s">
        <v>522</v>
      </c>
      <c r="D16" s="301" t="s">
        <v>523</v>
      </c>
      <c r="E16" s="299" t="s">
        <v>524</v>
      </c>
      <c r="K16" s="349" t="s">
        <v>76</v>
      </c>
      <c r="L16" s="349">
        <v>50</v>
      </c>
      <c r="M16" s="349">
        <v>63</v>
      </c>
      <c r="N16" s="349">
        <v>44</v>
      </c>
      <c r="O16" s="349">
        <v>34</v>
      </c>
    </row>
    <row r="17" spans="1:15" x14ac:dyDescent="0.2">
      <c r="A17" s="14" t="s">
        <v>496</v>
      </c>
      <c r="B17" s="288">
        <v>49</v>
      </c>
      <c r="C17" s="284" t="s">
        <v>525</v>
      </c>
      <c r="D17" s="346"/>
      <c r="E17" s="286" t="s">
        <v>526</v>
      </c>
      <c r="K17" s="349" t="s">
        <v>77</v>
      </c>
      <c r="L17" s="349">
        <v>47</v>
      </c>
      <c r="M17" s="349">
        <v>64</v>
      </c>
      <c r="N17" s="349">
        <v>38</v>
      </c>
      <c r="O17" s="349">
        <v>31</v>
      </c>
    </row>
    <row r="18" spans="1:15" x14ac:dyDescent="0.2">
      <c r="A18" s="14" t="s">
        <v>510</v>
      </c>
      <c r="B18" s="288">
        <v>68.180000000000007</v>
      </c>
      <c r="C18" s="284" t="s">
        <v>527</v>
      </c>
      <c r="D18" s="346"/>
      <c r="E18" s="286" t="s">
        <v>528</v>
      </c>
      <c r="K18" s="349" t="s">
        <v>78</v>
      </c>
      <c r="L18" s="349">
        <v>56.15</v>
      </c>
      <c r="M18" s="349">
        <v>66</v>
      </c>
      <c r="N18" s="349">
        <v>64</v>
      </c>
      <c r="O18" s="349">
        <v>29</v>
      </c>
    </row>
    <row r="19" spans="1:15" x14ac:dyDescent="0.2">
      <c r="A19" s="14" t="s">
        <v>529</v>
      </c>
      <c r="B19" s="288">
        <v>49</v>
      </c>
      <c r="C19" s="284" t="s">
        <v>525</v>
      </c>
      <c r="D19" s="346"/>
      <c r="E19" s="286" t="s">
        <v>530</v>
      </c>
      <c r="K19" s="349" t="s">
        <v>79</v>
      </c>
      <c r="L19" s="349">
        <v>49</v>
      </c>
      <c r="M19" s="349">
        <v>55.17</v>
      </c>
      <c r="N19" s="349">
        <v>60.99</v>
      </c>
      <c r="O19" s="349">
        <v>20.99</v>
      </c>
    </row>
    <row r="20" spans="1:15" x14ac:dyDescent="0.2">
      <c r="A20" s="14" t="s">
        <v>531</v>
      </c>
      <c r="B20" s="288">
        <v>55.17</v>
      </c>
      <c r="C20" s="284" t="s">
        <v>532</v>
      </c>
      <c r="D20" s="295">
        <v>0.42099999999999999</v>
      </c>
      <c r="E20" s="286" t="s">
        <v>533</v>
      </c>
    </row>
    <row r="21" spans="1:15" x14ac:dyDescent="0.2">
      <c r="A21" s="14" t="s">
        <v>534</v>
      </c>
      <c r="B21" s="288">
        <v>60.99</v>
      </c>
      <c r="C21" s="284" t="s">
        <v>535</v>
      </c>
      <c r="D21" s="295">
        <v>0.34</v>
      </c>
      <c r="E21" s="286" t="s">
        <v>536</v>
      </c>
    </row>
    <row r="22" spans="1:15" x14ac:dyDescent="0.2">
      <c r="A22" s="264" t="s">
        <v>537</v>
      </c>
      <c r="B22" s="305">
        <v>20.99</v>
      </c>
      <c r="C22" s="303" t="s">
        <v>538</v>
      </c>
      <c r="D22" s="310">
        <v>0.23799999999999999</v>
      </c>
      <c r="E22" s="304" t="s">
        <v>539</v>
      </c>
    </row>
    <row r="24" spans="1:15" x14ac:dyDescent="0.2">
      <c r="A24" s="336" t="s">
        <v>540</v>
      </c>
      <c r="B24" s="337"/>
      <c r="C24" s="337"/>
      <c r="D24" s="337"/>
      <c r="E24" s="337"/>
      <c r="F24" s="337"/>
      <c r="G24" s="337"/>
      <c r="H24" s="337"/>
      <c r="I24" s="337"/>
    </row>
    <row r="25" spans="1:15" x14ac:dyDescent="0.2">
      <c r="A25" s="299" t="s">
        <v>277</v>
      </c>
      <c r="B25" s="301" t="s">
        <v>521</v>
      </c>
      <c r="C25" s="301" t="s">
        <v>76</v>
      </c>
      <c r="D25" s="301" t="s">
        <v>77</v>
      </c>
      <c r="E25" s="301" t="s">
        <v>78</v>
      </c>
      <c r="F25" s="301" t="s">
        <v>79</v>
      </c>
      <c r="G25" s="301" t="s">
        <v>541</v>
      </c>
      <c r="H25" s="301" t="s">
        <v>542</v>
      </c>
      <c r="I25" s="300" t="s">
        <v>543</v>
      </c>
    </row>
    <row r="26" spans="1:15" x14ac:dyDescent="0.2">
      <c r="A26" s="14" t="s">
        <v>496</v>
      </c>
      <c r="B26" s="290">
        <v>47.42</v>
      </c>
      <c r="C26" s="290">
        <v>50</v>
      </c>
      <c r="D26" s="290">
        <v>47</v>
      </c>
      <c r="E26" s="290">
        <v>56.15</v>
      </c>
      <c r="F26" s="290">
        <v>49</v>
      </c>
      <c r="G26" s="288">
        <f t="shared" ref="G26:G31" si="0">AVERAGE(B26:F26)</f>
        <v>49.914000000000001</v>
      </c>
      <c r="H26" s="292">
        <f t="shared" ref="H26:H31" si="1">F26-E26</f>
        <v>-7.1499999999999986</v>
      </c>
      <c r="I26" s="284" t="s">
        <v>544</v>
      </c>
    </row>
    <row r="27" spans="1:15" x14ac:dyDescent="0.2">
      <c r="A27" s="8" t="s">
        <v>510</v>
      </c>
      <c r="B27" s="288">
        <v>100</v>
      </c>
      <c r="C27" s="288">
        <v>100</v>
      </c>
      <c r="D27" s="288">
        <v>50</v>
      </c>
      <c r="E27" s="288">
        <v>100</v>
      </c>
      <c r="F27" s="288">
        <v>68.180000000000007</v>
      </c>
      <c r="G27" s="288">
        <f t="shared" si="0"/>
        <v>83.635999999999996</v>
      </c>
      <c r="H27" s="292">
        <f t="shared" si="1"/>
        <v>-31.819999999999993</v>
      </c>
      <c r="I27" s="284" t="s">
        <v>545</v>
      </c>
    </row>
    <row r="28" spans="1:15" x14ac:dyDescent="0.2">
      <c r="A28" s="14" t="s">
        <v>529</v>
      </c>
      <c r="B28" s="290">
        <v>47.42</v>
      </c>
      <c r="C28" s="290">
        <v>50</v>
      </c>
      <c r="D28" s="290">
        <v>47</v>
      </c>
      <c r="E28" s="290">
        <v>56.15</v>
      </c>
      <c r="F28" s="290">
        <v>49</v>
      </c>
      <c r="G28" s="288">
        <f t="shared" si="0"/>
        <v>49.914000000000001</v>
      </c>
      <c r="H28" s="292">
        <f t="shared" si="1"/>
        <v>-7.1499999999999986</v>
      </c>
      <c r="I28" s="284" t="s">
        <v>544</v>
      </c>
    </row>
    <row r="29" spans="1:15" x14ac:dyDescent="0.2">
      <c r="A29" s="8" t="s">
        <v>531</v>
      </c>
      <c r="B29" s="288">
        <v>55</v>
      </c>
      <c r="C29" s="288">
        <v>63</v>
      </c>
      <c r="D29" s="288">
        <v>64</v>
      </c>
      <c r="E29" s="288">
        <v>66</v>
      </c>
      <c r="F29" s="288">
        <v>55.17</v>
      </c>
      <c r="G29" s="288">
        <f t="shared" si="0"/>
        <v>60.634</v>
      </c>
      <c r="H29" s="292">
        <f t="shared" si="1"/>
        <v>-10.829999999999998</v>
      </c>
      <c r="I29" s="284" t="s">
        <v>544</v>
      </c>
    </row>
    <row r="30" spans="1:15" x14ac:dyDescent="0.2">
      <c r="A30" s="8" t="s">
        <v>534</v>
      </c>
      <c r="B30" s="288">
        <v>46.2</v>
      </c>
      <c r="C30" s="288">
        <v>44</v>
      </c>
      <c r="D30" s="288">
        <v>38</v>
      </c>
      <c r="E30" s="288">
        <v>64</v>
      </c>
      <c r="F30" s="288">
        <v>60.99</v>
      </c>
      <c r="G30" s="288">
        <f t="shared" si="0"/>
        <v>50.637999999999998</v>
      </c>
      <c r="H30" s="292">
        <f t="shared" si="1"/>
        <v>-3.009999999999998</v>
      </c>
      <c r="I30" s="284" t="s">
        <v>546</v>
      </c>
    </row>
    <row r="31" spans="1:15" x14ac:dyDescent="0.2">
      <c r="A31" s="266" t="s">
        <v>537</v>
      </c>
      <c r="B31" s="305">
        <v>34</v>
      </c>
      <c r="C31" s="305">
        <v>34</v>
      </c>
      <c r="D31" s="305">
        <v>31</v>
      </c>
      <c r="E31" s="305">
        <v>29</v>
      </c>
      <c r="F31" s="305">
        <v>20.99</v>
      </c>
      <c r="G31" s="305">
        <f t="shared" si="0"/>
        <v>29.798000000000002</v>
      </c>
      <c r="H31" s="307">
        <f t="shared" si="1"/>
        <v>-8.0100000000000016</v>
      </c>
      <c r="I31" s="303" t="s">
        <v>545</v>
      </c>
    </row>
    <row r="32" spans="1:15" x14ac:dyDescent="0.2">
      <c r="A32" s="342" t="s">
        <v>547</v>
      </c>
      <c r="B32" s="286" t="s">
        <v>548</v>
      </c>
    </row>
    <row r="34" spans="1:9" x14ac:dyDescent="0.2">
      <c r="A34" s="336" t="s">
        <v>549</v>
      </c>
      <c r="B34" s="337"/>
      <c r="C34" s="337"/>
      <c r="D34" s="337"/>
      <c r="E34" s="337"/>
      <c r="F34" s="337"/>
      <c r="G34" s="337"/>
      <c r="H34" s="338"/>
      <c r="I34" s="338"/>
    </row>
    <row r="35" spans="1:9" x14ac:dyDescent="0.2">
      <c r="A35" s="299" t="s">
        <v>489</v>
      </c>
      <c r="B35" s="299" t="s">
        <v>550</v>
      </c>
      <c r="C35" s="301" t="s">
        <v>79</v>
      </c>
      <c r="D35" s="301" t="s">
        <v>78</v>
      </c>
      <c r="E35" s="301" t="s">
        <v>542</v>
      </c>
      <c r="F35" s="301" t="s">
        <v>523</v>
      </c>
      <c r="G35" s="301" t="s">
        <v>551</v>
      </c>
    </row>
    <row r="36" spans="1:9" x14ac:dyDescent="0.2">
      <c r="A36" s="293" t="s">
        <v>552</v>
      </c>
      <c r="B36" s="14" t="s">
        <v>496</v>
      </c>
      <c r="C36" s="288">
        <v>49</v>
      </c>
      <c r="D36" s="288">
        <v>56.15</v>
      </c>
      <c r="E36" s="294">
        <f t="shared" ref="E36:E46" si="2">C36-D36</f>
        <v>-7.1499999999999986</v>
      </c>
      <c r="F36" s="289">
        <v>1</v>
      </c>
      <c r="G36" s="296">
        <f t="shared" ref="G36:G46" si="3">E36*F36</f>
        <v>-7.1499999999999986</v>
      </c>
    </row>
    <row r="37" spans="1:9" x14ac:dyDescent="0.2">
      <c r="A37" s="293" t="s">
        <v>518</v>
      </c>
      <c r="B37" s="8" t="s">
        <v>553</v>
      </c>
      <c r="C37" s="288">
        <v>43.28</v>
      </c>
      <c r="D37" s="288">
        <v>45.73</v>
      </c>
      <c r="E37" s="294">
        <f t="shared" si="2"/>
        <v>-2.4499999999999957</v>
      </c>
      <c r="F37" s="289">
        <v>0.151</v>
      </c>
      <c r="G37" s="296">
        <f t="shared" si="3"/>
        <v>-0.36994999999999933</v>
      </c>
    </row>
    <row r="38" spans="1:9" x14ac:dyDescent="0.2">
      <c r="A38" s="293" t="s">
        <v>518</v>
      </c>
      <c r="B38" s="8" t="s">
        <v>554</v>
      </c>
      <c r="C38" s="288">
        <v>59.92</v>
      </c>
      <c r="D38" s="288">
        <v>61.76</v>
      </c>
      <c r="E38" s="294">
        <f t="shared" si="2"/>
        <v>-1.8399999999999963</v>
      </c>
      <c r="F38" s="289">
        <v>0.151</v>
      </c>
      <c r="G38" s="296">
        <f t="shared" si="3"/>
        <v>-0.27783999999999942</v>
      </c>
    </row>
    <row r="39" spans="1:9" x14ac:dyDescent="0.2">
      <c r="A39" s="293" t="s">
        <v>518</v>
      </c>
      <c r="B39" s="8" t="s">
        <v>555</v>
      </c>
      <c r="C39" s="288">
        <v>64.2</v>
      </c>
      <c r="D39" s="288">
        <v>95.78</v>
      </c>
      <c r="E39" s="294">
        <f t="shared" si="2"/>
        <v>-31.58</v>
      </c>
      <c r="F39" s="289">
        <v>0.11899999999999999</v>
      </c>
      <c r="G39" s="296">
        <f t="shared" si="3"/>
        <v>-3.7580199999999997</v>
      </c>
    </row>
    <row r="40" spans="1:9" x14ac:dyDescent="0.2">
      <c r="A40" s="293" t="s">
        <v>492</v>
      </c>
      <c r="B40" s="8" t="s">
        <v>556</v>
      </c>
      <c r="C40" s="288">
        <v>31.35</v>
      </c>
      <c r="D40" s="288">
        <v>33.200000000000003</v>
      </c>
      <c r="E40" s="294">
        <f t="shared" si="2"/>
        <v>-1.8500000000000014</v>
      </c>
      <c r="F40" s="289">
        <v>0.107</v>
      </c>
      <c r="G40" s="296">
        <f t="shared" si="3"/>
        <v>-0.19795000000000015</v>
      </c>
    </row>
    <row r="41" spans="1:9" x14ac:dyDescent="0.2">
      <c r="A41" s="293" t="s">
        <v>492</v>
      </c>
      <c r="B41" s="8" t="s">
        <v>557</v>
      </c>
      <c r="C41" s="288">
        <v>74.540000000000006</v>
      </c>
      <c r="D41" s="288">
        <v>79.25</v>
      </c>
      <c r="E41" s="294">
        <f t="shared" si="2"/>
        <v>-4.7099999999999937</v>
      </c>
      <c r="F41" s="289">
        <v>0.111</v>
      </c>
      <c r="G41" s="296">
        <f t="shared" si="3"/>
        <v>-0.52280999999999933</v>
      </c>
    </row>
    <row r="42" spans="1:9" x14ac:dyDescent="0.2">
      <c r="A42" s="293" t="s">
        <v>492</v>
      </c>
      <c r="B42" s="8" t="s">
        <v>558</v>
      </c>
      <c r="C42" s="288">
        <v>87.7</v>
      </c>
      <c r="D42" s="288">
        <v>86</v>
      </c>
      <c r="E42" s="294">
        <f t="shared" si="2"/>
        <v>1.7000000000000028</v>
      </c>
      <c r="F42" s="289">
        <v>7.9000000000000001E-2</v>
      </c>
      <c r="G42" s="296">
        <f t="shared" si="3"/>
        <v>0.13430000000000022</v>
      </c>
    </row>
    <row r="43" spans="1:9" x14ac:dyDescent="0.2">
      <c r="A43" s="293" t="s">
        <v>492</v>
      </c>
      <c r="B43" s="8" t="s">
        <v>559</v>
      </c>
      <c r="C43" s="288">
        <v>50.41</v>
      </c>
      <c r="D43" s="288">
        <v>57.08</v>
      </c>
      <c r="E43" s="294">
        <f t="shared" si="2"/>
        <v>-6.6700000000000017</v>
      </c>
      <c r="F43" s="289">
        <v>4.2000000000000003E-2</v>
      </c>
      <c r="G43" s="296">
        <f t="shared" si="3"/>
        <v>-0.28014000000000011</v>
      </c>
    </row>
    <row r="44" spans="1:9" x14ac:dyDescent="0.2">
      <c r="A44" s="293" t="s">
        <v>519</v>
      </c>
      <c r="B44" s="8" t="s">
        <v>560</v>
      </c>
      <c r="C44" s="288">
        <v>13.75</v>
      </c>
      <c r="D44" s="288">
        <v>12.68</v>
      </c>
      <c r="E44" s="294">
        <f t="shared" si="2"/>
        <v>1.0700000000000003</v>
      </c>
      <c r="F44" s="289">
        <v>0.159</v>
      </c>
      <c r="G44" s="296">
        <f t="shared" si="3"/>
        <v>0.17013000000000006</v>
      </c>
    </row>
    <row r="45" spans="1:9" x14ac:dyDescent="0.2">
      <c r="A45" s="293" t="s">
        <v>519</v>
      </c>
      <c r="B45" s="8" t="s">
        <v>561</v>
      </c>
      <c r="C45" s="288">
        <v>24.55</v>
      </c>
      <c r="D45" s="288">
        <v>67.81</v>
      </c>
      <c r="E45" s="294">
        <f t="shared" si="2"/>
        <v>-43.260000000000005</v>
      </c>
      <c r="F45" s="289">
        <v>4.8000000000000001E-2</v>
      </c>
      <c r="G45" s="296">
        <f t="shared" si="3"/>
        <v>-2.0764800000000001</v>
      </c>
    </row>
    <row r="46" spans="1:9" x14ac:dyDescent="0.2">
      <c r="A46" s="308" t="s">
        <v>519</v>
      </c>
      <c r="B46" s="266" t="s">
        <v>562</v>
      </c>
      <c r="C46" s="305">
        <v>51.9</v>
      </c>
      <c r="D46" s="305">
        <v>51.04</v>
      </c>
      <c r="E46" s="309">
        <f t="shared" si="2"/>
        <v>0.85999999999999943</v>
      </c>
      <c r="F46" s="350">
        <v>3.2000000000000001E-2</v>
      </c>
      <c r="G46" s="311">
        <f t="shared" si="3"/>
        <v>2.7519999999999982E-2</v>
      </c>
    </row>
    <row r="47" spans="1:9" x14ac:dyDescent="0.2">
      <c r="A47" s="340" t="s">
        <v>563</v>
      </c>
      <c r="B47" s="286" t="s">
        <v>564</v>
      </c>
    </row>
    <row r="49" spans="1:9" x14ac:dyDescent="0.2">
      <c r="A49" s="341" t="s">
        <v>565</v>
      </c>
      <c r="B49" s="337"/>
      <c r="C49" s="337"/>
      <c r="D49" s="337"/>
      <c r="E49" s="337"/>
      <c r="F49" s="337"/>
      <c r="G49" s="338"/>
      <c r="H49" s="338"/>
      <c r="I49" s="338"/>
    </row>
    <row r="50" spans="1:9" x14ac:dyDescent="0.2">
      <c r="A50" s="299" t="s">
        <v>489</v>
      </c>
      <c r="B50" s="299" t="s">
        <v>566</v>
      </c>
      <c r="C50" s="301" t="s">
        <v>567</v>
      </c>
      <c r="D50" s="301" t="s">
        <v>542</v>
      </c>
      <c r="E50" s="299" t="s">
        <v>568</v>
      </c>
      <c r="F50" s="299" t="s">
        <v>569</v>
      </c>
    </row>
    <row r="51" spans="1:9" x14ac:dyDescent="0.2">
      <c r="A51" s="293" t="s">
        <v>519</v>
      </c>
      <c r="B51" s="14" t="s">
        <v>570</v>
      </c>
      <c r="C51" s="288">
        <v>20.99</v>
      </c>
      <c r="D51" s="294">
        <v>-8.01</v>
      </c>
      <c r="E51" s="286" t="s">
        <v>571</v>
      </c>
      <c r="F51" s="286" t="s">
        <v>572</v>
      </c>
    </row>
    <row r="52" spans="1:9" x14ac:dyDescent="0.2">
      <c r="A52" s="293" t="s">
        <v>518</v>
      </c>
      <c r="B52" s="14" t="s">
        <v>573</v>
      </c>
      <c r="C52" s="288">
        <v>64.2</v>
      </c>
      <c r="D52" s="294">
        <v>-31.58</v>
      </c>
      <c r="E52" s="286" t="s">
        <v>574</v>
      </c>
      <c r="F52" s="286" t="s">
        <v>575</v>
      </c>
    </row>
    <row r="53" spans="1:9" x14ac:dyDescent="0.2">
      <c r="A53" s="293" t="s">
        <v>492</v>
      </c>
      <c r="B53" s="14" t="s">
        <v>576</v>
      </c>
      <c r="C53" s="13" t="s">
        <v>577</v>
      </c>
      <c r="D53" s="13" t="s">
        <v>577</v>
      </c>
      <c r="E53" s="286" t="s">
        <v>578</v>
      </c>
      <c r="F53" s="286" t="s">
        <v>579</v>
      </c>
    </row>
    <row r="54" spans="1:9" x14ac:dyDescent="0.2">
      <c r="A54" s="293" t="s">
        <v>518</v>
      </c>
      <c r="B54" s="14" t="s">
        <v>580</v>
      </c>
      <c r="C54" s="288">
        <v>59.92</v>
      </c>
      <c r="D54" s="294">
        <v>-1.84</v>
      </c>
      <c r="E54" s="286" t="s">
        <v>581</v>
      </c>
      <c r="F54" s="286" t="s">
        <v>582</v>
      </c>
    </row>
    <row r="55" spans="1:9" x14ac:dyDescent="0.2">
      <c r="A55" s="308" t="s">
        <v>492</v>
      </c>
      <c r="B55" s="264" t="s">
        <v>583</v>
      </c>
      <c r="C55" s="305">
        <v>87.7</v>
      </c>
      <c r="D55" s="309">
        <v>1.7</v>
      </c>
      <c r="E55" s="304" t="s">
        <v>584</v>
      </c>
      <c r="F55" s="304" t="s">
        <v>585</v>
      </c>
    </row>
    <row r="56" spans="1:9" x14ac:dyDescent="0.2">
      <c r="A56" s="340" t="s">
        <v>586</v>
      </c>
      <c r="B56" s="343" t="s">
        <v>587</v>
      </c>
    </row>
    <row r="58" spans="1:9" x14ac:dyDescent="0.2">
      <c r="A58" s="341" t="s">
        <v>588</v>
      </c>
      <c r="B58" s="337"/>
      <c r="C58" s="337"/>
      <c r="D58" s="337"/>
      <c r="E58" s="337"/>
      <c r="F58" s="337"/>
      <c r="G58" s="337"/>
      <c r="H58" s="337"/>
      <c r="I58" s="337"/>
    </row>
    <row r="59" spans="1:9" x14ac:dyDescent="0.2">
      <c r="A59" s="300" t="s">
        <v>589</v>
      </c>
      <c r="B59" s="299" t="s">
        <v>217</v>
      </c>
      <c r="C59" s="299" t="s">
        <v>270</v>
      </c>
      <c r="D59" s="300" t="s">
        <v>552</v>
      </c>
      <c r="E59" s="300" t="s">
        <v>497</v>
      </c>
      <c r="F59" s="300" t="s">
        <v>510</v>
      </c>
      <c r="G59" s="300" t="s">
        <v>518</v>
      </c>
      <c r="H59" s="300" t="s">
        <v>492</v>
      </c>
      <c r="I59" s="300" t="s">
        <v>519</v>
      </c>
    </row>
    <row r="60" spans="1:9" x14ac:dyDescent="0.2">
      <c r="A60" s="284">
        <v>1</v>
      </c>
      <c r="B60" s="8" t="s">
        <v>273</v>
      </c>
      <c r="C60" s="8" t="s">
        <v>590</v>
      </c>
      <c r="D60" s="288">
        <v>84.18</v>
      </c>
      <c r="E60" s="288">
        <v>76.180000000000007</v>
      </c>
      <c r="F60" s="288">
        <v>68.180000000000007</v>
      </c>
      <c r="G60" s="284" t="s">
        <v>591</v>
      </c>
      <c r="H60" s="284" t="s">
        <v>592</v>
      </c>
      <c r="I60" s="284" t="s">
        <v>535</v>
      </c>
    </row>
    <row r="61" spans="1:9" x14ac:dyDescent="0.2">
      <c r="A61" s="284">
        <v>2</v>
      </c>
      <c r="B61" s="8" t="s">
        <v>275</v>
      </c>
      <c r="C61" s="8" t="s">
        <v>593</v>
      </c>
      <c r="D61" s="288">
        <v>81.87</v>
      </c>
      <c r="E61" s="288">
        <v>81.87</v>
      </c>
      <c r="F61" s="288">
        <v>100</v>
      </c>
      <c r="G61" s="284" t="s">
        <v>594</v>
      </c>
      <c r="H61" s="284" t="s">
        <v>592</v>
      </c>
      <c r="I61" s="284" t="s">
        <v>594</v>
      </c>
    </row>
    <row r="62" spans="1:9" x14ac:dyDescent="0.2">
      <c r="A62" s="293">
        <v>3</v>
      </c>
      <c r="B62" s="14" t="s">
        <v>234</v>
      </c>
      <c r="C62" s="14" t="s">
        <v>595</v>
      </c>
      <c r="D62" s="290">
        <v>49</v>
      </c>
      <c r="E62" s="290">
        <v>49</v>
      </c>
      <c r="F62" s="290">
        <v>68.180000000000007</v>
      </c>
      <c r="G62" s="293" t="s">
        <v>532</v>
      </c>
      <c r="H62" s="293" t="s">
        <v>535</v>
      </c>
      <c r="I62" s="293" t="s">
        <v>538</v>
      </c>
    </row>
    <row r="63" spans="1:9" x14ac:dyDescent="0.2">
      <c r="A63" s="284">
        <v>4</v>
      </c>
      <c r="B63" s="8" t="s">
        <v>271</v>
      </c>
      <c r="C63" s="8" t="s">
        <v>596</v>
      </c>
      <c r="D63" s="288">
        <v>42.6</v>
      </c>
      <c r="E63" s="288">
        <v>42.6</v>
      </c>
      <c r="F63" s="288">
        <v>100</v>
      </c>
      <c r="G63" s="284" t="s">
        <v>538</v>
      </c>
      <c r="H63" s="284" t="s">
        <v>597</v>
      </c>
      <c r="I63" s="284" t="s">
        <v>591</v>
      </c>
    </row>
    <row r="64" spans="1:9" x14ac:dyDescent="0.2">
      <c r="A64" s="284">
        <v>5</v>
      </c>
      <c r="B64" s="8" t="s">
        <v>274</v>
      </c>
      <c r="C64" s="8" t="s">
        <v>598</v>
      </c>
      <c r="D64" s="288">
        <v>32.53</v>
      </c>
      <c r="E64" s="288">
        <v>32.53</v>
      </c>
      <c r="F64" s="288">
        <v>100</v>
      </c>
      <c r="G64" s="284" t="s">
        <v>599</v>
      </c>
      <c r="H64" s="284" t="s">
        <v>525</v>
      </c>
      <c r="I64" s="284" t="s">
        <v>532</v>
      </c>
    </row>
    <row r="65" spans="1:9" x14ac:dyDescent="0.2">
      <c r="A65" s="303">
        <v>6</v>
      </c>
      <c r="B65" s="266" t="s">
        <v>272</v>
      </c>
      <c r="C65" s="266" t="s">
        <v>600</v>
      </c>
      <c r="D65" s="305">
        <v>27.05</v>
      </c>
      <c r="E65" s="305">
        <v>27.05</v>
      </c>
      <c r="F65" s="305">
        <v>100</v>
      </c>
      <c r="G65" s="303" t="s">
        <v>599</v>
      </c>
      <c r="H65" s="303" t="s">
        <v>601</v>
      </c>
      <c r="I65" s="303" t="s">
        <v>597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</sheetPr>
  <dimension ref="B1:P130"/>
  <sheetViews>
    <sheetView showGridLines="0" topLeftCell="A8" zoomScale="94" workbookViewId="0">
      <selection activeCell="J63" sqref="J63"/>
    </sheetView>
  </sheetViews>
  <sheetFormatPr baseColWidth="10" defaultRowHeight="14" outlineLevelCol="1" x14ac:dyDescent="0.2"/>
  <cols>
    <col min="1" max="1" width="10.33203125" style="330" customWidth="1"/>
    <col min="2" max="2" width="30" style="330" customWidth="1"/>
    <col min="3" max="3" width="16.6640625" style="330" customWidth="1"/>
    <col min="4" max="4" width="30" style="330" customWidth="1"/>
    <col min="5" max="5" width="13.5" style="330" customWidth="1"/>
    <col min="6" max="6" width="26.6640625" style="330" customWidth="1"/>
    <col min="7" max="7" width="16.6640625" style="330" customWidth="1"/>
    <col min="8" max="8" width="13.33203125" style="330" customWidth="1"/>
    <col min="9" max="9" width="13" style="330" customWidth="1"/>
    <col min="10" max="10" width="12.5" style="330" customWidth="1"/>
    <col min="11" max="11" width="10.83203125" style="330"/>
    <col min="12" max="16" width="10.83203125" style="330" customWidth="1" outlineLevel="1"/>
    <col min="17" max="16384" width="10.83203125" style="330"/>
  </cols>
  <sheetData>
    <row r="1" spans="2:10" x14ac:dyDescent="0.2">
      <c r="B1" s="665" t="s">
        <v>602</v>
      </c>
      <c r="C1" s="666"/>
      <c r="D1" s="666"/>
      <c r="E1" s="666"/>
      <c r="F1" s="666"/>
      <c r="G1" s="666"/>
      <c r="H1" s="666"/>
      <c r="I1" s="666"/>
    </row>
    <row r="2" spans="2:10" x14ac:dyDescent="0.2">
      <c r="J2" s="8"/>
    </row>
    <row r="3" spans="2:10" x14ac:dyDescent="0.2">
      <c r="B3" s="336" t="s">
        <v>603</v>
      </c>
      <c r="C3" s="650"/>
      <c r="D3" s="650"/>
      <c r="E3" s="650"/>
      <c r="F3" s="651"/>
      <c r="G3" s="651"/>
      <c r="H3" s="651"/>
      <c r="I3" s="651"/>
      <c r="J3" s="8"/>
    </row>
    <row r="4" spans="2:10" x14ac:dyDescent="0.2">
      <c r="B4" s="299" t="s">
        <v>604</v>
      </c>
      <c r="C4" s="301" t="s">
        <v>82</v>
      </c>
      <c r="D4" s="302" t="s">
        <v>83</v>
      </c>
      <c r="E4" s="299"/>
      <c r="J4" s="8"/>
    </row>
    <row r="5" spans="2:10" x14ac:dyDescent="0.2">
      <c r="B5" s="14" t="s">
        <v>605</v>
      </c>
      <c r="C5" s="315">
        <v>44.8</v>
      </c>
      <c r="D5" s="346" t="s">
        <v>606</v>
      </c>
      <c r="J5" s="8"/>
    </row>
    <row r="6" spans="2:10" x14ac:dyDescent="0.2">
      <c r="B6" s="14" t="s">
        <v>607</v>
      </c>
      <c r="C6" s="3" t="s">
        <v>608</v>
      </c>
      <c r="D6" s="346" t="s">
        <v>609</v>
      </c>
      <c r="J6" s="8"/>
    </row>
    <row r="7" spans="2:10" x14ac:dyDescent="0.2">
      <c r="B7" s="14" t="s">
        <v>610</v>
      </c>
      <c r="C7" s="316">
        <f>('9. Standardlized_Income'!D34/'9. Standardlized_Income'!G34)^(1/3)-1</f>
        <v>2.7743692765690886E-2</v>
      </c>
      <c r="D7" s="346" t="s">
        <v>611</v>
      </c>
      <c r="J7" s="8"/>
    </row>
    <row r="8" spans="2:10" x14ac:dyDescent="0.2">
      <c r="B8" s="264" t="s">
        <v>612</v>
      </c>
      <c r="C8" s="325">
        <f>('9. Standardlized_Income'!D34/'9. Standardlized_Income'!H34)^(1/5)-1</f>
        <v>7.4194965590811401E-2</v>
      </c>
      <c r="D8" s="563" t="s">
        <v>611</v>
      </c>
      <c r="J8" s="8"/>
    </row>
    <row r="9" spans="2:10" x14ac:dyDescent="0.2">
      <c r="J9" s="8"/>
    </row>
    <row r="10" spans="2:10" x14ac:dyDescent="0.2">
      <c r="B10" s="302" t="s">
        <v>613</v>
      </c>
      <c r="C10" s="302" t="s">
        <v>614</v>
      </c>
      <c r="D10" s="302" t="s">
        <v>331</v>
      </c>
      <c r="E10" s="299"/>
      <c r="J10" s="8"/>
    </row>
    <row r="11" spans="2:10" x14ac:dyDescent="0.2">
      <c r="B11" s="14" t="s">
        <v>615</v>
      </c>
      <c r="C11" s="317">
        <v>1</v>
      </c>
      <c r="D11" s="346" t="s">
        <v>616</v>
      </c>
      <c r="J11" s="8"/>
    </row>
    <row r="12" spans="2:10" x14ac:dyDescent="0.2">
      <c r="B12" s="14" t="s">
        <v>617</v>
      </c>
      <c r="C12" s="317">
        <v>2</v>
      </c>
      <c r="D12" s="346" t="s">
        <v>618</v>
      </c>
      <c r="J12" s="8"/>
    </row>
    <row r="13" spans="2:10" x14ac:dyDescent="0.2">
      <c r="B13" s="14" t="s">
        <v>619</v>
      </c>
      <c r="C13" s="318">
        <v>3</v>
      </c>
      <c r="D13" s="346" t="s">
        <v>620</v>
      </c>
      <c r="J13" s="8"/>
    </row>
    <row r="14" spans="2:10" x14ac:dyDescent="0.2">
      <c r="B14" s="14" t="s">
        <v>621</v>
      </c>
      <c r="C14" s="317">
        <v>1</v>
      </c>
      <c r="D14" s="346" t="s">
        <v>622</v>
      </c>
      <c r="J14" s="8"/>
    </row>
    <row r="15" spans="2:10" x14ac:dyDescent="0.2">
      <c r="B15" s="264" t="s">
        <v>623</v>
      </c>
      <c r="C15" s="326">
        <v>3</v>
      </c>
      <c r="D15" s="563" t="s">
        <v>624</v>
      </c>
      <c r="J15" s="8"/>
    </row>
    <row r="17" spans="2:10" x14ac:dyDescent="0.2">
      <c r="B17" s="302" t="s">
        <v>625</v>
      </c>
      <c r="C17" s="302" t="s">
        <v>82</v>
      </c>
      <c r="D17" s="302" t="s">
        <v>83</v>
      </c>
      <c r="E17" s="299"/>
    </row>
    <row r="18" spans="2:10" x14ac:dyDescent="0.2">
      <c r="B18" s="14" t="s">
        <v>626</v>
      </c>
      <c r="C18" s="119" t="s">
        <v>627</v>
      </c>
      <c r="D18" s="346" t="s">
        <v>628</v>
      </c>
    </row>
    <row r="19" spans="2:10" x14ac:dyDescent="0.2">
      <c r="B19" s="14" t="s">
        <v>629</v>
      </c>
      <c r="C19" s="119" t="s">
        <v>630</v>
      </c>
      <c r="D19" s="346" t="s">
        <v>631</v>
      </c>
    </row>
    <row r="20" spans="2:10" x14ac:dyDescent="0.2">
      <c r="B20" s="14" t="s">
        <v>632</v>
      </c>
      <c r="C20" s="119" t="s">
        <v>633</v>
      </c>
      <c r="D20" s="346" t="s">
        <v>634</v>
      </c>
    </row>
    <row r="21" spans="2:10" x14ac:dyDescent="0.2">
      <c r="B21" s="14" t="s">
        <v>635</v>
      </c>
      <c r="C21" s="119" t="s">
        <v>636</v>
      </c>
      <c r="D21" s="346" t="s">
        <v>637</v>
      </c>
    </row>
    <row r="22" spans="2:10" x14ac:dyDescent="0.2">
      <c r="B22" s="14" t="s">
        <v>638</v>
      </c>
      <c r="C22" s="119" t="s">
        <v>639</v>
      </c>
      <c r="D22" s="346" t="s">
        <v>640</v>
      </c>
    </row>
    <row r="23" spans="2:10" x14ac:dyDescent="0.2">
      <c r="B23" s="14" t="s">
        <v>641</v>
      </c>
      <c r="C23" s="119" t="s">
        <v>642</v>
      </c>
      <c r="D23" s="346" t="s">
        <v>643</v>
      </c>
    </row>
    <row r="24" spans="2:10" x14ac:dyDescent="0.2">
      <c r="B24" s="264" t="s">
        <v>644</v>
      </c>
      <c r="C24" s="327" t="s">
        <v>645</v>
      </c>
      <c r="D24" s="563" t="s">
        <v>646</v>
      </c>
    </row>
    <row r="26" spans="2:10" x14ac:dyDescent="0.2">
      <c r="B26" s="336" t="s">
        <v>647</v>
      </c>
      <c r="C26" s="650"/>
      <c r="D26" s="650"/>
      <c r="E26" s="651"/>
      <c r="F26" s="650"/>
      <c r="G26" s="650"/>
      <c r="H26" s="650"/>
      <c r="I26" s="650"/>
    </row>
    <row r="27" spans="2:10" x14ac:dyDescent="0.2">
      <c r="B27" s="323" t="s">
        <v>648</v>
      </c>
      <c r="C27" s="652"/>
      <c r="D27" s="652"/>
      <c r="F27" s="324" t="s">
        <v>649</v>
      </c>
      <c r="G27" s="653"/>
      <c r="H27" s="653"/>
      <c r="I27" s="653"/>
    </row>
    <row r="28" spans="2:10" x14ac:dyDescent="0.2">
      <c r="B28" s="14" t="s">
        <v>650</v>
      </c>
      <c r="C28" s="667" t="s">
        <v>651</v>
      </c>
      <c r="D28" s="666"/>
      <c r="F28" s="14" t="s">
        <v>652</v>
      </c>
      <c r="G28" s="667" t="s">
        <v>653</v>
      </c>
      <c r="H28" s="666"/>
      <c r="I28" s="666"/>
    </row>
    <row r="29" spans="2:10" x14ac:dyDescent="0.2">
      <c r="B29" s="14" t="s">
        <v>654</v>
      </c>
      <c r="C29" s="667" t="s">
        <v>655</v>
      </c>
      <c r="D29" s="666"/>
      <c r="F29" s="14" t="s">
        <v>656</v>
      </c>
      <c r="G29" s="667" t="s">
        <v>657</v>
      </c>
      <c r="H29" s="666"/>
      <c r="I29" s="666"/>
      <c r="J29" s="8"/>
    </row>
    <row r="30" spans="2:10" x14ac:dyDescent="0.2">
      <c r="B30" s="14" t="s">
        <v>658</v>
      </c>
      <c r="C30" s="667" t="s">
        <v>659</v>
      </c>
      <c r="D30" s="666"/>
      <c r="F30" s="14" t="s">
        <v>660</v>
      </c>
      <c r="G30" s="667" t="s">
        <v>661</v>
      </c>
      <c r="H30" s="666"/>
      <c r="I30" s="666"/>
      <c r="J30" s="8"/>
    </row>
    <row r="31" spans="2:10" x14ac:dyDescent="0.2">
      <c r="B31" s="14" t="s">
        <v>662</v>
      </c>
      <c r="C31" s="667" t="s">
        <v>663</v>
      </c>
      <c r="D31" s="666"/>
      <c r="F31" s="14" t="s">
        <v>664</v>
      </c>
      <c r="G31" s="667" t="s">
        <v>665</v>
      </c>
      <c r="H31" s="666"/>
      <c r="I31" s="666"/>
      <c r="J31" s="8"/>
    </row>
    <row r="32" spans="2:10" x14ac:dyDescent="0.2">
      <c r="B32" s="264" t="s">
        <v>666</v>
      </c>
      <c r="C32" s="668" t="s">
        <v>667</v>
      </c>
      <c r="D32" s="669"/>
      <c r="F32" s="264" t="s">
        <v>668</v>
      </c>
      <c r="G32" s="668" t="s">
        <v>669</v>
      </c>
      <c r="H32" s="669"/>
      <c r="I32" s="669"/>
      <c r="J32" s="8"/>
    </row>
    <row r="33" spans="2:10" x14ac:dyDescent="0.2">
      <c r="J33" s="8"/>
    </row>
    <row r="34" spans="2:10" x14ac:dyDescent="0.2">
      <c r="B34" s="336" t="s">
        <v>670</v>
      </c>
      <c r="C34" s="650"/>
      <c r="D34" s="650"/>
      <c r="E34" s="650"/>
      <c r="F34" s="650"/>
      <c r="G34" s="650"/>
      <c r="H34" s="651"/>
      <c r="I34" s="651"/>
      <c r="J34" s="8"/>
    </row>
    <row r="35" spans="2:10" x14ac:dyDescent="0.2">
      <c r="B35" s="302" t="s">
        <v>671</v>
      </c>
      <c r="C35" s="302" t="s">
        <v>672</v>
      </c>
      <c r="D35" s="302" t="s">
        <v>673</v>
      </c>
      <c r="E35" s="302" t="s">
        <v>674</v>
      </c>
      <c r="F35" s="302" t="s">
        <v>675</v>
      </c>
      <c r="G35" s="339"/>
      <c r="H35" s="654"/>
      <c r="I35" s="654"/>
      <c r="J35" s="8"/>
    </row>
    <row r="36" spans="2:10" x14ac:dyDescent="0.2">
      <c r="B36" s="14" t="s">
        <v>676</v>
      </c>
      <c r="C36" s="332" t="s">
        <v>677</v>
      </c>
      <c r="D36" s="13" t="s">
        <v>678</v>
      </c>
      <c r="E36" s="13" t="s">
        <v>679</v>
      </c>
      <c r="F36" s="667" t="s">
        <v>680</v>
      </c>
      <c r="G36" s="666"/>
      <c r="J36" s="8"/>
    </row>
    <row r="37" spans="2:10" x14ac:dyDescent="0.2">
      <c r="B37" s="14" t="s">
        <v>681</v>
      </c>
      <c r="C37" s="332" t="s">
        <v>677</v>
      </c>
      <c r="D37" s="13" t="s">
        <v>682</v>
      </c>
      <c r="E37" s="13" t="s">
        <v>683</v>
      </c>
      <c r="F37" s="667" t="s">
        <v>684</v>
      </c>
      <c r="G37" s="666"/>
      <c r="J37" s="8"/>
    </row>
    <row r="38" spans="2:10" x14ac:dyDescent="0.2">
      <c r="B38" s="14" t="s">
        <v>685</v>
      </c>
      <c r="C38" s="333" t="s">
        <v>686</v>
      </c>
      <c r="D38" s="13" t="s">
        <v>687</v>
      </c>
      <c r="E38" s="13" t="s">
        <v>688</v>
      </c>
      <c r="F38" s="667" t="s">
        <v>689</v>
      </c>
      <c r="G38" s="666"/>
      <c r="J38" s="8"/>
    </row>
    <row r="39" spans="2:10" x14ac:dyDescent="0.2">
      <c r="B39" s="14" t="s">
        <v>690</v>
      </c>
      <c r="C39" s="333" t="s">
        <v>686</v>
      </c>
      <c r="D39" s="13" t="s">
        <v>691</v>
      </c>
      <c r="E39" s="13" t="s">
        <v>688</v>
      </c>
      <c r="F39" s="667" t="s">
        <v>692</v>
      </c>
      <c r="G39" s="666"/>
      <c r="J39" s="8"/>
    </row>
    <row r="40" spans="2:10" x14ac:dyDescent="0.2">
      <c r="B40" s="14" t="s">
        <v>693</v>
      </c>
      <c r="C40" s="334" t="s">
        <v>694</v>
      </c>
      <c r="D40" s="13" t="s">
        <v>695</v>
      </c>
      <c r="E40" s="13" t="s">
        <v>696</v>
      </c>
      <c r="F40" s="667" t="s">
        <v>697</v>
      </c>
      <c r="G40" s="666"/>
    </row>
    <row r="41" spans="2:10" x14ac:dyDescent="0.2">
      <c r="B41" s="264" t="s">
        <v>698</v>
      </c>
      <c r="C41" s="335" t="s">
        <v>677</v>
      </c>
      <c r="D41" s="268" t="s">
        <v>678</v>
      </c>
      <c r="E41" s="268" t="s">
        <v>699</v>
      </c>
      <c r="F41" s="668" t="s">
        <v>700</v>
      </c>
      <c r="G41" s="669"/>
      <c r="J41" s="331"/>
    </row>
    <row r="42" spans="2:10" x14ac:dyDescent="0.2">
      <c r="J42" s="8"/>
    </row>
    <row r="43" spans="2:10" x14ac:dyDescent="0.2">
      <c r="B43" s="336" t="s">
        <v>701</v>
      </c>
      <c r="C43" s="650"/>
      <c r="D43" s="650"/>
      <c r="E43" s="650"/>
      <c r="F43" s="650"/>
      <c r="G43" s="650"/>
      <c r="H43" s="650"/>
      <c r="I43" s="650"/>
      <c r="J43" s="8"/>
    </row>
    <row r="44" spans="2:10" x14ac:dyDescent="0.2">
      <c r="B44" s="302" t="s">
        <v>270</v>
      </c>
      <c r="C44" s="302" t="s">
        <v>702</v>
      </c>
      <c r="D44" s="302" t="s">
        <v>276</v>
      </c>
      <c r="E44" s="302" t="s">
        <v>280</v>
      </c>
      <c r="F44" s="302" t="s">
        <v>283</v>
      </c>
      <c r="G44" s="302" t="s">
        <v>315</v>
      </c>
      <c r="H44" s="302" t="s">
        <v>703</v>
      </c>
      <c r="I44" s="302" t="s">
        <v>704</v>
      </c>
      <c r="J44" s="8"/>
    </row>
    <row r="45" spans="2:10" x14ac:dyDescent="0.2">
      <c r="B45" s="14" t="s">
        <v>705</v>
      </c>
      <c r="C45" s="298">
        <f>'9. Standardlized_Income'!D34</f>
        <v>7941.1</v>
      </c>
      <c r="D45" s="319">
        <f>'9. Standardlized_Income'!D46/'9. Standardlized_Income'!D34</f>
        <v>0.28659757464331137</v>
      </c>
      <c r="E45" s="319">
        <f>'9. Standardlized_Income'!D44/'9. Standardlized_Income'!D34</f>
        <v>0.13558575008500082</v>
      </c>
      <c r="F45" s="319">
        <f>'9. Standardlized_Income'!D31/'9. Standardlized_Income'!D17</f>
        <v>0.2618440276879595</v>
      </c>
      <c r="G45" s="319">
        <f>'9. Standardlized_Income'!D44/'9. Standardlized_Income'!D17</f>
        <v>6.4471509664439167E-2</v>
      </c>
      <c r="H45" s="320">
        <f>'9. Standardlized_Income'!D39/'9. Standardlized_Income'!D40</f>
        <v>6.3721318314559872</v>
      </c>
      <c r="I45" s="544" t="s">
        <v>706</v>
      </c>
      <c r="J45" s="8"/>
    </row>
    <row r="46" spans="2:10" x14ac:dyDescent="0.2">
      <c r="B46" s="8" t="s">
        <v>707</v>
      </c>
      <c r="C46" s="9">
        <f>'9. Standardlized_Income'!J34</f>
        <v>6150</v>
      </c>
      <c r="D46" s="314">
        <f>'9. Standardlized_Income'!J46/'9. Standardlized_Income'!J34</f>
        <v>0.34634146341463412</v>
      </c>
      <c r="E46" s="314">
        <f>'9. Standardlized_Income'!J44/'9. Standardlized_Income'!J34</f>
        <v>0.1848780487804878</v>
      </c>
      <c r="F46" s="314">
        <f>'9. Standardlized_Income'!J31/'9. Standardlized_Income'!J17</f>
        <v>0.30062530062530063</v>
      </c>
      <c r="G46" s="314">
        <f>'9. Standardlized_Income'!J44/'9. Standardlized_Income'!J17</f>
        <v>6.0766394099727436E-2</v>
      </c>
      <c r="H46" s="321">
        <f>'9. Standardlized_Income'!J39/'9. Standardlized_Income'!J40</f>
        <v>6.4913043478260866</v>
      </c>
      <c r="I46" s="346" t="s">
        <v>708</v>
      </c>
      <c r="J46" s="8"/>
    </row>
    <row r="47" spans="2:10" x14ac:dyDescent="0.2">
      <c r="B47" s="8" t="s">
        <v>709</v>
      </c>
      <c r="C47" s="9">
        <f>'9. Standardlized_Income'!N34</f>
        <v>37447</v>
      </c>
      <c r="D47" s="314">
        <f>'9. Standardlized_Income'!N46/'9. Standardlized_Income'!N34</f>
        <v>0.19972227414746174</v>
      </c>
      <c r="E47" s="314">
        <f>'9. Standardlized_Income'!N44/'9. Standardlized_Income'!N34</f>
        <v>0.10022164659385265</v>
      </c>
      <c r="F47" s="314">
        <f>'9. Standardlized_Income'!N31/'9. Standardlized_Income'!N17</f>
        <v>0.31180030516552659</v>
      </c>
      <c r="G47" s="314">
        <f>'9. Standardlized_Income'!N44/'9. Standardlized_Income'!N17</f>
        <v>6.4341922542817467E-2</v>
      </c>
      <c r="H47" s="321">
        <f>'9. Standardlized_Income'!N39/'9. Standardlized_Income'!N40</f>
        <v>6.5716049382716051</v>
      </c>
      <c r="I47" s="346" t="s">
        <v>710</v>
      </c>
      <c r="J47" s="8"/>
    </row>
    <row r="48" spans="2:10" x14ac:dyDescent="0.2">
      <c r="B48" s="8" t="s">
        <v>711</v>
      </c>
      <c r="C48" s="9">
        <f>'9. Standardlized_Income'!P34</f>
        <v>16131.88</v>
      </c>
      <c r="D48" s="314">
        <f>'9. Standardlized_Income'!P46/'9. Standardlized_Income'!P34</f>
        <v>0.14231323317555056</v>
      </c>
      <c r="E48" s="314">
        <f>'9. Standardlized_Income'!P44/'9. Standardlized_Income'!P34</f>
        <v>5.9519411252749219E-2</v>
      </c>
      <c r="F48" s="314">
        <f>'9. Standardlized_Income'!P31/'9. Standardlized_Income'!P17</f>
        <v>0.2340711418511188</v>
      </c>
      <c r="G48" s="314">
        <f>'9. Standardlized_Income'!P44/'9. Standardlized_Income'!P17</f>
        <v>3.3148389239478264E-2</v>
      </c>
      <c r="H48" s="321">
        <f>'9. Standardlized_Income'!P39/'9. Standardlized_Income'!P40</f>
        <v>3.3408138839018555</v>
      </c>
      <c r="I48" s="346" t="s">
        <v>712</v>
      </c>
      <c r="J48" s="8"/>
    </row>
    <row r="49" spans="2:16" x14ac:dyDescent="0.2">
      <c r="B49" s="8" t="s">
        <v>713</v>
      </c>
      <c r="C49" s="9">
        <f>'9. Standardlized_Income'!R34</f>
        <v>2260.5100000000002</v>
      </c>
      <c r="D49" s="314">
        <f>'9. Standardlized_Income'!R46/'9. Standardlized_Income'!R34</f>
        <v>0.33820686482254003</v>
      </c>
      <c r="E49" s="314">
        <f>'9. Standardlized_Income'!R44/'9. Standardlized_Income'!R34</f>
        <v>0.20500683474083281</v>
      </c>
      <c r="F49" s="314">
        <f>'9. Standardlized_Income'!R31/'9. Standardlized_Income'!R17</f>
        <v>0.37931868933005364</v>
      </c>
      <c r="G49" s="314">
        <f>'9. Standardlized_Income'!R44/'9. Standardlized_Income'!R17</f>
        <v>0.1419535071785431</v>
      </c>
      <c r="H49" s="321">
        <f>'9. Standardlized_Income'!R39/'9. Standardlized_Income'!R40</f>
        <v>15.050198807157058</v>
      </c>
      <c r="I49" s="346" t="s">
        <v>714</v>
      </c>
      <c r="J49" s="8"/>
    </row>
    <row r="50" spans="2:16" x14ac:dyDescent="0.2">
      <c r="B50" s="266" t="s">
        <v>715</v>
      </c>
      <c r="C50" s="313">
        <f>'9. Standardlized_Income'!L34</f>
        <v>3146.01</v>
      </c>
      <c r="D50" s="328">
        <f>'9. Standardlized_Income'!L46/'9. Standardlized_Income'!L34</f>
        <v>0.15613745665144102</v>
      </c>
      <c r="E50" s="328">
        <f>'9. Standardlized_Income'!L44/'9. Standardlized_Income'!L34</f>
        <v>4.9926732591441217E-2</v>
      </c>
      <c r="F50" s="328">
        <f>'9. Standardlized_Income'!L31/'9. Standardlized_Income'!L17</f>
        <v>0.3193164041631622</v>
      </c>
      <c r="G50" s="328">
        <f>'9. Standardlized_Income'!L44/'9. Standardlized_Income'!L17</f>
        <v>4.3031579870195687E-2</v>
      </c>
      <c r="H50" s="329">
        <f>'9. Standardlized_Income'!L39/'9. Standardlized_Income'!L40</f>
        <v>3.6303392726385164</v>
      </c>
      <c r="I50" s="563" t="s">
        <v>716</v>
      </c>
      <c r="J50" s="8"/>
    </row>
    <row r="51" spans="2:16" x14ac:dyDescent="0.2">
      <c r="J51" s="6"/>
    </row>
    <row r="52" spans="2:16" x14ac:dyDescent="0.2">
      <c r="B52" s="236" t="s">
        <v>717</v>
      </c>
      <c r="C52" s="651"/>
      <c r="D52" s="651"/>
      <c r="E52" s="651"/>
      <c r="F52" s="651"/>
      <c r="G52" s="651"/>
      <c r="H52" s="651"/>
      <c r="I52" s="651"/>
      <c r="J52" s="8"/>
    </row>
    <row r="53" spans="2:16" x14ac:dyDescent="0.2">
      <c r="B53" s="30" t="s">
        <v>718</v>
      </c>
      <c r="C53" s="655"/>
      <c r="D53" s="655"/>
      <c r="E53" s="655"/>
      <c r="F53" s="655"/>
      <c r="G53" s="655"/>
      <c r="H53" s="655"/>
      <c r="I53" s="655"/>
      <c r="J53" s="8"/>
      <c r="L53" s="78" t="s">
        <v>719</v>
      </c>
      <c r="M53" s="78" t="s">
        <v>720</v>
      </c>
      <c r="N53" s="349"/>
      <c r="O53" s="78" t="s">
        <v>721</v>
      </c>
      <c r="P53" s="78" t="s">
        <v>720</v>
      </c>
    </row>
    <row r="54" spans="2:16" x14ac:dyDescent="0.2">
      <c r="B54" s="300" t="s">
        <v>2</v>
      </c>
      <c r="C54" s="300" t="s">
        <v>722</v>
      </c>
      <c r="D54" s="300" t="s">
        <v>723</v>
      </c>
      <c r="E54" s="300" t="s">
        <v>719</v>
      </c>
      <c r="F54" s="300" t="s">
        <v>724</v>
      </c>
      <c r="G54" s="300" t="s">
        <v>721</v>
      </c>
      <c r="H54" s="300" t="s">
        <v>725</v>
      </c>
      <c r="I54" s="300" t="s">
        <v>726</v>
      </c>
      <c r="J54" s="300" t="s">
        <v>727</v>
      </c>
      <c r="L54" s="349">
        <f t="shared" ref="L54:L73" si="0">E55</f>
        <v>73.5</v>
      </c>
      <c r="M54" s="349">
        <f t="shared" ref="M54:M73" si="1">D55</f>
        <v>3127</v>
      </c>
      <c r="N54" s="349"/>
      <c r="O54" s="349">
        <f t="shared" ref="O54:O73" si="2">G55</f>
        <v>220.5</v>
      </c>
      <c r="P54" s="349">
        <f t="shared" ref="P54:P73" si="3">D55</f>
        <v>3127</v>
      </c>
    </row>
    <row r="55" spans="2:16" x14ac:dyDescent="0.2">
      <c r="B55" s="353">
        <v>2005</v>
      </c>
      <c r="C55" s="291">
        <v>68.599999999999994</v>
      </c>
      <c r="D55" s="297">
        <v>3127</v>
      </c>
      <c r="E55" s="351">
        <v>73.5</v>
      </c>
      <c r="F55" s="351">
        <v>240.2</v>
      </c>
      <c r="G55" s="351">
        <v>220.5</v>
      </c>
      <c r="H55" s="297">
        <v>2068</v>
      </c>
      <c r="I55" s="291">
        <v>5.87</v>
      </c>
      <c r="J55" s="291">
        <v>2.4</v>
      </c>
      <c r="L55" s="349">
        <f t="shared" si="0"/>
        <v>79.400000000000006</v>
      </c>
      <c r="M55" s="349">
        <f t="shared" si="1"/>
        <v>3342</v>
      </c>
      <c r="N55" s="349"/>
      <c r="O55" s="349">
        <f t="shared" si="2"/>
        <v>248.3</v>
      </c>
      <c r="P55" s="349">
        <f t="shared" si="3"/>
        <v>3342</v>
      </c>
    </row>
    <row r="56" spans="2:16" x14ac:dyDescent="0.2">
      <c r="B56" s="353">
        <v>2006</v>
      </c>
      <c r="C56" s="291">
        <v>82.08</v>
      </c>
      <c r="D56" s="297">
        <v>3342</v>
      </c>
      <c r="E56" s="351">
        <v>79.400000000000006</v>
      </c>
      <c r="F56" s="351">
        <v>263.7</v>
      </c>
      <c r="G56" s="351">
        <v>248.3</v>
      </c>
      <c r="H56" s="297">
        <v>1801</v>
      </c>
      <c r="I56" s="291">
        <v>6.41</v>
      </c>
      <c r="J56" s="291">
        <v>2.71</v>
      </c>
      <c r="L56" s="349">
        <f t="shared" si="0"/>
        <v>83</v>
      </c>
      <c r="M56" s="349">
        <f t="shared" si="1"/>
        <v>3328</v>
      </c>
      <c r="N56" s="349"/>
      <c r="O56" s="349">
        <f t="shared" si="2"/>
        <v>258.2</v>
      </c>
      <c r="P56" s="349">
        <f t="shared" si="3"/>
        <v>3328</v>
      </c>
    </row>
    <row r="57" spans="2:16" x14ac:dyDescent="0.2">
      <c r="B57" s="353">
        <v>2007</v>
      </c>
      <c r="C57" s="291">
        <v>73.41</v>
      </c>
      <c r="D57" s="297">
        <v>3328</v>
      </c>
      <c r="E57" s="351">
        <v>83</v>
      </c>
      <c r="F57" s="351">
        <v>279.2</v>
      </c>
      <c r="G57" s="351">
        <v>258.2</v>
      </c>
      <c r="H57" s="297">
        <v>1355</v>
      </c>
      <c r="I57" s="291">
        <v>6.34</v>
      </c>
      <c r="J57" s="410">
        <v>2.88</v>
      </c>
      <c r="L57" s="349">
        <f t="shared" si="0"/>
        <v>87.2</v>
      </c>
      <c r="M57" s="349">
        <f t="shared" si="1"/>
        <v>3453</v>
      </c>
      <c r="N57" s="349"/>
      <c r="O57" s="349">
        <f t="shared" si="2"/>
        <v>248.1</v>
      </c>
      <c r="P57" s="349">
        <f t="shared" si="3"/>
        <v>3453</v>
      </c>
    </row>
    <row r="58" spans="2:16" x14ac:dyDescent="0.2">
      <c r="B58" s="353">
        <v>2008</v>
      </c>
      <c r="C58" s="291">
        <v>50.76</v>
      </c>
      <c r="D58" s="297">
        <v>3453</v>
      </c>
      <c r="E58" s="351">
        <v>87.2</v>
      </c>
      <c r="F58" s="351">
        <v>291</v>
      </c>
      <c r="G58" s="351">
        <v>248.1</v>
      </c>
      <c r="H58" s="297">
        <v>906</v>
      </c>
      <c r="I58" s="291">
        <v>6.03</v>
      </c>
      <c r="J58" s="410">
        <v>3.8</v>
      </c>
      <c r="L58" s="349">
        <f t="shared" si="0"/>
        <v>86.5</v>
      </c>
      <c r="M58" s="349">
        <f t="shared" si="1"/>
        <v>2545</v>
      </c>
      <c r="N58" s="349"/>
      <c r="O58" s="349">
        <f t="shared" si="2"/>
        <v>195.7</v>
      </c>
      <c r="P58" s="349">
        <f t="shared" si="3"/>
        <v>2545</v>
      </c>
    </row>
    <row r="59" spans="2:16" x14ac:dyDescent="0.2">
      <c r="B59" s="353">
        <v>2009</v>
      </c>
      <c r="C59" s="291">
        <v>43.05</v>
      </c>
      <c r="D59" s="297">
        <v>2545</v>
      </c>
      <c r="E59" s="351">
        <v>86.5</v>
      </c>
      <c r="F59" s="351">
        <v>297.39999999999998</v>
      </c>
      <c r="G59" s="351">
        <v>195.7</v>
      </c>
      <c r="H59" s="297">
        <v>554</v>
      </c>
      <c r="I59" s="291">
        <v>5.04</v>
      </c>
      <c r="J59" s="291">
        <v>2.4700000000000002</v>
      </c>
      <c r="L59" s="349">
        <f t="shared" si="0"/>
        <v>86.8</v>
      </c>
      <c r="M59" s="349">
        <f t="shared" si="1"/>
        <v>2407</v>
      </c>
      <c r="N59" s="349"/>
      <c r="O59" s="349">
        <f t="shared" si="2"/>
        <v>186.1</v>
      </c>
      <c r="P59" s="349">
        <f t="shared" si="3"/>
        <v>2407</v>
      </c>
    </row>
    <row r="60" spans="2:16" x14ac:dyDescent="0.2">
      <c r="B60" s="353">
        <v>2010</v>
      </c>
      <c r="C60" s="291">
        <v>39.659999999999997</v>
      </c>
      <c r="D60" s="297">
        <v>2407</v>
      </c>
      <c r="E60" s="351">
        <v>86.8</v>
      </c>
      <c r="F60" s="351">
        <v>280.89999999999998</v>
      </c>
      <c r="G60" s="351">
        <v>186.1</v>
      </c>
      <c r="H60" s="297">
        <v>587</v>
      </c>
      <c r="I60" s="291">
        <v>4.6900000000000004</v>
      </c>
      <c r="J60" s="291">
        <v>2.99</v>
      </c>
      <c r="L60" s="349">
        <f t="shared" si="0"/>
        <v>79.599999999999994</v>
      </c>
      <c r="M60" s="349">
        <f t="shared" si="1"/>
        <v>2422</v>
      </c>
      <c r="N60" s="349"/>
      <c r="O60" s="349">
        <f t="shared" si="2"/>
        <v>196.4</v>
      </c>
      <c r="P60" s="349">
        <f t="shared" si="3"/>
        <v>2422</v>
      </c>
    </row>
    <row r="61" spans="2:16" x14ac:dyDescent="0.2">
      <c r="B61" s="353">
        <v>2011</v>
      </c>
      <c r="C61" s="291">
        <v>35.46</v>
      </c>
      <c r="D61" s="297">
        <v>2422</v>
      </c>
      <c r="E61" s="351">
        <v>79.599999999999994</v>
      </c>
      <c r="F61" s="351">
        <v>259.2</v>
      </c>
      <c r="G61" s="351">
        <v>196.4</v>
      </c>
      <c r="H61" s="297">
        <v>609</v>
      </c>
      <c r="I61" s="291">
        <v>4.45</v>
      </c>
      <c r="J61" s="291">
        <v>3.84</v>
      </c>
      <c r="L61" s="349">
        <f t="shared" si="0"/>
        <v>78.7</v>
      </c>
      <c r="M61" s="349">
        <f t="shared" si="1"/>
        <v>2587</v>
      </c>
      <c r="N61" s="349"/>
      <c r="O61" s="349">
        <f t="shared" si="2"/>
        <v>212.6</v>
      </c>
      <c r="P61" s="349">
        <f t="shared" si="3"/>
        <v>2587</v>
      </c>
    </row>
    <row r="62" spans="2:16" x14ac:dyDescent="0.2">
      <c r="B62" s="353">
        <v>2012</v>
      </c>
      <c r="C62" s="291">
        <v>53.64</v>
      </c>
      <c r="D62" s="297">
        <v>2587</v>
      </c>
      <c r="E62" s="351">
        <v>78.7</v>
      </c>
      <c r="F62" s="351">
        <v>260.60000000000002</v>
      </c>
      <c r="G62" s="351">
        <v>212.6</v>
      </c>
      <c r="H62" s="297">
        <v>781</v>
      </c>
      <c r="I62" s="291">
        <v>3.66</v>
      </c>
      <c r="J62" s="291">
        <v>3.97</v>
      </c>
      <c r="L62" s="349">
        <f t="shared" si="0"/>
        <v>81.8</v>
      </c>
      <c r="M62" s="349">
        <f t="shared" si="1"/>
        <v>2694</v>
      </c>
      <c r="N62" s="349"/>
      <c r="O62" s="349">
        <f t="shared" si="2"/>
        <v>229.3</v>
      </c>
      <c r="P62" s="349">
        <f t="shared" si="3"/>
        <v>2694</v>
      </c>
    </row>
    <row r="63" spans="2:16" x14ac:dyDescent="0.2">
      <c r="B63" s="353">
        <v>2013</v>
      </c>
      <c r="C63" s="291">
        <v>62.74</v>
      </c>
      <c r="D63" s="297">
        <v>2694</v>
      </c>
      <c r="E63" s="351">
        <v>81.8</v>
      </c>
      <c r="F63" s="351">
        <v>262.3</v>
      </c>
      <c r="G63" s="351">
        <v>229.3</v>
      </c>
      <c r="H63" s="297">
        <v>925</v>
      </c>
      <c r="I63" s="291">
        <v>3.98</v>
      </c>
      <c r="J63" s="291">
        <v>3.92</v>
      </c>
      <c r="L63" s="349">
        <f t="shared" si="0"/>
        <v>87.5</v>
      </c>
      <c r="M63" s="349">
        <f t="shared" si="1"/>
        <v>2966</v>
      </c>
      <c r="N63" s="349"/>
      <c r="O63" s="349">
        <f t="shared" si="2"/>
        <v>243.7</v>
      </c>
      <c r="P63" s="349">
        <f t="shared" si="3"/>
        <v>2966</v>
      </c>
    </row>
    <row r="64" spans="2:16" x14ac:dyDescent="0.2">
      <c r="B64" s="353">
        <v>2014</v>
      </c>
      <c r="C64" s="291">
        <v>64.72</v>
      </c>
      <c r="D64" s="297">
        <v>2966</v>
      </c>
      <c r="E64" s="351">
        <v>87.5</v>
      </c>
      <c r="F64" s="351">
        <v>274.10000000000002</v>
      </c>
      <c r="G64" s="351">
        <v>243.7</v>
      </c>
      <c r="H64" s="297">
        <v>1003</v>
      </c>
      <c r="I64" s="291">
        <v>4.17</v>
      </c>
      <c r="J64" s="291">
        <v>3.83</v>
      </c>
      <c r="L64" s="349">
        <f t="shared" si="0"/>
        <v>91.3</v>
      </c>
      <c r="M64" s="349">
        <f t="shared" si="1"/>
        <v>3273</v>
      </c>
      <c r="N64" s="349"/>
      <c r="O64" s="349">
        <f t="shared" si="2"/>
        <v>262</v>
      </c>
      <c r="P64" s="349">
        <f t="shared" si="3"/>
        <v>3273</v>
      </c>
    </row>
    <row r="65" spans="2:16" x14ac:dyDescent="0.2">
      <c r="B65" s="353">
        <v>2015</v>
      </c>
      <c r="C65" s="291">
        <v>94.48</v>
      </c>
      <c r="D65" s="297">
        <v>3273</v>
      </c>
      <c r="E65" s="351">
        <v>91.3</v>
      </c>
      <c r="F65" s="351">
        <v>284.39999999999998</v>
      </c>
      <c r="G65" s="351">
        <v>262</v>
      </c>
      <c r="H65" s="297">
        <v>1112</v>
      </c>
      <c r="I65" s="291">
        <v>3.85</v>
      </c>
      <c r="J65" s="291">
        <v>2.71</v>
      </c>
      <c r="L65" s="349">
        <f t="shared" si="0"/>
        <v>95.5</v>
      </c>
      <c r="M65" s="349">
        <f t="shared" si="1"/>
        <v>3593</v>
      </c>
      <c r="N65" s="349"/>
      <c r="O65" s="349">
        <f t="shared" si="2"/>
        <v>268.10000000000002</v>
      </c>
      <c r="P65" s="349">
        <f t="shared" si="3"/>
        <v>3593</v>
      </c>
    </row>
    <row r="66" spans="2:16" x14ac:dyDescent="0.2">
      <c r="B66" s="353">
        <v>2016</v>
      </c>
      <c r="C66" s="291">
        <v>119.94</v>
      </c>
      <c r="D66" s="297">
        <v>3593</v>
      </c>
      <c r="E66" s="351">
        <v>95.5</v>
      </c>
      <c r="F66" s="351">
        <v>295.39999999999998</v>
      </c>
      <c r="G66" s="351">
        <v>268.10000000000002</v>
      </c>
      <c r="H66" s="297">
        <v>1174</v>
      </c>
      <c r="I66" s="291">
        <v>3.65</v>
      </c>
      <c r="J66" s="291">
        <v>2.31</v>
      </c>
      <c r="L66" s="349">
        <f t="shared" si="0"/>
        <v>97.7</v>
      </c>
      <c r="M66" s="349">
        <f t="shared" si="1"/>
        <v>3722</v>
      </c>
      <c r="N66" s="349"/>
      <c r="O66" s="349">
        <f t="shared" si="2"/>
        <v>274.8</v>
      </c>
      <c r="P66" s="349">
        <f t="shared" si="3"/>
        <v>3722</v>
      </c>
    </row>
    <row r="67" spans="2:16" x14ac:dyDescent="0.2">
      <c r="B67" s="353">
        <v>2017</v>
      </c>
      <c r="C67" s="291">
        <v>126.14</v>
      </c>
      <c r="D67" s="297">
        <v>3722</v>
      </c>
      <c r="E67" s="351">
        <v>97.7</v>
      </c>
      <c r="F67" s="351">
        <v>298.2</v>
      </c>
      <c r="G67" s="351">
        <v>274.8</v>
      </c>
      <c r="H67" s="297">
        <v>1203</v>
      </c>
      <c r="I67" s="291">
        <v>3.99</v>
      </c>
      <c r="J67" s="291">
        <v>2.65</v>
      </c>
      <c r="L67" s="349">
        <f t="shared" si="0"/>
        <v>101.2</v>
      </c>
      <c r="M67" s="349">
        <f t="shared" si="1"/>
        <v>4383</v>
      </c>
      <c r="N67" s="349"/>
      <c r="O67" s="349">
        <f t="shared" si="2"/>
        <v>290.7</v>
      </c>
      <c r="P67" s="349">
        <f t="shared" si="3"/>
        <v>4383</v>
      </c>
    </row>
    <row r="68" spans="2:16" x14ac:dyDescent="0.2">
      <c r="B68" s="353">
        <v>2018</v>
      </c>
      <c r="C68" s="291">
        <v>98.73</v>
      </c>
      <c r="D68" s="297">
        <v>4383</v>
      </c>
      <c r="E68" s="351">
        <v>101.2</v>
      </c>
      <c r="F68" s="351">
        <v>313.39999999999998</v>
      </c>
      <c r="G68" s="351">
        <v>290.7</v>
      </c>
      <c r="H68" s="297">
        <v>1250</v>
      </c>
      <c r="I68" s="291">
        <v>4.54</v>
      </c>
      <c r="J68" s="291">
        <v>3.18</v>
      </c>
      <c r="L68" s="349">
        <f t="shared" si="0"/>
        <v>105</v>
      </c>
      <c r="M68" s="349">
        <f t="shared" si="1"/>
        <v>4929</v>
      </c>
      <c r="N68" s="349"/>
      <c r="O68" s="349">
        <f t="shared" si="2"/>
        <v>290.39999999999998</v>
      </c>
      <c r="P68" s="349">
        <f t="shared" si="3"/>
        <v>4929</v>
      </c>
    </row>
    <row r="69" spans="2:16" x14ac:dyDescent="0.2">
      <c r="B69" s="353">
        <v>2019</v>
      </c>
      <c r="C69" s="291">
        <v>140.44</v>
      </c>
      <c r="D69" s="297">
        <v>4929</v>
      </c>
      <c r="E69" s="351">
        <v>105</v>
      </c>
      <c r="F69" s="351">
        <v>325.3</v>
      </c>
      <c r="G69" s="351">
        <v>290.39999999999998</v>
      </c>
      <c r="H69" s="297">
        <v>1290</v>
      </c>
      <c r="I69" s="291">
        <v>3.94</v>
      </c>
      <c r="J69" s="291">
        <v>3.06</v>
      </c>
      <c r="L69" s="349">
        <f t="shared" si="0"/>
        <v>108.2</v>
      </c>
      <c r="M69" s="349">
        <f t="shared" si="1"/>
        <v>4856</v>
      </c>
      <c r="N69" s="349"/>
      <c r="O69" s="349">
        <f t="shared" si="2"/>
        <v>277.89999999999998</v>
      </c>
      <c r="P69" s="349">
        <f t="shared" si="3"/>
        <v>4856</v>
      </c>
    </row>
    <row r="70" spans="2:16" x14ac:dyDescent="0.2">
      <c r="B70" s="353">
        <v>2020</v>
      </c>
      <c r="C70" s="291">
        <v>146.26</v>
      </c>
      <c r="D70" s="297">
        <v>4856</v>
      </c>
      <c r="E70" s="351">
        <v>108.2</v>
      </c>
      <c r="F70" s="351">
        <v>335.2</v>
      </c>
      <c r="G70" s="351">
        <v>277.89999999999998</v>
      </c>
      <c r="H70" s="297">
        <v>1380</v>
      </c>
      <c r="I70" s="291">
        <v>3.11</v>
      </c>
      <c r="J70" s="291">
        <v>2.5499999999999998</v>
      </c>
      <c r="L70" s="349">
        <f t="shared" si="0"/>
        <v>108.4</v>
      </c>
      <c r="M70" s="349">
        <f t="shared" si="1"/>
        <v>5552</v>
      </c>
      <c r="N70" s="349"/>
      <c r="O70" s="349">
        <f t="shared" si="2"/>
        <v>290.60000000000002</v>
      </c>
      <c r="P70" s="349">
        <f t="shared" si="3"/>
        <v>5552</v>
      </c>
    </row>
    <row r="71" spans="2:16" x14ac:dyDescent="0.2">
      <c r="B71" s="353">
        <v>2021</v>
      </c>
      <c r="C71" s="291">
        <v>204.79</v>
      </c>
      <c r="D71" s="297">
        <v>5552</v>
      </c>
      <c r="E71" s="351">
        <v>108.4</v>
      </c>
      <c r="F71" s="351">
        <v>342.8</v>
      </c>
      <c r="G71" s="351">
        <v>290.60000000000002</v>
      </c>
      <c r="H71" s="297">
        <v>1601</v>
      </c>
      <c r="I71" s="291">
        <v>2.96</v>
      </c>
      <c r="J71" s="291">
        <v>3.28</v>
      </c>
      <c r="L71" s="349">
        <f t="shared" si="0"/>
        <v>113.1</v>
      </c>
      <c r="M71" s="349">
        <f t="shared" si="1"/>
        <v>7315</v>
      </c>
      <c r="N71" s="349"/>
      <c r="O71" s="349">
        <f t="shared" si="2"/>
        <v>344.4</v>
      </c>
      <c r="P71" s="349">
        <f t="shared" si="3"/>
        <v>7315</v>
      </c>
    </row>
    <row r="72" spans="2:16" x14ac:dyDescent="0.2">
      <c r="B72" s="353">
        <v>2022</v>
      </c>
      <c r="C72" s="291">
        <v>173.55</v>
      </c>
      <c r="D72" s="297">
        <v>7315</v>
      </c>
      <c r="E72" s="351">
        <v>113.1</v>
      </c>
      <c r="F72" s="351">
        <v>361.8</v>
      </c>
      <c r="G72" s="351">
        <v>344.4</v>
      </c>
      <c r="H72" s="297">
        <v>1554</v>
      </c>
      <c r="I72" s="291">
        <v>5.34</v>
      </c>
      <c r="J72" s="291">
        <v>5</v>
      </c>
      <c r="L72" s="349">
        <f t="shared" si="0"/>
        <v>127.5</v>
      </c>
      <c r="M72" s="349">
        <f t="shared" si="1"/>
        <v>7782</v>
      </c>
      <c r="N72" s="349"/>
      <c r="O72" s="349">
        <f t="shared" si="2"/>
        <v>369.7</v>
      </c>
      <c r="P72" s="349">
        <f t="shared" si="3"/>
        <v>7782</v>
      </c>
    </row>
    <row r="73" spans="2:16" x14ac:dyDescent="0.2">
      <c r="B73" s="353">
        <v>2023</v>
      </c>
      <c r="C73" s="291">
        <v>223.99</v>
      </c>
      <c r="D73" s="297">
        <v>7782</v>
      </c>
      <c r="E73" s="351">
        <v>127.5</v>
      </c>
      <c r="F73" s="351">
        <v>408.7</v>
      </c>
      <c r="G73" s="351">
        <v>369.7</v>
      </c>
      <c r="H73" s="297">
        <v>1420</v>
      </c>
      <c r="I73" s="291">
        <v>6.81</v>
      </c>
      <c r="J73" s="291">
        <v>4.21</v>
      </c>
      <c r="L73" s="349">
        <f t="shared" si="0"/>
        <v>140.69999999999999</v>
      </c>
      <c r="M73" s="349">
        <f t="shared" si="1"/>
        <v>7418</v>
      </c>
      <c r="N73" s="349"/>
      <c r="O73" s="349">
        <f t="shared" si="2"/>
        <v>370.6</v>
      </c>
      <c r="P73" s="349">
        <f t="shared" si="3"/>
        <v>7418</v>
      </c>
    </row>
    <row r="74" spans="2:16" x14ac:dyDescent="0.2">
      <c r="B74" s="354">
        <v>2024</v>
      </c>
      <c r="C74" s="306">
        <v>243.17</v>
      </c>
      <c r="D74" s="312">
        <v>7418</v>
      </c>
      <c r="E74" s="352">
        <v>140.69999999999999</v>
      </c>
      <c r="F74" s="352">
        <v>498.7</v>
      </c>
      <c r="G74" s="352">
        <v>370.6</v>
      </c>
      <c r="H74" s="312">
        <v>1361</v>
      </c>
      <c r="I74" s="306">
        <v>6.72</v>
      </c>
      <c r="J74" s="306">
        <v>3.81</v>
      </c>
    </row>
    <row r="76" spans="2:16" x14ac:dyDescent="0.2">
      <c r="B76" s="322" t="s">
        <v>728</v>
      </c>
      <c r="C76" s="656"/>
      <c r="D76" s="656"/>
      <c r="E76" s="656"/>
      <c r="F76" s="657"/>
      <c r="G76" s="657"/>
      <c r="H76" s="657"/>
      <c r="I76" s="657"/>
    </row>
    <row r="77" spans="2:16" x14ac:dyDescent="0.2">
      <c r="B77" s="299" t="s">
        <v>729</v>
      </c>
      <c r="C77" s="300" t="s">
        <v>730</v>
      </c>
      <c r="D77" s="300" t="s">
        <v>731</v>
      </c>
      <c r="E77" s="300" t="s">
        <v>732</v>
      </c>
    </row>
    <row r="78" spans="2:16" x14ac:dyDescent="0.2">
      <c r="B78" s="14" t="s">
        <v>733</v>
      </c>
      <c r="C78" s="355">
        <f>CORREL(C$55:C$74,E$55:E$74)</f>
        <v>0.92813456666262983</v>
      </c>
      <c r="D78" s="355">
        <f>CORREL(D$55:D$74,E$55:E$74)</f>
        <v>0.92335920619342504</v>
      </c>
      <c r="E78" s="314">
        <f t="shared" ref="E78:E83" si="4">D78^2</f>
        <v>0.85259222366215204</v>
      </c>
    </row>
    <row r="79" spans="2:16" x14ac:dyDescent="0.2">
      <c r="B79" s="14" t="s">
        <v>734</v>
      </c>
      <c r="C79" s="355">
        <f>CORREL(C$55:C$74,F$55:F$74)</f>
        <v>0.88091601285775423</v>
      </c>
      <c r="D79" s="355">
        <f>CORREL(D$55:D$74,F$55:F$74)</f>
        <v>0.89142726201184996</v>
      </c>
      <c r="E79" s="314">
        <f t="shared" si="4"/>
        <v>0.79464256345794337</v>
      </c>
    </row>
    <row r="80" spans="2:16" x14ac:dyDescent="0.2">
      <c r="B80" s="14" t="s">
        <v>735</v>
      </c>
      <c r="C80" s="355">
        <f>CORREL(C$55:C$74,G$55:G$74)</f>
        <v>0.92464454947688746</v>
      </c>
      <c r="D80" s="355">
        <f>CORREL(D$55:D$74,G$55:G$74)</f>
        <v>0.95451986650864939</v>
      </c>
      <c r="E80" s="314">
        <f t="shared" si="4"/>
        <v>0.91110817555968981</v>
      </c>
    </row>
    <row r="81" spans="2:9" x14ac:dyDescent="0.2">
      <c r="B81" s="14" t="s">
        <v>736</v>
      </c>
      <c r="C81" s="355">
        <f>CORREL(C$55:C$74,H$55:H$74)</f>
        <v>0.51990266802664786</v>
      </c>
      <c r="D81" s="355">
        <f>CORREL(D$55:D$74,H$55:H$74)</f>
        <v>0.49152310286088902</v>
      </c>
      <c r="E81" s="314">
        <f t="shared" si="4"/>
        <v>0.24159496064599609</v>
      </c>
    </row>
    <row r="82" spans="2:9" x14ac:dyDescent="0.2">
      <c r="B82" s="14" t="s">
        <v>737</v>
      </c>
      <c r="C82" s="355">
        <f>CORREL(C$55:C$74,I$55:I$74)</f>
        <v>0.12285199732962254</v>
      </c>
      <c r="D82" s="355">
        <f>CORREL(D$55:D$74,I$55:I$74)</f>
        <v>0.3081376650524732</v>
      </c>
      <c r="E82" s="314">
        <f t="shared" si="4"/>
        <v>9.4948820623990168E-2</v>
      </c>
    </row>
    <row r="83" spans="2:9" x14ac:dyDescent="0.2">
      <c r="B83" s="264" t="s">
        <v>738</v>
      </c>
      <c r="C83" s="356">
        <f>CORREL(C$55:C$74,J$55:J$74)</f>
        <v>0.24768209202038222</v>
      </c>
      <c r="D83" s="356">
        <f>CORREL(D$55:D$74,J$55:J$74)</f>
        <v>0.44889531089995216</v>
      </c>
      <c r="E83" s="328">
        <f t="shared" si="4"/>
        <v>0.20150700014796472</v>
      </c>
    </row>
    <row r="85" spans="2:9" x14ac:dyDescent="0.2">
      <c r="B85" s="336" t="s">
        <v>739</v>
      </c>
      <c r="C85" s="650"/>
      <c r="D85" s="650"/>
      <c r="E85" s="650"/>
      <c r="F85" s="650"/>
      <c r="G85" s="650"/>
      <c r="H85" s="650"/>
      <c r="I85" s="651"/>
    </row>
    <row r="86" spans="2:9" x14ac:dyDescent="0.2">
      <c r="B86" s="299" t="s">
        <v>740</v>
      </c>
      <c r="C86" s="300" t="s">
        <v>672</v>
      </c>
      <c r="D86" s="300" t="s">
        <v>741</v>
      </c>
      <c r="E86" s="300" t="s">
        <v>742</v>
      </c>
      <c r="F86" s="300" t="s">
        <v>736</v>
      </c>
      <c r="G86" s="300" t="s">
        <v>743</v>
      </c>
      <c r="H86" s="300" t="s">
        <v>744</v>
      </c>
    </row>
    <row r="87" spans="2:9" x14ac:dyDescent="0.2">
      <c r="B87" s="14" t="s">
        <v>745</v>
      </c>
      <c r="C87" s="361" t="s">
        <v>746</v>
      </c>
      <c r="D87" s="284" t="s">
        <v>747</v>
      </c>
      <c r="E87" s="284" t="s">
        <v>748</v>
      </c>
      <c r="F87" s="284" t="s">
        <v>749</v>
      </c>
      <c r="G87" s="284" t="s">
        <v>750</v>
      </c>
      <c r="H87" s="284" t="s">
        <v>751</v>
      </c>
    </row>
    <row r="88" spans="2:9" x14ac:dyDescent="0.2">
      <c r="B88" s="14" t="s">
        <v>752</v>
      </c>
      <c r="C88" s="362">
        <v>0.35</v>
      </c>
      <c r="D88" s="284" t="s">
        <v>753</v>
      </c>
      <c r="E88" s="284" t="s">
        <v>754</v>
      </c>
      <c r="F88" s="284" t="s">
        <v>755</v>
      </c>
      <c r="G88" s="284" t="s">
        <v>756</v>
      </c>
      <c r="H88" s="284" t="s">
        <v>544</v>
      </c>
    </row>
    <row r="89" spans="2:9" x14ac:dyDescent="0.2">
      <c r="B89" s="14" t="s">
        <v>757</v>
      </c>
      <c r="C89" s="363">
        <v>0.2</v>
      </c>
      <c r="D89" s="284" t="s">
        <v>758</v>
      </c>
      <c r="E89" s="284" t="s">
        <v>759</v>
      </c>
      <c r="F89" s="284" t="s">
        <v>760</v>
      </c>
      <c r="G89" s="284" t="s">
        <v>761</v>
      </c>
      <c r="H89" s="284" t="s">
        <v>462</v>
      </c>
    </row>
    <row r="90" spans="2:9" x14ac:dyDescent="0.2">
      <c r="B90" s="264" t="s">
        <v>762</v>
      </c>
      <c r="C90" s="364">
        <v>0.05</v>
      </c>
      <c r="D90" s="303" t="s">
        <v>763</v>
      </c>
      <c r="E90" s="303" t="s">
        <v>764</v>
      </c>
      <c r="F90" s="303" t="s">
        <v>765</v>
      </c>
      <c r="G90" s="303" t="s">
        <v>766</v>
      </c>
      <c r="H90" s="303" t="s">
        <v>462</v>
      </c>
    </row>
    <row r="91" spans="2:9" x14ac:dyDescent="0.2">
      <c r="B91" s="14" t="s">
        <v>767</v>
      </c>
    </row>
    <row r="92" spans="2:9" x14ac:dyDescent="0.2">
      <c r="B92" s="658" t="s">
        <v>768</v>
      </c>
    </row>
    <row r="93" spans="2:9" x14ac:dyDescent="0.2">
      <c r="B93" s="658" t="s">
        <v>769</v>
      </c>
    </row>
    <row r="94" spans="2:9" x14ac:dyDescent="0.2">
      <c r="B94" s="346" t="s">
        <v>770</v>
      </c>
    </row>
    <row r="95" spans="2:9" x14ac:dyDescent="0.2">
      <c r="B95" s="346" t="s">
        <v>771</v>
      </c>
    </row>
    <row r="97" spans="2:10" x14ac:dyDescent="0.2">
      <c r="B97" s="336" t="s">
        <v>772</v>
      </c>
      <c r="C97" s="650"/>
      <c r="D97" s="650"/>
      <c r="E97" s="650"/>
      <c r="F97" s="650"/>
      <c r="G97" s="650"/>
      <c r="H97" s="651"/>
      <c r="I97" s="651"/>
    </row>
    <row r="98" spans="2:10" x14ac:dyDescent="0.2">
      <c r="B98" s="299" t="s">
        <v>773</v>
      </c>
      <c r="C98" s="300" t="s">
        <v>774</v>
      </c>
      <c r="D98" s="300" t="s">
        <v>775</v>
      </c>
      <c r="E98" s="300" t="s">
        <v>776</v>
      </c>
      <c r="F98" s="300" t="s">
        <v>777</v>
      </c>
      <c r="G98" s="300" t="s">
        <v>778</v>
      </c>
    </row>
    <row r="99" spans="2:10" x14ac:dyDescent="0.2">
      <c r="B99" s="14" t="s">
        <v>779</v>
      </c>
      <c r="C99" s="357" t="s">
        <v>780</v>
      </c>
      <c r="D99" s="346" t="s">
        <v>781</v>
      </c>
      <c r="E99" s="284" t="s">
        <v>782</v>
      </c>
      <c r="F99" s="284" t="s">
        <v>783</v>
      </c>
      <c r="G99" s="346" t="s">
        <v>784</v>
      </c>
    </row>
    <row r="100" spans="2:10" x14ac:dyDescent="0.2">
      <c r="B100" s="14" t="s">
        <v>785</v>
      </c>
      <c r="C100" s="357" t="s">
        <v>780</v>
      </c>
      <c r="D100" s="346" t="s">
        <v>786</v>
      </c>
      <c r="E100" s="284" t="s">
        <v>787</v>
      </c>
      <c r="F100" s="284" t="s">
        <v>783</v>
      </c>
      <c r="G100" s="346" t="s">
        <v>788</v>
      </c>
    </row>
    <row r="101" spans="2:10" x14ac:dyDescent="0.2">
      <c r="B101" s="14" t="s">
        <v>736</v>
      </c>
      <c r="C101" s="358" t="s">
        <v>347</v>
      </c>
      <c r="D101" s="346" t="s">
        <v>789</v>
      </c>
      <c r="E101" s="284" t="s">
        <v>790</v>
      </c>
      <c r="F101" s="284" t="s">
        <v>783</v>
      </c>
      <c r="G101" s="346" t="s">
        <v>791</v>
      </c>
    </row>
    <row r="102" spans="2:10" x14ac:dyDescent="0.2">
      <c r="B102" s="14" t="s">
        <v>792</v>
      </c>
      <c r="C102" s="359" t="s">
        <v>337</v>
      </c>
      <c r="D102" s="346" t="s">
        <v>793</v>
      </c>
      <c r="E102" s="284" t="s">
        <v>794</v>
      </c>
      <c r="F102" s="284" t="s">
        <v>795</v>
      </c>
      <c r="G102" s="346" t="s">
        <v>796</v>
      </c>
    </row>
    <row r="103" spans="2:10" x14ac:dyDescent="0.2">
      <c r="B103" s="14" t="s">
        <v>797</v>
      </c>
      <c r="C103" s="359" t="s">
        <v>798</v>
      </c>
      <c r="D103" s="346" t="s">
        <v>799</v>
      </c>
      <c r="E103" s="284" t="s">
        <v>696</v>
      </c>
      <c r="F103" s="284" t="s">
        <v>795</v>
      </c>
      <c r="G103" s="346" t="s">
        <v>800</v>
      </c>
    </row>
    <row r="104" spans="2:10" x14ac:dyDescent="0.2">
      <c r="B104" s="264" t="s">
        <v>801</v>
      </c>
      <c r="C104" s="360" t="s">
        <v>347</v>
      </c>
      <c r="D104" s="563" t="s">
        <v>802</v>
      </c>
      <c r="E104" s="303" t="s">
        <v>803</v>
      </c>
      <c r="F104" s="303" t="s">
        <v>783</v>
      </c>
      <c r="G104" s="563" t="s">
        <v>804</v>
      </c>
    </row>
    <row r="106" spans="2:10" x14ac:dyDescent="0.2">
      <c r="B106" s="299" t="s">
        <v>805</v>
      </c>
      <c r="C106" s="657"/>
      <c r="D106" s="657"/>
      <c r="E106" s="657"/>
      <c r="F106" s="657"/>
      <c r="G106" s="657"/>
      <c r="H106" s="657"/>
      <c r="I106" s="657"/>
    </row>
    <row r="107" spans="2:10" x14ac:dyDescent="0.2">
      <c r="B107" s="658" t="s">
        <v>806</v>
      </c>
    </row>
    <row r="109" spans="2:10" x14ac:dyDescent="0.2">
      <c r="B109" s="411" t="s">
        <v>807</v>
      </c>
    </row>
    <row r="110" spans="2:10" x14ac:dyDescent="0.2">
      <c r="B110" s="659" t="s">
        <v>2</v>
      </c>
      <c r="C110" s="659" t="s">
        <v>808</v>
      </c>
      <c r="D110" s="659" t="s">
        <v>809</v>
      </c>
      <c r="E110" s="659" t="s">
        <v>810</v>
      </c>
      <c r="F110" s="659" t="s">
        <v>811</v>
      </c>
      <c r="G110" s="659" t="s">
        <v>742</v>
      </c>
      <c r="H110" s="659" t="s">
        <v>812</v>
      </c>
      <c r="I110" s="659" t="s">
        <v>813</v>
      </c>
      <c r="J110" s="659" t="s">
        <v>814</v>
      </c>
    </row>
    <row r="111" spans="2:10" x14ac:dyDescent="0.2">
      <c r="B111" s="412">
        <f t="shared" ref="B111:B130" si="5">B55</f>
        <v>2005</v>
      </c>
      <c r="C111" s="408">
        <f t="shared" ref="C111:J120" si="6">C55/C$55*100</f>
        <v>100</v>
      </c>
      <c r="D111" s="408">
        <f t="shared" si="6"/>
        <v>100</v>
      </c>
      <c r="E111" s="408">
        <f t="shared" si="6"/>
        <v>100</v>
      </c>
      <c r="F111" s="408">
        <f t="shared" si="6"/>
        <v>100</v>
      </c>
      <c r="G111" s="408">
        <f t="shared" si="6"/>
        <v>100</v>
      </c>
      <c r="H111" s="408">
        <f t="shared" si="6"/>
        <v>100</v>
      </c>
      <c r="I111" s="408">
        <f t="shared" si="6"/>
        <v>100</v>
      </c>
      <c r="J111" s="408">
        <f t="shared" si="6"/>
        <v>100</v>
      </c>
    </row>
    <row r="112" spans="2:10" x14ac:dyDescent="0.2">
      <c r="B112" s="412">
        <f t="shared" si="5"/>
        <v>2006</v>
      </c>
      <c r="C112" s="408">
        <f t="shared" si="6"/>
        <v>119.65014577259477</v>
      </c>
      <c r="D112" s="408">
        <f t="shared" si="6"/>
        <v>106.87559961624559</v>
      </c>
      <c r="E112" s="408">
        <f t="shared" si="6"/>
        <v>108.02721088435374</v>
      </c>
      <c r="F112" s="408">
        <f t="shared" si="6"/>
        <v>109.78351373855119</v>
      </c>
      <c r="G112" s="408">
        <f t="shared" si="6"/>
        <v>112.60770975056691</v>
      </c>
      <c r="H112" s="408">
        <f t="shared" si="6"/>
        <v>87.088974854932303</v>
      </c>
      <c r="I112" s="408">
        <f t="shared" si="6"/>
        <v>109.1993185689949</v>
      </c>
      <c r="J112" s="408">
        <f t="shared" si="6"/>
        <v>112.91666666666667</v>
      </c>
    </row>
    <row r="113" spans="2:10" x14ac:dyDescent="0.2">
      <c r="B113" s="412">
        <f t="shared" si="5"/>
        <v>2007</v>
      </c>
      <c r="C113" s="408">
        <f t="shared" si="6"/>
        <v>107.01166180758017</v>
      </c>
      <c r="D113" s="408">
        <f t="shared" si="6"/>
        <v>106.42788615286216</v>
      </c>
      <c r="E113" s="408">
        <f t="shared" si="6"/>
        <v>112.9251700680272</v>
      </c>
      <c r="F113" s="408">
        <f t="shared" si="6"/>
        <v>116.23646960865945</v>
      </c>
      <c r="G113" s="408">
        <f t="shared" si="6"/>
        <v>117.09750566893425</v>
      </c>
      <c r="H113" s="408">
        <f t="shared" si="6"/>
        <v>65.522243713733076</v>
      </c>
      <c r="I113" s="408">
        <f t="shared" si="6"/>
        <v>108.0068143100511</v>
      </c>
      <c r="J113" s="408">
        <f t="shared" si="6"/>
        <v>120</v>
      </c>
    </row>
    <row r="114" spans="2:10" x14ac:dyDescent="0.2">
      <c r="B114" s="412">
        <f t="shared" si="5"/>
        <v>2008</v>
      </c>
      <c r="C114" s="408">
        <f t="shared" si="6"/>
        <v>73.994169096209916</v>
      </c>
      <c r="D114" s="408">
        <f t="shared" si="6"/>
        <v>110.42532779021425</v>
      </c>
      <c r="E114" s="408">
        <f t="shared" si="6"/>
        <v>118.63945578231292</v>
      </c>
      <c r="F114" s="408">
        <f t="shared" si="6"/>
        <v>121.14904246461282</v>
      </c>
      <c r="G114" s="408">
        <f t="shared" si="6"/>
        <v>112.51700680272107</v>
      </c>
      <c r="H114" s="408">
        <f t="shared" si="6"/>
        <v>43.810444874274665</v>
      </c>
      <c r="I114" s="408">
        <f t="shared" si="6"/>
        <v>102.72572402044293</v>
      </c>
      <c r="J114" s="408">
        <f t="shared" si="6"/>
        <v>158.33333333333331</v>
      </c>
    </row>
    <row r="115" spans="2:10" x14ac:dyDescent="0.2">
      <c r="B115" s="412">
        <f t="shared" si="5"/>
        <v>2009</v>
      </c>
      <c r="C115" s="408">
        <f t="shared" si="6"/>
        <v>62.755102040816325</v>
      </c>
      <c r="D115" s="408">
        <f t="shared" si="6"/>
        <v>81.387911736488647</v>
      </c>
      <c r="E115" s="408">
        <f t="shared" si="6"/>
        <v>117.68707482993197</v>
      </c>
      <c r="F115" s="408">
        <f t="shared" si="6"/>
        <v>123.8134887593672</v>
      </c>
      <c r="G115" s="408">
        <f t="shared" si="6"/>
        <v>88.752834467120181</v>
      </c>
      <c r="H115" s="408">
        <f t="shared" si="6"/>
        <v>26.789168278529978</v>
      </c>
      <c r="I115" s="408">
        <f t="shared" si="6"/>
        <v>85.860306643952299</v>
      </c>
      <c r="J115" s="408">
        <f t="shared" si="6"/>
        <v>102.91666666666669</v>
      </c>
    </row>
    <row r="116" spans="2:10" x14ac:dyDescent="0.2">
      <c r="B116" s="412">
        <f t="shared" si="5"/>
        <v>2010</v>
      </c>
      <c r="C116" s="408">
        <f t="shared" si="6"/>
        <v>57.813411078717202</v>
      </c>
      <c r="D116" s="408">
        <f t="shared" si="6"/>
        <v>76.974736168851933</v>
      </c>
      <c r="E116" s="408">
        <f t="shared" si="6"/>
        <v>118.0952380952381</v>
      </c>
      <c r="F116" s="408">
        <f t="shared" si="6"/>
        <v>116.94421315570358</v>
      </c>
      <c r="G116" s="408">
        <f t="shared" si="6"/>
        <v>84.399092970521536</v>
      </c>
      <c r="H116" s="408">
        <f t="shared" si="6"/>
        <v>28.384912959381044</v>
      </c>
      <c r="I116" s="408">
        <f t="shared" si="6"/>
        <v>79.897785349233402</v>
      </c>
      <c r="J116" s="408">
        <f t="shared" si="6"/>
        <v>124.58333333333336</v>
      </c>
    </row>
    <row r="117" spans="2:10" x14ac:dyDescent="0.2">
      <c r="B117" s="412">
        <f t="shared" si="5"/>
        <v>2011</v>
      </c>
      <c r="C117" s="408">
        <f t="shared" si="6"/>
        <v>51.690962099125372</v>
      </c>
      <c r="D117" s="408">
        <f t="shared" si="6"/>
        <v>77.454429165334176</v>
      </c>
      <c r="E117" s="408">
        <f t="shared" si="6"/>
        <v>108.29931972789115</v>
      </c>
      <c r="F117" s="408">
        <f t="shared" si="6"/>
        <v>107.91007493755205</v>
      </c>
      <c r="G117" s="408">
        <f t="shared" si="6"/>
        <v>89.070294784580511</v>
      </c>
      <c r="H117" s="408">
        <f t="shared" si="6"/>
        <v>29.448742746615086</v>
      </c>
      <c r="I117" s="408">
        <f t="shared" si="6"/>
        <v>75.809199318569</v>
      </c>
      <c r="J117" s="408">
        <f t="shared" si="6"/>
        <v>160</v>
      </c>
    </row>
    <row r="118" spans="2:10" x14ac:dyDescent="0.2">
      <c r="B118" s="412">
        <f t="shared" si="5"/>
        <v>2012</v>
      </c>
      <c r="C118" s="408">
        <f t="shared" si="6"/>
        <v>78.192419825072889</v>
      </c>
      <c r="D118" s="408">
        <f t="shared" si="6"/>
        <v>82.731052126638943</v>
      </c>
      <c r="E118" s="408">
        <f t="shared" si="6"/>
        <v>107.07482993197279</v>
      </c>
      <c r="F118" s="408">
        <f t="shared" si="6"/>
        <v>108.49292256452958</v>
      </c>
      <c r="G118" s="408">
        <f t="shared" si="6"/>
        <v>96.417233560090693</v>
      </c>
      <c r="H118" s="408">
        <f t="shared" si="6"/>
        <v>37.765957446808514</v>
      </c>
      <c r="I118" s="408">
        <f t="shared" si="6"/>
        <v>62.35093696763203</v>
      </c>
      <c r="J118" s="408">
        <f t="shared" si="6"/>
        <v>165.41666666666669</v>
      </c>
    </row>
    <row r="119" spans="2:10" x14ac:dyDescent="0.2">
      <c r="B119" s="412">
        <f t="shared" si="5"/>
        <v>2013</v>
      </c>
      <c r="C119" s="408">
        <f t="shared" si="6"/>
        <v>91.45772594752188</v>
      </c>
      <c r="D119" s="408">
        <f t="shared" si="6"/>
        <v>86.152862168212337</v>
      </c>
      <c r="E119" s="408">
        <f t="shared" si="6"/>
        <v>111.29251700680271</v>
      </c>
      <c r="F119" s="408">
        <f t="shared" si="6"/>
        <v>109.20066611157371</v>
      </c>
      <c r="G119" s="408">
        <f t="shared" si="6"/>
        <v>103.99092970521542</v>
      </c>
      <c r="H119" s="408">
        <f t="shared" si="6"/>
        <v>44.729206963249517</v>
      </c>
      <c r="I119" s="408">
        <f t="shared" si="6"/>
        <v>67.802385008517888</v>
      </c>
      <c r="J119" s="408">
        <f t="shared" si="6"/>
        <v>163.33333333333334</v>
      </c>
    </row>
    <row r="120" spans="2:10" x14ac:dyDescent="0.2">
      <c r="B120" s="412">
        <f t="shared" si="5"/>
        <v>2014</v>
      </c>
      <c r="C120" s="408">
        <f t="shared" si="6"/>
        <v>94.344023323615161</v>
      </c>
      <c r="D120" s="408">
        <f t="shared" si="6"/>
        <v>94.851295171090499</v>
      </c>
      <c r="E120" s="408">
        <f t="shared" si="6"/>
        <v>119.04761904761905</v>
      </c>
      <c r="F120" s="408">
        <f t="shared" si="6"/>
        <v>114.11323896752708</v>
      </c>
      <c r="G120" s="408">
        <f t="shared" si="6"/>
        <v>110.52154195011337</v>
      </c>
      <c r="H120" s="408">
        <f t="shared" si="6"/>
        <v>48.500967117988395</v>
      </c>
      <c r="I120" s="408">
        <f t="shared" si="6"/>
        <v>71.03918228279386</v>
      </c>
      <c r="J120" s="408">
        <f t="shared" si="6"/>
        <v>159.58333333333334</v>
      </c>
    </row>
    <row r="121" spans="2:10" x14ac:dyDescent="0.2">
      <c r="B121" s="412">
        <f t="shared" si="5"/>
        <v>2015</v>
      </c>
      <c r="C121" s="408">
        <f t="shared" ref="C121:J130" si="7">C65/C$55*100</f>
        <v>137.72594752186592</v>
      </c>
      <c r="D121" s="408">
        <f t="shared" si="7"/>
        <v>104.66901183242724</v>
      </c>
      <c r="E121" s="408">
        <f t="shared" si="7"/>
        <v>124.21768707482993</v>
      </c>
      <c r="F121" s="408">
        <f t="shared" si="7"/>
        <v>118.40133222314736</v>
      </c>
      <c r="G121" s="408">
        <f t="shared" si="7"/>
        <v>118.82086167800455</v>
      </c>
      <c r="H121" s="408">
        <f t="shared" si="7"/>
        <v>53.771760154738878</v>
      </c>
      <c r="I121" s="408">
        <f t="shared" si="7"/>
        <v>65.587734241908009</v>
      </c>
      <c r="J121" s="408">
        <f t="shared" si="7"/>
        <v>112.91666666666667</v>
      </c>
    </row>
    <row r="122" spans="2:10" x14ac:dyDescent="0.2">
      <c r="B122" s="412">
        <f t="shared" si="5"/>
        <v>2016</v>
      </c>
      <c r="C122" s="408">
        <f t="shared" si="7"/>
        <v>174.83965014577259</v>
      </c>
      <c r="D122" s="408">
        <f t="shared" si="7"/>
        <v>114.90246242404861</v>
      </c>
      <c r="E122" s="408">
        <f t="shared" si="7"/>
        <v>129.93197278911566</v>
      </c>
      <c r="F122" s="408">
        <f t="shared" si="7"/>
        <v>122.98084929225645</v>
      </c>
      <c r="G122" s="408">
        <f t="shared" si="7"/>
        <v>121.5873015873016</v>
      </c>
      <c r="H122" s="408">
        <f t="shared" si="7"/>
        <v>56.769825918762088</v>
      </c>
      <c r="I122" s="408">
        <f t="shared" si="7"/>
        <v>62.180579216354339</v>
      </c>
      <c r="J122" s="408">
        <f t="shared" si="7"/>
        <v>96.25</v>
      </c>
    </row>
    <row r="123" spans="2:10" x14ac:dyDescent="0.2">
      <c r="B123" s="412">
        <f t="shared" si="5"/>
        <v>2017</v>
      </c>
      <c r="C123" s="408">
        <f t="shared" si="7"/>
        <v>183.87755102040816</v>
      </c>
      <c r="D123" s="408">
        <f t="shared" si="7"/>
        <v>119.02782219379597</v>
      </c>
      <c r="E123" s="408">
        <f t="shared" si="7"/>
        <v>132.92517006802723</v>
      </c>
      <c r="F123" s="408">
        <f t="shared" si="7"/>
        <v>124.1465445462115</v>
      </c>
      <c r="G123" s="408">
        <f t="shared" si="7"/>
        <v>124.62585034013607</v>
      </c>
      <c r="H123" s="408">
        <f t="shared" si="7"/>
        <v>58.172147001934235</v>
      </c>
      <c r="I123" s="408">
        <f t="shared" si="7"/>
        <v>67.972742759795565</v>
      </c>
      <c r="J123" s="408">
        <f t="shared" si="7"/>
        <v>110.41666666666667</v>
      </c>
    </row>
    <row r="124" spans="2:10" x14ac:dyDescent="0.2">
      <c r="B124" s="412">
        <f t="shared" si="5"/>
        <v>2018</v>
      </c>
      <c r="C124" s="408">
        <f t="shared" si="7"/>
        <v>143.92128279883383</v>
      </c>
      <c r="D124" s="408">
        <f t="shared" si="7"/>
        <v>140.16629357211386</v>
      </c>
      <c r="E124" s="408">
        <f t="shared" si="7"/>
        <v>137.68707482993196</v>
      </c>
      <c r="F124" s="408">
        <f t="shared" si="7"/>
        <v>130.47460449625311</v>
      </c>
      <c r="G124" s="408">
        <f t="shared" si="7"/>
        <v>131.83673469387756</v>
      </c>
      <c r="H124" s="408">
        <f t="shared" si="7"/>
        <v>60.444874274661508</v>
      </c>
      <c r="I124" s="408">
        <f t="shared" si="7"/>
        <v>77.342419080068154</v>
      </c>
      <c r="J124" s="408">
        <f t="shared" si="7"/>
        <v>132.50000000000003</v>
      </c>
    </row>
    <row r="125" spans="2:10" x14ac:dyDescent="0.2">
      <c r="B125" s="412">
        <f t="shared" si="5"/>
        <v>2019</v>
      </c>
      <c r="C125" s="408">
        <f t="shared" si="7"/>
        <v>204.72303206997086</v>
      </c>
      <c r="D125" s="408">
        <f t="shared" si="7"/>
        <v>157.62711864406779</v>
      </c>
      <c r="E125" s="408">
        <f t="shared" si="7"/>
        <v>142.85714285714286</v>
      </c>
      <c r="F125" s="408">
        <f t="shared" si="7"/>
        <v>135.42880932556204</v>
      </c>
      <c r="G125" s="408">
        <f t="shared" si="7"/>
        <v>131.70068027210883</v>
      </c>
      <c r="H125" s="408">
        <f t="shared" si="7"/>
        <v>62.379110251450676</v>
      </c>
      <c r="I125" s="408">
        <f t="shared" si="7"/>
        <v>67.120954003407149</v>
      </c>
      <c r="J125" s="408">
        <f t="shared" si="7"/>
        <v>127.50000000000001</v>
      </c>
    </row>
    <row r="126" spans="2:10" x14ac:dyDescent="0.2">
      <c r="B126" s="412">
        <f t="shared" si="5"/>
        <v>2020</v>
      </c>
      <c r="C126" s="408">
        <f t="shared" si="7"/>
        <v>213.20699708454808</v>
      </c>
      <c r="D126" s="408">
        <f t="shared" si="7"/>
        <v>155.29261272785416</v>
      </c>
      <c r="E126" s="408">
        <f t="shared" si="7"/>
        <v>147.21088435374151</v>
      </c>
      <c r="F126" s="408">
        <f t="shared" si="7"/>
        <v>139.55037468776018</v>
      </c>
      <c r="G126" s="408">
        <f t="shared" si="7"/>
        <v>126.03174603174602</v>
      </c>
      <c r="H126" s="408">
        <f t="shared" si="7"/>
        <v>66.7311411992263</v>
      </c>
      <c r="I126" s="408">
        <f t="shared" si="7"/>
        <v>52.981260647359449</v>
      </c>
      <c r="J126" s="408">
        <f t="shared" si="7"/>
        <v>106.25</v>
      </c>
    </row>
    <row r="127" spans="2:10" x14ac:dyDescent="0.2">
      <c r="B127" s="412">
        <f t="shared" si="5"/>
        <v>2021</v>
      </c>
      <c r="C127" s="408">
        <f t="shared" si="7"/>
        <v>298.52769679300292</v>
      </c>
      <c r="D127" s="408">
        <f t="shared" si="7"/>
        <v>177.55036776463064</v>
      </c>
      <c r="E127" s="408">
        <f t="shared" si="7"/>
        <v>147.48299319727892</v>
      </c>
      <c r="F127" s="408">
        <f t="shared" si="7"/>
        <v>142.71440466278102</v>
      </c>
      <c r="G127" s="408">
        <f t="shared" si="7"/>
        <v>131.79138321995464</v>
      </c>
      <c r="H127" s="408">
        <f t="shared" si="7"/>
        <v>77.417794970986463</v>
      </c>
      <c r="I127" s="408">
        <f t="shared" si="7"/>
        <v>50.425894378194201</v>
      </c>
      <c r="J127" s="408">
        <f t="shared" si="7"/>
        <v>136.66666666666666</v>
      </c>
    </row>
    <row r="128" spans="2:10" x14ac:dyDescent="0.2">
      <c r="B128" s="412">
        <f t="shared" si="5"/>
        <v>2022</v>
      </c>
      <c r="C128" s="408">
        <f t="shared" si="7"/>
        <v>252.98833819241989</v>
      </c>
      <c r="D128" s="408">
        <f t="shared" si="7"/>
        <v>233.93028461784459</v>
      </c>
      <c r="E128" s="408">
        <f t="shared" si="7"/>
        <v>153.87755102040816</v>
      </c>
      <c r="F128" s="408">
        <f t="shared" si="7"/>
        <v>150.62447960033307</v>
      </c>
      <c r="G128" s="408">
        <f t="shared" si="7"/>
        <v>156.1904761904762</v>
      </c>
      <c r="H128" s="408">
        <f t="shared" si="7"/>
        <v>75.145067698259183</v>
      </c>
      <c r="I128" s="408">
        <f t="shared" si="7"/>
        <v>90.97103918228278</v>
      </c>
      <c r="J128" s="408">
        <f t="shared" si="7"/>
        <v>208.33333333333334</v>
      </c>
    </row>
    <row r="129" spans="2:10" x14ac:dyDescent="0.2">
      <c r="B129" s="412">
        <f t="shared" si="5"/>
        <v>2023</v>
      </c>
      <c r="C129" s="408">
        <f t="shared" si="7"/>
        <v>326.51603498542278</v>
      </c>
      <c r="D129" s="408">
        <f t="shared" si="7"/>
        <v>248.86472657499201</v>
      </c>
      <c r="E129" s="408">
        <f t="shared" si="7"/>
        <v>173.46938775510205</v>
      </c>
      <c r="F129" s="408">
        <f t="shared" si="7"/>
        <v>170.14987510407994</v>
      </c>
      <c r="G129" s="408">
        <f t="shared" si="7"/>
        <v>167.66439909297051</v>
      </c>
      <c r="H129" s="408">
        <f t="shared" si="7"/>
        <v>68.665377176015468</v>
      </c>
      <c r="I129" s="408">
        <f t="shared" si="7"/>
        <v>116.01362862010221</v>
      </c>
      <c r="J129" s="408">
        <f t="shared" si="7"/>
        <v>175.41666666666666</v>
      </c>
    </row>
    <row r="130" spans="2:10" x14ac:dyDescent="0.2">
      <c r="B130" s="413">
        <f t="shared" si="5"/>
        <v>2024</v>
      </c>
      <c r="C130" s="409">
        <f t="shared" si="7"/>
        <v>354.47521865889217</v>
      </c>
      <c r="D130" s="409">
        <f t="shared" si="7"/>
        <v>237.22417652702271</v>
      </c>
      <c r="E130" s="409">
        <f t="shared" si="7"/>
        <v>191.42857142857142</v>
      </c>
      <c r="F130" s="409">
        <f t="shared" si="7"/>
        <v>207.61865112406329</v>
      </c>
      <c r="G130" s="409">
        <f t="shared" si="7"/>
        <v>168.07256235827666</v>
      </c>
      <c r="H130" s="409">
        <f t="shared" si="7"/>
        <v>65.812379110251456</v>
      </c>
      <c r="I130" s="409">
        <f t="shared" si="7"/>
        <v>114.48040885860307</v>
      </c>
      <c r="J130" s="409">
        <f t="shared" si="7"/>
        <v>158.75</v>
      </c>
    </row>
  </sheetData>
  <mergeCells count="17">
    <mergeCell ref="F41:G41"/>
    <mergeCell ref="G30:I30"/>
    <mergeCell ref="F40:G40"/>
    <mergeCell ref="C28:D28"/>
    <mergeCell ref="F36:G36"/>
    <mergeCell ref="G29:I29"/>
    <mergeCell ref="C31:D31"/>
    <mergeCell ref="G28:I28"/>
    <mergeCell ref="F38:G38"/>
    <mergeCell ref="C32:D32"/>
    <mergeCell ref="B1:I1"/>
    <mergeCell ref="G31:I31"/>
    <mergeCell ref="F37:G37"/>
    <mergeCell ref="F39:G39"/>
    <mergeCell ref="G32:I32"/>
    <mergeCell ref="C29:D29"/>
    <mergeCell ref="C30:D30"/>
  </mergeCells>
  <conditionalFormatting sqref="C78:D83">
    <cfRule type="cellIs" dxfId="2" priority="1" operator="greaterThanOrEqual">
      <formula>0.8</formula>
    </cfRule>
    <cfRule type="cellIs" dxfId="1" priority="2" operator="between">
      <formula>0.5</formula>
      <formula>0.8</formula>
    </cfRule>
    <cfRule type="cellIs" dxfId="0" priority="3" operator="lessThan">
      <formula>0.5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B1:K84"/>
  <sheetViews>
    <sheetView showGridLines="0" topLeftCell="A20" zoomScale="110" zoomScaleNormal="110" workbookViewId="0">
      <selection activeCell="H36" sqref="H36"/>
    </sheetView>
  </sheetViews>
  <sheetFormatPr baseColWidth="10" defaultRowHeight="16" x14ac:dyDescent="0.2"/>
  <cols>
    <col min="1" max="1" width="10.83203125" style="4"/>
    <col min="2" max="2" width="22.6640625" style="4" customWidth="1"/>
    <col min="3" max="3" width="12.5" style="4" bestFit="1" customWidth="1"/>
    <col min="4" max="4" width="12.6640625" style="4" customWidth="1"/>
    <col min="5" max="5" width="13.5" style="4" bestFit="1" customWidth="1"/>
    <col min="6" max="7" width="10.83203125" style="4"/>
    <col min="8" max="8" width="15" style="4" customWidth="1"/>
    <col min="9" max="16384" width="10.83203125" style="4"/>
  </cols>
  <sheetData>
    <row r="1" spans="2:9" x14ac:dyDescent="0.2">
      <c r="B1" s="462" t="s">
        <v>815</v>
      </c>
    </row>
    <row r="2" spans="2:9" x14ac:dyDescent="0.2">
      <c r="B2" s="530" t="s">
        <v>816</v>
      </c>
      <c r="C2" s="531"/>
      <c r="D2" s="532"/>
      <c r="E2" s="533"/>
      <c r="F2" s="534"/>
      <c r="G2" s="534"/>
      <c r="H2" s="534"/>
      <c r="I2" s="534"/>
    </row>
    <row r="3" spans="2:9" x14ac:dyDescent="0.2">
      <c r="B3" s="535" t="s">
        <v>817</v>
      </c>
      <c r="C3" s="535" t="s">
        <v>818</v>
      </c>
      <c r="D3" s="536" t="s">
        <v>819</v>
      </c>
      <c r="E3" s="507"/>
      <c r="F3" s="46"/>
      <c r="G3" s="46"/>
      <c r="H3" s="46"/>
      <c r="I3" s="46"/>
    </row>
    <row r="4" spans="2:9" x14ac:dyDescent="0.2">
      <c r="B4" s="417" t="s">
        <v>820</v>
      </c>
      <c r="C4" s="537" t="s">
        <v>821</v>
      </c>
      <c r="D4" s="538" t="s">
        <v>822</v>
      </c>
      <c r="E4" s="538"/>
      <c r="F4" s="538"/>
      <c r="G4" s="538"/>
      <c r="H4" s="538"/>
      <c r="I4" s="46"/>
    </row>
    <row r="5" spans="2:9" x14ac:dyDescent="0.2">
      <c r="B5" s="417" t="s">
        <v>823</v>
      </c>
      <c r="C5" s="539" t="s">
        <v>824</v>
      </c>
      <c r="D5" s="538" t="s">
        <v>825</v>
      </c>
      <c r="E5" s="538"/>
      <c r="F5" s="538"/>
      <c r="G5" s="538"/>
      <c r="H5" s="538"/>
      <c r="I5" s="46"/>
    </row>
    <row r="6" spans="2:9" x14ac:dyDescent="0.2">
      <c r="B6" s="417" t="s">
        <v>826</v>
      </c>
      <c r="C6" s="539" t="s">
        <v>827</v>
      </c>
      <c r="D6" s="346" t="s">
        <v>828</v>
      </c>
      <c r="E6" s="346"/>
      <c r="F6" s="346"/>
      <c r="G6" s="346"/>
      <c r="H6" s="46"/>
      <c r="I6" s="46"/>
    </row>
    <row r="7" spans="2:9" x14ac:dyDescent="0.2">
      <c r="B7" s="417" t="s">
        <v>829</v>
      </c>
      <c r="C7" s="540" t="s">
        <v>830</v>
      </c>
      <c r="D7" s="346" t="s">
        <v>831</v>
      </c>
      <c r="E7" s="346"/>
      <c r="F7" s="346"/>
      <c r="G7" s="346"/>
      <c r="H7" s="346"/>
      <c r="I7" s="46"/>
    </row>
    <row r="8" spans="2:9" x14ac:dyDescent="0.2">
      <c r="B8" s="46"/>
      <c r="C8" s="507"/>
      <c r="D8" s="46"/>
      <c r="E8" s="46"/>
      <c r="F8" s="46"/>
      <c r="G8" s="46"/>
      <c r="H8" s="46"/>
      <c r="I8" s="46"/>
    </row>
    <row r="9" spans="2:9" x14ac:dyDescent="0.2">
      <c r="B9" s="541" t="s">
        <v>832</v>
      </c>
      <c r="C9" s="533"/>
      <c r="D9" s="542"/>
      <c r="E9" s="542"/>
      <c r="F9" s="542"/>
      <c r="G9" s="542"/>
      <c r="H9" s="543"/>
      <c r="I9" s="534"/>
    </row>
    <row r="10" spans="2:9" x14ac:dyDescent="0.2">
      <c r="B10" s="544" t="s">
        <v>833</v>
      </c>
      <c r="C10" s="544"/>
      <c r="D10" s="544"/>
      <c r="E10" s="544"/>
      <c r="F10" s="544"/>
      <c r="G10" s="544"/>
      <c r="H10" s="544"/>
      <c r="I10" s="544"/>
    </row>
    <row r="11" spans="2:9" x14ac:dyDescent="0.2">
      <c r="B11" s="46"/>
      <c r="C11" s="545"/>
      <c r="D11" s="504"/>
      <c r="E11" s="504"/>
      <c r="F11" s="504"/>
      <c r="G11" s="504"/>
      <c r="H11" s="546"/>
      <c r="I11" s="46"/>
    </row>
    <row r="12" spans="2:9" x14ac:dyDescent="0.2">
      <c r="B12" s="535" t="s">
        <v>217</v>
      </c>
      <c r="C12" s="547" t="s">
        <v>270</v>
      </c>
      <c r="D12" s="536" t="s">
        <v>702</v>
      </c>
      <c r="E12" s="536" t="s">
        <v>276</v>
      </c>
      <c r="F12" s="536" t="s">
        <v>834</v>
      </c>
      <c r="G12" s="536" t="s">
        <v>835</v>
      </c>
      <c r="H12" s="548" t="s">
        <v>836</v>
      </c>
      <c r="I12" s="46"/>
    </row>
    <row r="13" spans="2:9" x14ac:dyDescent="0.2">
      <c r="B13" s="417" t="s">
        <v>234</v>
      </c>
      <c r="C13" s="545" t="s">
        <v>595</v>
      </c>
      <c r="D13" s="549">
        <v>7941.1</v>
      </c>
      <c r="E13" s="550">
        <v>0.28999999999999998</v>
      </c>
      <c r="F13" s="538" t="s">
        <v>837</v>
      </c>
      <c r="G13" s="551" t="s">
        <v>838</v>
      </c>
      <c r="H13" s="552" t="s">
        <v>459</v>
      </c>
      <c r="I13" s="46"/>
    </row>
    <row r="14" spans="2:9" x14ac:dyDescent="0.2">
      <c r="B14" s="417" t="s">
        <v>271</v>
      </c>
      <c r="C14" s="545" t="s">
        <v>839</v>
      </c>
      <c r="D14" s="553">
        <v>6150</v>
      </c>
      <c r="E14" s="554">
        <v>0.35</v>
      </c>
      <c r="F14" s="555" t="s">
        <v>840</v>
      </c>
      <c r="G14" s="551" t="s">
        <v>841</v>
      </c>
      <c r="H14" s="552" t="s">
        <v>459</v>
      </c>
      <c r="I14" s="46"/>
    </row>
    <row r="15" spans="2:9" x14ac:dyDescent="0.2">
      <c r="B15" s="417" t="s">
        <v>273</v>
      </c>
      <c r="C15" s="545" t="s">
        <v>709</v>
      </c>
      <c r="D15" s="553">
        <v>37447</v>
      </c>
      <c r="E15" s="554">
        <v>0.2</v>
      </c>
      <c r="F15" s="555" t="s">
        <v>842</v>
      </c>
      <c r="G15" s="551" t="s">
        <v>841</v>
      </c>
      <c r="H15" s="552" t="s">
        <v>843</v>
      </c>
      <c r="I15" s="552"/>
    </row>
    <row r="16" spans="2:9" x14ac:dyDescent="0.2">
      <c r="B16" s="417" t="s">
        <v>275</v>
      </c>
      <c r="C16" s="46" t="s">
        <v>844</v>
      </c>
      <c r="D16" s="553">
        <v>16132</v>
      </c>
      <c r="E16" s="554">
        <v>0.14000000000000001</v>
      </c>
      <c r="F16" s="555" t="s">
        <v>845</v>
      </c>
      <c r="G16" s="556" t="s">
        <v>846</v>
      </c>
      <c r="H16" s="552" t="s">
        <v>847</v>
      </c>
      <c r="I16" s="46"/>
    </row>
    <row r="17" spans="2:11" x14ac:dyDescent="0.2">
      <c r="B17" s="417" t="s">
        <v>272</v>
      </c>
      <c r="C17" s="46" t="s">
        <v>600</v>
      </c>
      <c r="D17" s="553">
        <v>2261</v>
      </c>
      <c r="E17" s="554">
        <v>0.34</v>
      </c>
      <c r="F17" s="555" t="s">
        <v>848</v>
      </c>
      <c r="G17" s="556" t="s">
        <v>846</v>
      </c>
      <c r="H17" s="552" t="s">
        <v>849</v>
      </c>
      <c r="I17" s="552"/>
    </row>
    <row r="18" spans="2:11" x14ac:dyDescent="0.2">
      <c r="B18" s="557" t="s">
        <v>274</v>
      </c>
      <c r="C18" s="558" t="s">
        <v>598</v>
      </c>
      <c r="D18" s="559">
        <v>3146</v>
      </c>
      <c r="E18" s="560">
        <v>0.16</v>
      </c>
      <c r="F18" s="561" t="s">
        <v>850</v>
      </c>
      <c r="G18" s="562" t="s">
        <v>846</v>
      </c>
      <c r="H18" s="563" t="s">
        <v>851</v>
      </c>
      <c r="I18" s="46"/>
    </row>
    <row r="19" spans="2:11" x14ac:dyDescent="0.2">
      <c r="B19" s="46"/>
      <c r="C19" s="46"/>
      <c r="D19" s="564"/>
      <c r="E19" s="564"/>
      <c r="F19" s="564"/>
      <c r="G19" s="46"/>
      <c r="H19" s="46"/>
      <c r="I19" s="46"/>
    </row>
    <row r="20" spans="2:11" x14ac:dyDescent="0.2">
      <c r="B20" s="530" t="s">
        <v>852</v>
      </c>
      <c r="C20" s="531"/>
      <c r="D20" s="565"/>
      <c r="E20" s="565"/>
      <c r="F20" s="565"/>
      <c r="G20" s="531"/>
      <c r="H20" s="531"/>
      <c r="I20" s="531"/>
    </row>
    <row r="21" spans="2:11" x14ac:dyDescent="0.2">
      <c r="B21" s="535" t="s">
        <v>217</v>
      </c>
      <c r="C21" s="566" t="s">
        <v>853</v>
      </c>
      <c r="D21" s="566" t="s">
        <v>854</v>
      </c>
      <c r="E21" s="566" t="s">
        <v>855</v>
      </c>
      <c r="F21" s="566" t="s">
        <v>702</v>
      </c>
      <c r="G21" s="566" t="s">
        <v>856</v>
      </c>
      <c r="H21" s="566" t="s">
        <v>820</v>
      </c>
      <c r="I21" s="567" t="s">
        <v>823</v>
      </c>
      <c r="J21" s="568" t="s">
        <v>857</v>
      </c>
      <c r="K21" s="569" t="s">
        <v>858</v>
      </c>
    </row>
    <row r="22" spans="2:11" x14ac:dyDescent="0.2">
      <c r="B22" s="417" t="s">
        <v>234</v>
      </c>
      <c r="C22" s="570">
        <v>38649</v>
      </c>
      <c r="D22" s="571">
        <v>4190</v>
      </c>
      <c r="E22" s="571">
        <f t="shared" ref="E22:E27" si="0">C22+D22</f>
        <v>42839</v>
      </c>
      <c r="F22" s="571">
        <v>7941</v>
      </c>
      <c r="G22" s="571">
        <v>2276</v>
      </c>
      <c r="H22" s="572">
        <v>18.8</v>
      </c>
      <c r="I22" s="572">
        <v>5.4</v>
      </c>
      <c r="J22" s="4">
        <v>31.71</v>
      </c>
      <c r="K22" s="4">
        <v>27.55</v>
      </c>
    </row>
    <row r="23" spans="2:11" x14ac:dyDescent="0.2">
      <c r="B23" s="417" t="s">
        <v>271</v>
      </c>
      <c r="C23" s="573">
        <v>39834</v>
      </c>
      <c r="D23" s="574">
        <v>5558</v>
      </c>
      <c r="E23" s="571">
        <f t="shared" si="0"/>
        <v>45392</v>
      </c>
      <c r="F23" s="574">
        <v>6150</v>
      </c>
      <c r="G23" s="574">
        <v>2130</v>
      </c>
      <c r="H23" s="572">
        <v>21.3</v>
      </c>
      <c r="I23" s="572">
        <v>7.4</v>
      </c>
      <c r="J23" s="4">
        <v>34.31</v>
      </c>
      <c r="K23" s="4">
        <v>27.17</v>
      </c>
    </row>
    <row r="24" spans="2:11" x14ac:dyDescent="0.2">
      <c r="B24" s="417" t="s">
        <v>273</v>
      </c>
      <c r="C24" s="573">
        <v>76145</v>
      </c>
      <c r="D24" s="574">
        <v>14091</v>
      </c>
      <c r="E24" s="571">
        <f t="shared" si="0"/>
        <v>90236</v>
      </c>
      <c r="F24" s="574">
        <v>37447</v>
      </c>
      <c r="G24" s="574">
        <v>7479</v>
      </c>
      <c r="H24" s="575">
        <v>12.1</v>
      </c>
      <c r="I24" s="572">
        <v>2.4</v>
      </c>
      <c r="J24" s="4">
        <v>18.23</v>
      </c>
      <c r="K24" s="4">
        <v>17.010000000000002</v>
      </c>
    </row>
    <row r="25" spans="2:11" x14ac:dyDescent="0.2">
      <c r="B25" s="417" t="s">
        <v>275</v>
      </c>
      <c r="C25" s="573">
        <v>17323</v>
      </c>
      <c r="D25" s="574">
        <v>4804</v>
      </c>
      <c r="E25" s="571">
        <f t="shared" si="0"/>
        <v>22127</v>
      </c>
      <c r="F25" s="574">
        <v>16132</v>
      </c>
      <c r="G25" s="574">
        <v>2296</v>
      </c>
      <c r="H25" s="575" t="s">
        <v>859</v>
      </c>
      <c r="I25" s="572">
        <v>1.5</v>
      </c>
      <c r="J25" s="4">
        <v>37</v>
      </c>
      <c r="K25" s="4">
        <v>13.59</v>
      </c>
    </row>
    <row r="26" spans="2:11" x14ac:dyDescent="0.2">
      <c r="B26" s="417" t="s">
        <v>272</v>
      </c>
      <c r="C26" s="573">
        <v>6729</v>
      </c>
      <c r="D26" s="574">
        <v>1218</v>
      </c>
      <c r="E26" s="571">
        <f t="shared" si="0"/>
        <v>7947</v>
      </c>
      <c r="F26" s="574">
        <v>2261</v>
      </c>
      <c r="G26" s="574">
        <v>765</v>
      </c>
      <c r="H26" s="575">
        <v>10.4</v>
      </c>
      <c r="I26" s="572">
        <v>3.5</v>
      </c>
      <c r="J26" s="4">
        <v>13.08</v>
      </c>
      <c r="K26" s="4">
        <v>13.48</v>
      </c>
    </row>
    <row r="27" spans="2:11" x14ac:dyDescent="0.2">
      <c r="B27" s="576" t="s">
        <v>274</v>
      </c>
      <c r="C27" s="577">
        <v>4970</v>
      </c>
      <c r="D27" s="578">
        <v>1042</v>
      </c>
      <c r="E27" s="579">
        <f t="shared" si="0"/>
        <v>6012</v>
      </c>
      <c r="F27" s="578">
        <v>3146</v>
      </c>
      <c r="G27" s="578">
        <v>491</v>
      </c>
      <c r="H27" s="580">
        <v>12.2</v>
      </c>
      <c r="I27" s="581">
        <v>1.9</v>
      </c>
      <c r="J27" s="582">
        <v>29.31</v>
      </c>
      <c r="K27" s="582">
        <v>25.38</v>
      </c>
    </row>
    <row r="28" spans="2:11" x14ac:dyDescent="0.2">
      <c r="B28" s="46"/>
      <c r="C28" s="583"/>
      <c r="D28" s="583"/>
      <c r="E28" s="583"/>
      <c r="F28" s="583"/>
      <c r="G28" s="583"/>
      <c r="H28" s="583"/>
      <c r="I28" s="46"/>
    </row>
    <row r="29" spans="2:11" x14ac:dyDescent="0.2">
      <c r="B29" s="417" t="s">
        <v>860</v>
      </c>
      <c r="C29" s="583"/>
      <c r="D29" s="583"/>
      <c r="E29" s="583"/>
      <c r="F29" s="583"/>
      <c r="G29" s="583"/>
      <c r="H29" s="584">
        <f>MIN(H22:H27)</f>
        <v>10.4</v>
      </c>
      <c r="I29" s="584">
        <f>MIN(I22:I27)</f>
        <v>1.5</v>
      </c>
      <c r="J29" s="584">
        <f>MIN(J22:J27)</f>
        <v>13.08</v>
      </c>
      <c r="K29" s="584">
        <f>MIN(K22:K27)</f>
        <v>13.48</v>
      </c>
    </row>
    <row r="30" spans="2:11" x14ac:dyDescent="0.2">
      <c r="B30" s="417" t="s">
        <v>861</v>
      </c>
      <c r="C30" s="583"/>
      <c r="D30" s="583"/>
      <c r="E30" s="583"/>
      <c r="F30" s="583"/>
      <c r="G30" s="583"/>
      <c r="H30" s="584">
        <f>MAX(H23:H27)</f>
        <v>21.3</v>
      </c>
      <c r="I30" s="584">
        <f>MAX(I23:I27)</f>
        <v>7.4</v>
      </c>
      <c r="J30" s="584">
        <f>MAX(J23:J27)</f>
        <v>37</v>
      </c>
      <c r="K30" s="584">
        <f>MAX(K23:K27)</f>
        <v>27.17</v>
      </c>
    </row>
    <row r="31" spans="2:11" x14ac:dyDescent="0.2">
      <c r="B31" s="417" t="s">
        <v>862</v>
      </c>
      <c r="C31" s="583"/>
      <c r="D31" s="583"/>
      <c r="E31" s="583"/>
      <c r="F31" s="583"/>
      <c r="G31" s="583"/>
      <c r="H31" s="584">
        <f>AVERAGE(H23:H27)</f>
        <v>14</v>
      </c>
      <c r="I31" s="584">
        <f>AVERAGE(I23:I27)</f>
        <v>3.34</v>
      </c>
      <c r="J31" s="584">
        <f>AVERAGE(J23:J27)</f>
        <v>26.386000000000003</v>
      </c>
      <c r="K31" s="584">
        <f>AVERAGE(K23:K27)</f>
        <v>19.326000000000001</v>
      </c>
    </row>
    <row r="32" spans="2:11" x14ac:dyDescent="0.2">
      <c r="B32" s="576" t="s">
        <v>863</v>
      </c>
      <c r="C32" s="585"/>
      <c r="D32" s="585"/>
      <c r="E32" s="585"/>
      <c r="F32" s="585"/>
      <c r="G32" s="585"/>
      <c r="H32" s="586">
        <f>MEDIAN(H23:H27)</f>
        <v>12.149999999999999</v>
      </c>
      <c r="I32" s="586">
        <f>MEDIAN(I23:I27)</f>
        <v>2.4</v>
      </c>
      <c r="J32" s="586">
        <f>MEDIAN(J23:J27)</f>
        <v>29.31</v>
      </c>
      <c r="K32" s="586">
        <f>MEDIAN(K23:K27)</f>
        <v>17.010000000000002</v>
      </c>
    </row>
    <row r="35" spans="2:9" x14ac:dyDescent="0.2">
      <c r="B35" s="336" t="s">
        <v>864</v>
      </c>
      <c r="C35" s="587"/>
      <c r="D35" s="587"/>
      <c r="E35" s="587"/>
      <c r="F35" s="587"/>
      <c r="G35" s="587"/>
      <c r="H35" s="587"/>
    </row>
    <row r="36" spans="2:9" x14ac:dyDescent="0.2">
      <c r="B36" s="299" t="s">
        <v>865</v>
      </c>
      <c r="C36" s="588" t="s">
        <v>866</v>
      </c>
      <c r="D36" s="588" t="s">
        <v>867</v>
      </c>
      <c r="E36" s="589" t="s">
        <v>853</v>
      </c>
      <c r="F36" s="590" t="s">
        <v>854</v>
      </c>
      <c r="G36" s="590" t="s">
        <v>855</v>
      </c>
      <c r="H36" s="300" t="s">
        <v>856</v>
      </c>
      <c r="I36" s="300" t="s">
        <v>820</v>
      </c>
    </row>
    <row r="37" spans="2:9" x14ac:dyDescent="0.2">
      <c r="B37" s="14" t="s">
        <v>80</v>
      </c>
      <c r="C37" s="591">
        <v>296</v>
      </c>
      <c r="D37" s="591">
        <v>131</v>
      </c>
      <c r="E37" s="570">
        <v>38649</v>
      </c>
      <c r="F37" s="592">
        <f>'9. Standardlized_Income'!D31-'9. Standardlized_Income'!D8</f>
        <v>4189.5999999999995</v>
      </c>
      <c r="G37" s="592">
        <f>E37+F37</f>
        <v>42838.6</v>
      </c>
      <c r="H37" s="9">
        <f>'2. Financial_Analyst'!G10</f>
        <v>2275.9000000000005</v>
      </c>
      <c r="I37" s="320">
        <f>G37/H37</f>
        <v>18.822707500329535</v>
      </c>
    </row>
    <row r="38" spans="2:9" x14ac:dyDescent="0.2">
      <c r="B38" s="14" t="s">
        <v>79</v>
      </c>
      <c r="C38" s="591">
        <v>243.17</v>
      </c>
      <c r="D38" s="591">
        <v>132</v>
      </c>
      <c r="E38" s="593">
        <f>C38*D38</f>
        <v>32098.44</v>
      </c>
      <c r="F38" s="592">
        <f>'9. Standardlized_Income'!E31-'9. Standardlized_Income'!E8</f>
        <v>4768.1000000000004</v>
      </c>
      <c r="G38" s="592">
        <f>E38+F38</f>
        <v>36866.54</v>
      </c>
      <c r="H38" s="9">
        <f>'2. Financial_Analyst'!F10</f>
        <v>2028.2999999999995</v>
      </c>
      <c r="I38" s="320">
        <f>G38/H38</f>
        <v>18.176078489375342</v>
      </c>
    </row>
    <row r="39" spans="2:9" x14ac:dyDescent="0.2">
      <c r="B39" s="14" t="s">
        <v>78</v>
      </c>
      <c r="C39" s="594">
        <v>223.99</v>
      </c>
      <c r="D39" s="595">
        <v>133</v>
      </c>
      <c r="E39" s="596">
        <f>C39*D39</f>
        <v>29790.670000000002</v>
      </c>
      <c r="F39" s="592">
        <f>'9. Standardlized_Income'!F31-'9. Standardlized_Income'!F8</f>
        <v>2975.8</v>
      </c>
      <c r="G39" s="592">
        <f>E39+F39</f>
        <v>32766.47</v>
      </c>
      <c r="H39" s="9">
        <f>'2. Financial_Analyst'!E10</f>
        <v>1939.2</v>
      </c>
      <c r="I39" s="320">
        <f>G39/H39</f>
        <v>16.896900783828382</v>
      </c>
    </row>
    <row r="40" spans="2:9" x14ac:dyDescent="0.2">
      <c r="B40" s="14" t="s">
        <v>77</v>
      </c>
      <c r="C40" s="594">
        <v>173.55</v>
      </c>
      <c r="D40" s="595">
        <v>133</v>
      </c>
      <c r="E40" s="596">
        <f>C40*D40</f>
        <v>23082.15</v>
      </c>
      <c r="F40" s="592">
        <f>'9. Standardlized_Income'!G31-'9. Standardlized_Income'!G8</f>
        <v>3871.4</v>
      </c>
      <c r="G40" s="592">
        <f>E40+F40</f>
        <v>26953.550000000003</v>
      </c>
      <c r="H40" s="9">
        <f>'2. Financial_Analyst'!D10</f>
        <v>1617</v>
      </c>
      <c r="I40" s="320">
        <f>G40/H40</f>
        <v>16.668862090290663</v>
      </c>
    </row>
    <row r="41" spans="2:9" x14ac:dyDescent="0.2">
      <c r="B41" s="264" t="s">
        <v>76</v>
      </c>
      <c r="C41" s="597">
        <v>204.79</v>
      </c>
      <c r="D41" s="598">
        <v>133</v>
      </c>
      <c r="E41" s="599">
        <f>C41*D41</f>
        <v>27237.07</v>
      </c>
      <c r="F41" s="592">
        <f>'9. Standardlized_Income'!H31-'9. Standardlized_Income'!H8</f>
        <v>3740.9</v>
      </c>
      <c r="G41" s="592">
        <f>E41+F41</f>
        <v>30977.97</v>
      </c>
      <c r="H41" s="9">
        <f>'2. Financial_Analyst'!C10</f>
        <v>1434.6999999999996</v>
      </c>
      <c r="I41" s="320">
        <f>G41/H41</f>
        <v>21.591949536488471</v>
      </c>
    </row>
    <row r="43" spans="2:9" x14ac:dyDescent="0.2">
      <c r="B43" s="14" t="s">
        <v>868</v>
      </c>
      <c r="I43" s="600">
        <f>AVERAGE(I37:I41)</f>
        <v>18.431299680062477</v>
      </c>
    </row>
    <row r="44" spans="2:9" x14ac:dyDescent="0.2">
      <c r="B44" s="14" t="s">
        <v>869</v>
      </c>
      <c r="I44" s="600">
        <f>MEDIAN(I37:I41)</f>
        <v>18.176078489375342</v>
      </c>
    </row>
    <row r="45" spans="2:9" x14ac:dyDescent="0.2">
      <c r="B45" s="14"/>
    </row>
    <row r="46" spans="2:9" x14ac:dyDescent="0.2">
      <c r="B46" s="336" t="s">
        <v>870</v>
      </c>
      <c r="C46" s="587"/>
      <c r="D46" s="587"/>
      <c r="E46" s="601"/>
      <c r="F46" s="602"/>
      <c r="G46" s="602"/>
      <c r="H46" s="602"/>
      <c r="I46" s="602"/>
    </row>
    <row r="47" spans="2:9" x14ac:dyDescent="0.2">
      <c r="B47" s="299" t="s">
        <v>871</v>
      </c>
      <c r="C47" s="603" t="s">
        <v>82</v>
      </c>
      <c r="D47" s="603" t="s">
        <v>872</v>
      </c>
      <c r="E47" s="604"/>
      <c r="F47" s="8"/>
      <c r="G47" s="8"/>
      <c r="H47" s="8"/>
      <c r="I47" s="8"/>
    </row>
    <row r="48" spans="2:9" x14ac:dyDescent="0.2">
      <c r="B48" s="14" t="s">
        <v>873</v>
      </c>
      <c r="C48" s="605">
        <v>46115</v>
      </c>
      <c r="D48" s="606"/>
      <c r="E48" s="604"/>
      <c r="F48" s="8"/>
      <c r="G48" s="8"/>
      <c r="H48" s="8"/>
      <c r="I48" s="8"/>
    </row>
    <row r="49" spans="2:10" x14ac:dyDescent="0.2">
      <c r="B49" s="14" t="s">
        <v>874</v>
      </c>
      <c r="C49" s="607">
        <f>'1. Share_Price_Analysis'!C815</f>
        <v>295.98</v>
      </c>
      <c r="D49" s="608" t="s">
        <v>875</v>
      </c>
      <c r="E49" s="604"/>
      <c r="F49" s="8"/>
      <c r="G49" s="8"/>
      <c r="H49" s="8"/>
      <c r="I49" s="8"/>
    </row>
    <row r="50" spans="2:10" x14ac:dyDescent="0.2">
      <c r="B50" s="14" t="s">
        <v>876</v>
      </c>
      <c r="C50" s="609">
        <v>130.58000000000001</v>
      </c>
      <c r="D50" s="346" t="s">
        <v>877</v>
      </c>
      <c r="E50" s="8"/>
      <c r="F50" s="8"/>
      <c r="G50" s="8"/>
      <c r="H50" s="8"/>
      <c r="I50" s="8"/>
    </row>
    <row r="51" spans="2:10" x14ac:dyDescent="0.2">
      <c r="B51" s="14" t="s">
        <v>878</v>
      </c>
      <c r="C51" s="9">
        <f>C49*C50</f>
        <v>38649.068400000004</v>
      </c>
      <c r="D51" s="8"/>
      <c r="E51" s="8"/>
      <c r="F51" s="8"/>
      <c r="G51" s="8"/>
      <c r="H51" s="8"/>
      <c r="I51" s="8"/>
    </row>
    <row r="52" spans="2:10" x14ac:dyDescent="0.2">
      <c r="B52" s="14" t="s">
        <v>879</v>
      </c>
      <c r="C52" s="381">
        <f>D22</f>
        <v>4190</v>
      </c>
      <c r="D52" s="8"/>
      <c r="E52" s="8"/>
      <c r="F52" s="8"/>
      <c r="G52" s="8"/>
      <c r="H52" s="8"/>
      <c r="I52" s="8"/>
    </row>
    <row r="53" spans="2:10" x14ac:dyDescent="0.2">
      <c r="B53" s="14" t="s">
        <v>880</v>
      </c>
      <c r="C53" s="9">
        <f>C51+C52</f>
        <v>42839.068400000004</v>
      </c>
      <c r="D53" s="8"/>
      <c r="E53" s="8"/>
      <c r="F53" s="8"/>
      <c r="G53" s="8"/>
      <c r="H53" s="8"/>
      <c r="I53" s="8"/>
    </row>
    <row r="54" spans="2:10" x14ac:dyDescent="0.2">
      <c r="B54" s="14" t="s">
        <v>881</v>
      </c>
      <c r="C54" s="610">
        <f>'2. Financial_Analyst'!G10</f>
        <v>2275.9000000000005</v>
      </c>
      <c r="D54" s="8"/>
      <c r="E54" s="8"/>
      <c r="F54" s="8"/>
      <c r="G54" s="8"/>
      <c r="H54" s="8"/>
      <c r="I54" s="8"/>
    </row>
    <row r="55" spans="2:10" x14ac:dyDescent="0.2">
      <c r="B55" s="14" t="s">
        <v>882</v>
      </c>
      <c r="C55" s="611">
        <f>'2. Financial_Analyst'!G5</f>
        <v>7941.1</v>
      </c>
      <c r="D55" s="8"/>
      <c r="E55" s="8"/>
      <c r="F55" s="8"/>
      <c r="G55" s="8"/>
      <c r="H55" s="8"/>
      <c r="I55" s="8"/>
    </row>
    <row r="56" spans="2:10" x14ac:dyDescent="0.2">
      <c r="B56" s="385" t="s">
        <v>883</v>
      </c>
      <c r="C56" s="612">
        <f>'2. Financial_Analyst'!G12</f>
        <v>1076.7</v>
      </c>
      <c r="D56" s="378"/>
      <c r="E56" s="8"/>
      <c r="F56" s="8"/>
      <c r="G56" s="8"/>
      <c r="H56" s="8"/>
      <c r="I56" s="8"/>
    </row>
    <row r="58" spans="2:10" x14ac:dyDescent="0.2">
      <c r="B58" s="14" t="s">
        <v>884</v>
      </c>
    </row>
    <row r="59" spans="2:10" x14ac:dyDescent="0.2">
      <c r="B59" s="300" t="s">
        <v>885</v>
      </c>
      <c r="C59" s="613" t="s">
        <v>817</v>
      </c>
      <c r="D59" s="300" t="s">
        <v>886</v>
      </c>
      <c r="E59" s="300" t="s">
        <v>887</v>
      </c>
      <c r="F59" s="300" t="s">
        <v>888</v>
      </c>
      <c r="G59" s="300" t="s">
        <v>889</v>
      </c>
      <c r="H59" s="300" t="s">
        <v>890</v>
      </c>
    </row>
    <row r="60" spans="2:10" x14ac:dyDescent="0.2">
      <c r="B60" s="14" t="s">
        <v>891</v>
      </c>
      <c r="C60" s="614">
        <f>H32</f>
        <v>12.149999999999999</v>
      </c>
      <c r="D60" s="615">
        <f>C54</f>
        <v>2275.9000000000005</v>
      </c>
      <c r="E60" s="615">
        <f>D60*C60</f>
        <v>27652.185000000005</v>
      </c>
      <c r="F60" s="465">
        <f>C52</f>
        <v>4190</v>
      </c>
      <c r="G60" s="615">
        <f>'6. Mutliple_Valuation'!E60-'6. Mutliple_Valuation'!F60</f>
        <v>23462.185000000005</v>
      </c>
      <c r="H60" s="616">
        <f>G60/C50</f>
        <v>179.67671159442489</v>
      </c>
      <c r="J60" s="4">
        <f>2.4*79</f>
        <v>189.6</v>
      </c>
    </row>
    <row r="61" spans="2:10" x14ac:dyDescent="0.2">
      <c r="B61" s="4" t="s">
        <v>892</v>
      </c>
      <c r="C61" s="600">
        <f>I43</f>
        <v>18.431299680062477</v>
      </c>
      <c r="D61" s="615">
        <f>C54</f>
        <v>2275.9000000000005</v>
      </c>
      <c r="E61" s="615">
        <f>C61*D61</f>
        <v>41947.794941854198</v>
      </c>
      <c r="F61" s="465">
        <f>C52</f>
        <v>4190</v>
      </c>
      <c r="G61" s="615">
        <f>'6. Mutliple_Valuation'!E61-'6. Mutliple_Valuation'!F61</f>
        <v>37757.794941854198</v>
      </c>
      <c r="H61" s="616">
        <f>G61/C50</f>
        <v>289.15450254138608</v>
      </c>
    </row>
    <row r="62" spans="2:10" x14ac:dyDescent="0.2">
      <c r="B62" s="14" t="s">
        <v>893</v>
      </c>
      <c r="C62" s="614">
        <f>I32</f>
        <v>2.4</v>
      </c>
      <c r="D62" s="617">
        <f>F22</f>
        <v>7941</v>
      </c>
      <c r="E62" s="615">
        <f>C62*D62</f>
        <v>19058.399999999998</v>
      </c>
      <c r="F62" s="465">
        <f>C52</f>
        <v>4190</v>
      </c>
      <c r="G62" s="615">
        <f>'6. Mutliple_Valuation'!E62-'6. Mutliple_Valuation'!F62</f>
        <v>14868.399999999998</v>
      </c>
      <c r="H62" s="616">
        <f>G62/C50</f>
        <v>113.86429774850663</v>
      </c>
    </row>
    <row r="63" spans="2:10" x14ac:dyDescent="0.2">
      <c r="B63" s="4" t="s">
        <v>894</v>
      </c>
      <c r="C63" s="614">
        <f>K31</f>
        <v>19.326000000000001</v>
      </c>
      <c r="D63" s="615">
        <f>C56</f>
        <v>1076.7</v>
      </c>
      <c r="E63" s="4" t="s">
        <v>128</v>
      </c>
      <c r="F63" s="4" t="s">
        <v>128</v>
      </c>
      <c r="G63" s="618">
        <f>C63*D63</f>
        <v>20808.304200000002</v>
      </c>
      <c r="H63" s="618">
        <f>D63*C63/C50</f>
        <v>159.35291928319805</v>
      </c>
      <c r="I63" s="619"/>
    </row>
    <row r="65" spans="2:8" x14ac:dyDescent="0.2">
      <c r="B65" s="4" t="s">
        <v>895</v>
      </c>
      <c r="C65" s="4" t="s">
        <v>337</v>
      </c>
      <c r="D65" s="620">
        <f>MIN(H60:H63)</f>
        <v>113.86429774850663</v>
      </c>
      <c r="E65" s="4" t="s">
        <v>896</v>
      </c>
      <c r="F65" s="620">
        <f>MAX(H60:H63)</f>
        <v>289.15450254138608</v>
      </c>
      <c r="G65" s="4" t="s">
        <v>897</v>
      </c>
      <c r="H65" s="616">
        <f>(F65+D65)/2</f>
        <v>201.50940014494637</v>
      </c>
    </row>
    <row r="66" spans="2:8" ht="17" customHeight="1" thickBot="1" x14ac:dyDescent="0.25">
      <c r="B66" s="621" t="s">
        <v>898</v>
      </c>
      <c r="C66" s="622" t="s">
        <v>899</v>
      </c>
      <c r="D66" s="623" t="s">
        <v>900</v>
      </c>
      <c r="E66" s="624" t="s">
        <v>901</v>
      </c>
      <c r="F66" s="625" t="s">
        <v>902</v>
      </c>
      <c r="G66" s="626" t="s">
        <v>903</v>
      </c>
      <c r="H66" s="627">
        <f>H60*20%+H61*50%+10%*H62+20%*H63</f>
        <v>223.76960722106827</v>
      </c>
    </row>
    <row r="67" spans="2:8" x14ac:dyDescent="0.2">
      <c r="B67" s="51" t="s">
        <v>904</v>
      </c>
      <c r="C67" s="628"/>
      <c r="D67" s="629"/>
      <c r="E67" s="629"/>
      <c r="F67" s="630"/>
    </row>
    <row r="68" spans="2:8" x14ac:dyDescent="0.2">
      <c r="B68" s="299" t="s">
        <v>905</v>
      </c>
      <c r="C68" s="299" t="s">
        <v>777</v>
      </c>
      <c r="D68" s="299" t="s">
        <v>778</v>
      </c>
      <c r="E68" s="299" t="s">
        <v>819</v>
      </c>
      <c r="F68" s="8"/>
    </row>
    <row r="69" spans="2:8" x14ac:dyDescent="0.2">
      <c r="B69" s="14" t="s">
        <v>906</v>
      </c>
      <c r="C69" s="631" t="s">
        <v>907</v>
      </c>
      <c r="D69" s="632" t="s">
        <v>908</v>
      </c>
      <c r="E69" s="346" t="s">
        <v>909</v>
      </c>
      <c r="F69" s="8"/>
    </row>
    <row r="70" spans="2:8" x14ac:dyDescent="0.2">
      <c r="B70" s="14" t="s">
        <v>910</v>
      </c>
      <c r="C70" s="631" t="s">
        <v>907</v>
      </c>
      <c r="D70" s="293" t="s">
        <v>911</v>
      </c>
      <c r="E70" s="346" t="s">
        <v>912</v>
      </c>
      <c r="F70" s="8"/>
    </row>
    <row r="71" spans="2:8" x14ac:dyDescent="0.2">
      <c r="B71" s="14" t="s">
        <v>913</v>
      </c>
      <c r="C71" s="359" t="s">
        <v>914</v>
      </c>
      <c r="D71" s="293" t="s">
        <v>915</v>
      </c>
      <c r="E71" s="346" t="s">
        <v>916</v>
      </c>
      <c r="F71" s="8"/>
    </row>
    <row r="72" spans="2:8" x14ac:dyDescent="0.2">
      <c r="B72" s="14" t="s">
        <v>917</v>
      </c>
      <c r="C72" s="358" t="s">
        <v>918</v>
      </c>
      <c r="D72" s="633">
        <v>0</v>
      </c>
      <c r="E72" s="346" t="s">
        <v>919</v>
      </c>
      <c r="F72" s="8"/>
    </row>
    <row r="73" spans="2:8" x14ac:dyDescent="0.2">
      <c r="B73" s="264" t="s">
        <v>920</v>
      </c>
      <c r="C73" s="634" t="s">
        <v>907</v>
      </c>
      <c r="D73" s="308" t="s">
        <v>921</v>
      </c>
      <c r="E73" s="563" t="s">
        <v>922</v>
      </c>
      <c r="F73" s="8"/>
    </row>
    <row r="74" spans="2:8" x14ac:dyDescent="0.2">
      <c r="B74" s="8"/>
      <c r="C74" s="398"/>
      <c r="D74" s="8"/>
      <c r="E74" s="8"/>
    </row>
    <row r="75" spans="2:8" x14ac:dyDescent="0.2">
      <c r="B75" s="635" t="s">
        <v>923</v>
      </c>
      <c r="C75" s="636">
        <v>7.4999999999999997E-2</v>
      </c>
      <c r="D75" s="637" t="s">
        <v>924</v>
      </c>
      <c r="E75" s="378"/>
    </row>
    <row r="78" spans="2:8" x14ac:dyDescent="0.2">
      <c r="B78" s="638" t="s">
        <v>925</v>
      </c>
      <c r="C78" s="639"/>
      <c r="D78" s="640"/>
      <c r="E78" s="640"/>
      <c r="F78" s="640"/>
      <c r="G78" s="640"/>
      <c r="H78" s="640"/>
    </row>
    <row r="79" spans="2:8" x14ac:dyDescent="0.2">
      <c r="B79" s="641" t="s">
        <v>926</v>
      </c>
      <c r="C79" s="346">
        <f>MIN(I61,I62)*(1+C76)</f>
        <v>0</v>
      </c>
      <c r="D79" s="642" t="s">
        <v>927</v>
      </c>
      <c r="E79" s="643">
        <f>MAX(I61,I62)*(1+C76)</f>
        <v>0</v>
      </c>
      <c r="F79" s="8"/>
      <c r="G79" s="8"/>
      <c r="H79" s="8"/>
    </row>
    <row r="80" spans="2:8" x14ac:dyDescent="0.2">
      <c r="B80" s="502" t="s">
        <v>928</v>
      </c>
      <c r="C80" s="644">
        <f>D65*(1+C75)</f>
        <v>122.40412007964463</v>
      </c>
      <c r="D80" s="502" t="s">
        <v>929</v>
      </c>
      <c r="E80" s="644">
        <f>F65*(1+C75)</f>
        <v>310.84109023198999</v>
      </c>
      <c r="F80" s="502" t="s">
        <v>930</v>
      </c>
      <c r="G80" s="645">
        <f>(E80+C80)/2</f>
        <v>216.62260515581733</v>
      </c>
      <c r="H80" s="8"/>
    </row>
    <row r="81" spans="2:8" x14ac:dyDescent="0.2">
      <c r="B81" s="8" t="s">
        <v>898</v>
      </c>
      <c r="C81" s="366">
        <f>H66*(1+C75)</f>
        <v>240.55232776264839</v>
      </c>
      <c r="D81" s="8"/>
      <c r="E81" s="8"/>
      <c r="F81" s="8"/>
      <c r="G81" s="8"/>
      <c r="H81" s="8"/>
    </row>
    <row r="82" spans="2:8" x14ac:dyDescent="0.2">
      <c r="B82" s="502" t="s">
        <v>216</v>
      </c>
      <c r="C82" s="646">
        <f>C49</f>
        <v>295.98</v>
      </c>
      <c r="D82" s="604"/>
      <c r="E82" s="8"/>
      <c r="F82" s="604"/>
      <c r="G82" s="8"/>
      <c r="H82" s="8"/>
    </row>
    <row r="83" spans="2:8" x14ac:dyDescent="0.2">
      <c r="B83" s="398" t="s">
        <v>931</v>
      </c>
      <c r="C83" s="498">
        <f>C81/C82 - 1</f>
        <v>-0.18726830271420913</v>
      </c>
      <c r="E83" s="8"/>
      <c r="F83" s="8"/>
      <c r="G83" s="8"/>
      <c r="H83" s="8"/>
    </row>
    <row r="84" spans="2:8" ht="17" customHeight="1" thickBot="1" x14ac:dyDescent="0.25">
      <c r="B84" s="647" t="s">
        <v>932</v>
      </c>
      <c r="C84" s="648" t="s">
        <v>933</v>
      </c>
      <c r="D84" s="649"/>
      <c r="E84" s="649"/>
      <c r="F84" s="649"/>
      <c r="G84" s="649"/>
      <c r="H8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9.9978637043366805E-2"/>
  </sheetPr>
  <dimension ref="A1:I114"/>
  <sheetViews>
    <sheetView showGridLines="0" topLeftCell="A16" workbookViewId="0">
      <selection activeCell="N79" sqref="N79"/>
    </sheetView>
  </sheetViews>
  <sheetFormatPr baseColWidth="10" defaultRowHeight="13" x14ac:dyDescent="0.15"/>
  <cols>
    <col min="1" max="1" width="4.1640625" style="8" customWidth="1"/>
    <col min="2" max="2" width="37.5" style="8" customWidth="1"/>
    <col min="3" max="3" width="13.33203125" style="8" customWidth="1"/>
    <col min="4" max="4" width="15" style="8" customWidth="1"/>
    <col min="5" max="7" width="13.33203125" style="8" customWidth="1"/>
    <col min="8" max="8" width="15" style="8" customWidth="1"/>
    <col min="9" max="14" width="12.5" style="8" customWidth="1"/>
    <col min="15" max="31" width="10.83203125" style="8" customWidth="1"/>
    <col min="32" max="16384" width="10.83203125" style="8"/>
  </cols>
  <sheetData>
    <row r="1" spans="1:8" x14ac:dyDescent="0.15">
      <c r="B1" s="30" t="s">
        <v>934</v>
      </c>
      <c r="C1" s="44"/>
      <c r="D1" s="44"/>
      <c r="E1" s="44"/>
      <c r="F1" s="44"/>
      <c r="G1" s="44"/>
      <c r="H1" s="44"/>
    </row>
    <row r="3" spans="1:8" x14ac:dyDescent="0.15">
      <c r="A3" s="346" t="s">
        <v>592</v>
      </c>
      <c r="B3" s="51" t="s">
        <v>935</v>
      </c>
      <c r="C3" s="110"/>
      <c r="D3" s="110"/>
    </row>
    <row r="5" spans="1:8" x14ac:dyDescent="0.15">
      <c r="B5" s="336" t="s">
        <v>936</v>
      </c>
      <c r="C5" s="371" t="s">
        <v>937</v>
      </c>
      <c r="D5" s="371"/>
    </row>
    <row r="6" spans="1:8" x14ac:dyDescent="0.15">
      <c r="B6" s="51" t="s">
        <v>938</v>
      </c>
      <c r="C6" s="8" t="s">
        <v>939</v>
      </c>
    </row>
    <row r="7" spans="1:8" x14ac:dyDescent="0.15">
      <c r="B7" s="51" t="s">
        <v>940</v>
      </c>
      <c r="C7" s="461">
        <v>46085</v>
      </c>
    </row>
    <row r="8" spans="1:8" x14ac:dyDescent="0.15">
      <c r="B8" s="51" t="s">
        <v>941</v>
      </c>
      <c r="C8" s="8" t="s">
        <v>942</v>
      </c>
    </row>
    <row r="9" spans="1:8" x14ac:dyDescent="0.15">
      <c r="B9" s="51" t="s">
        <v>943</v>
      </c>
      <c r="C9" s="372" t="s">
        <v>944</v>
      </c>
      <c r="D9" s="373"/>
    </row>
    <row r="12" spans="1:8" x14ac:dyDescent="0.15">
      <c r="A12" s="346" t="s">
        <v>535</v>
      </c>
      <c r="B12" s="51" t="s">
        <v>945</v>
      </c>
      <c r="C12" s="110"/>
      <c r="D12" s="110"/>
      <c r="E12" s="110"/>
      <c r="F12" s="110"/>
      <c r="G12" s="110"/>
      <c r="H12" s="110"/>
    </row>
    <row r="14" spans="1:8" x14ac:dyDescent="0.15">
      <c r="B14" s="14" t="s">
        <v>946</v>
      </c>
    </row>
    <row r="15" spans="1:8" x14ac:dyDescent="0.15">
      <c r="B15" s="374" t="s">
        <v>45</v>
      </c>
      <c r="C15" s="375" t="s">
        <v>76</v>
      </c>
      <c r="D15" s="375" t="s">
        <v>77</v>
      </c>
      <c r="E15" s="375" t="s">
        <v>78</v>
      </c>
      <c r="F15" s="375" t="s">
        <v>79</v>
      </c>
      <c r="G15" s="375" t="s">
        <v>80</v>
      </c>
      <c r="H15" s="375" t="s">
        <v>947</v>
      </c>
    </row>
    <row r="16" spans="1:8" x14ac:dyDescent="0.15">
      <c r="B16" s="8" t="s">
        <v>948</v>
      </c>
      <c r="C16" s="376">
        <f>Sheet10!G320</f>
        <v>1.48</v>
      </c>
      <c r="D16" s="376">
        <f>Sheet10!F320</f>
        <v>1.6</v>
      </c>
      <c r="E16" s="376">
        <f>Sheet10!E320</f>
        <v>1.72</v>
      </c>
      <c r="F16" s="376">
        <f>Sheet10!D320</f>
        <v>1.84</v>
      </c>
      <c r="G16" s="376">
        <f>Sheet10!C320</f>
        <v>1.96</v>
      </c>
      <c r="H16" s="377">
        <f>(G16/C16)^(1/4)-1</f>
        <v>7.2750162497074999E-2</v>
      </c>
    </row>
    <row r="17" spans="2:8" x14ac:dyDescent="0.15">
      <c r="B17" s="8" t="s">
        <v>949</v>
      </c>
      <c r="C17" s="13" t="s">
        <v>459</v>
      </c>
      <c r="D17" s="289">
        <f>D16/C16-1</f>
        <v>8.1081081081081141E-2</v>
      </c>
      <c r="E17" s="289">
        <f>E16/D16-1</f>
        <v>7.4999999999999956E-2</v>
      </c>
      <c r="F17" s="289">
        <f>F16/E16-1</f>
        <v>6.976744186046524E-2</v>
      </c>
      <c r="G17" s="289">
        <f>G16/F16-1</f>
        <v>6.5217391304347672E-2</v>
      </c>
      <c r="H17" s="289">
        <f>AVERAGE(D17:G17)</f>
        <v>7.2766478561473502E-2</v>
      </c>
    </row>
    <row r="18" spans="2:8" x14ac:dyDescent="0.15">
      <c r="B18" s="8" t="s">
        <v>950</v>
      </c>
      <c r="C18" s="376">
        <f>Sheet10!G309</f>
        <v>5.05</v>
      </c>
      <c r="D18" s="376">
        <f>Sheet10!F309</f>
        <v>4.45</v>
      </c>
      <c r="E18" s="376">
        <f>Sheet10!E309</f>
        <v>7.06</v>
      </c>
      <c r="F18" s="376">
        <f>Sheet10!D309</f>
        <v>6.91</v>
      </c>
      <c r="G18" s="376">
        <f>Sheet10!C309</f>
        <v>8.15</v>
      </c>
      <c r="H18" s="289">
        <f>(G18/C18)^(1/4)-1</f>
        <v>0.12711066097990797</v>
      </c>
    </row>
    <row r="19" spans="2:8" x14ac:dyDescent="0.15">
      <c r="B19" s="8" t="s">
        <v>73</v>
      </c>
      <c r="C19" s="376">
        <f>'9. Standardlized_Income'!H44</f>
        <v>670.8</v>
      </c>
      <c r="D19" s="376">
        <f>'9. Standardlized_Income'!G44</f>
        <v>575.6</v>
      </c>
      <c r="E19" s="376">
        <f>'9. Standardlized_Income'!F44</f>
        <v>933.2</v>
      </c>
      <c r="F19" s="376">
        <f>'9. Standardlized_Income'!E44</f>
        <v>911.9</v>
      </c>
      <c r="G19" s="376">
        <f>'9. Standardlized_Income'!D44</f>
        <v>1076.7</v>
      </c>
      <c r="H19" s="289">
        <f>(G19/C19)^(1/4)-1</f>
        <v>0.1255775303218436</v>
      </c>
    </row>
    <row r="20" spans="2:8" x14ac:dyDescent="0.15">
      <c r="B20" s="378" t="s">
        <v>951</v>
      </c>
      <c r="C20" s="379">
        <f>'9. Standardlized_Income'!H59</f>
        <v>196.4</v>
      </c>
      <c r="D20" s="379">
        <f>'9. Standardlized_Income'!G59</f>
        <v>212.6</v>
      </c>
      <c r="E20" s="379">
        <f>'9. Standardlized_Income'!F59</f>
        <v>228.4</v>
      </c>
      <c r="F20" s="379">
        <f>'9. Standardlized_Income'!E59</f>
        <v>244.4</v>
      </c>
      <c r="G20" s="379">
        <f>'9. Standardlized_Income'!D59</f>
        <v>259.8</v>
      </c>
      <c r="H20" s="380">
        <f>(G20/C20)^(1/4)-1</f>
        <v>7.2443486379274225E-2</v>
      </c>
    </row>
    <row r="21" spans="2:8" x14ac:dyDescent="0.15">
      <c r="B21" s="14" t="s">
        <v>952</v>
      </c>
      <c r="C21" s="377">
        <f>C20/C19</f>
        <v>0.29278473464519977</v>
      </c>
      <c r="D21" s="377">
        <f>D20/D19</f>
        <v>0.36935371785962473</v>
      </c>
      <c r="E21" s="377">
        <f>E20/E19</f>
        <v>0.24474924989284183</v>
      </c>
      <c r="F21" s="377">
        <f>F20/F19</f>
        <v>0.26801184340388201</v>
      </c>
      <c r="G21" s="377">
        <f>G20/G19</f>
        <v>0.24129283923098357</v>
      </c>
      <c r="H21" s="377">
        <f>AVERAGE(C21:G21)</f>
        <v>0.2832384770065064</v>
      </c>
    </row>
    <row r="22" spans="2:8" x14ac:dyDescent="0.15">
      <c r="B22" s="14" t="s">
        <v>953</v>
      </c>
      <c r="C22" s="377">
        <f>1-C21</f>
        <v>0.70721526535480028</v>
      </c>
      <c r="D22" s="377">
        <f>1-D21</f>
        <v>0.63064628214037532</v>
      </c>
      <c r="E22" s="377">
        <f>1-E21</f>
        <v>0.75525075010715814</v>
      </c>
      <c r="F22" s="377">
        <f>1-F21</f>
        <v>0.73198815659611793</v>
      </c>
      <c r="G22" s="377">
        <f>1-G21</f>
        <v>0.75870716076901645</v>
      </c>
      <c r="H22" s="377">
        <f>AVERAGE(C22:G22)</f>
        <v>0.7167615229934936</v>
      </c>
    </row>
    <row r="25" spans="2:8" x14ac:dyDescent="0.15">
      <c r="B25" s="14" t="s">
        <v>954</v>
      </c>
    </row>
    <row r="26" spans="2:8" x14ac:dyDescent="0.15">
      <c r="B26" s="374" t="s">
        <v>45</v>
      </c>
      <c r="C26" s="375" t="s">
        <v>76</v>
      </c>
      <c r="D26" s="375" t="s">
        <v>77</v>
      </c>
      <c r="E26" s="375" t="s">
        <v>78</v>
      </c>
      <c r="F26" s="375" t="s">
        <v>79</v>
      </c>
      <c r="G26" s="375" t="s">
        <v>80</v>
      </c>
      <c r="H26" s="375" t="s">
        <v>541</v>
      </c>
    </row>
    <row r="27" spans="2:8" x14ac:dyDescent="0.15">
      <c r="B27" s="8" t="s">
        <v>955</v>
      </c>
      <c r="C27" s="381">
        <f>'9. Standardlized_Income'!H51</f>
        <v>1011.9</v>
      </c>
      <c r="D27" s="381">
        <f>'9. Standardlized_Income'!G51</f>
        <v>1148.2</v>
      </c>
      <c r="E27" s="381">
        <f>'9. Standardlized_Income'!F51</f>
        <v>1536.8</v>
      </c>
      <c r="F27" s="381">
        <f>'9. Standardlized_Income'!E51</f>
        <v>1409.6</v>
      </c>
      <c r="G27" s="381">
        <f>'9. Standardlized_Income'!D51</f>
        <v>1813</v>
      </c>
      <c r="H27" s="9">
        <f>AVERAGE(C27:G27)</f>
        <v>1383.9</v>
      </c>
    </row>
    <row r="28" spans="2:8" x14ac:dyDescent="0.15">
      <c r="B28" s="8" t="s">
        <v>295</v>
      </c>
      <c r="C28" s="381">
        <f>'9. Standardlized_Income'!H52</f>
        <v>451.3</v>
      </c>
      <c r="D28" s="381">
        <f>'9. Standardlized_Income'!G52</f>
        <v>612.6</v>
      </c>
      <c r="E28" s="381">
        <f>'9. Standardlized_Income'!F52</f>
        <v>872.6</v>
      </c>
      <c r="F28" s="381">
        <f>'9. Standardlized_Income'!E52</f>
        <v>603.5</v>
      </c>
      <c r="G28" s="381">
        <f>'9. Standardlized_Income'!D52</f>
        <v>677.7</v>
      </c>
      <c r="H28" s="9">
        <f>AVERAGE(C28:G28)</f>
        <v>643.54</v>
      </c>
    </row>
    <row r="29" spans="2:8" x14ac:dyDescent="0.15">
      <c r="B29" s="382" t="s">
        <v>956</v>
      </c>
      <c r="C29" s="383">
        <f>C27-C28</f>
        <v>560.59999999999991</v>
      </c>
      <c r="D29" s="383">
        <f>D27-D28</f>
        <v>535.6</v>
      </c>
      <c r="E29" s="383">
        <f>E27-E28</f>
        <v>664.19999999999993</v>
      </c>
      <c r="F29" s="383">
        <f>F27-F28</f>
        <v>806.09999999999991</v>
      </c>
      <c r="G29" s="383">
        <f>G27-G28</f>
        <v>1135.3</v>
      </c>
      <c r="H29" s="383">
        <f>AVERAGE(C29:G29)</f>
        <v>740.3599999999999</v>
      </c>
    </row>
    <row r="30" spans="2:8" x14ac:dyDescent="0.15">
      <c r="B30" s="8" t="s">
        <v>951</v>
      </c>
      <c r="C30" s="9">
        <f>C20</f>
        <v>196.4</v>
      </c>
      <c r="D30" s="9">
        <f>D20</f>
        <v>212.6</v>
      </c>
      <c r="E30" s="9">
        <f>E20</f>
        <v>228.4</v>
      </c>
      <c r="F30" s="9">
        <f>F20</f>
        <v>244.4</v>
      </c>
      <c r="G30" s="9">
        <f>G20</f>
        <v>259.8</v>
      </c>
      <c r="H30" s="9">
        <f>AVERAGE(C30:G30)</f>
        <v>228.32</v>
      </c>
    </row>
    <row r="31" spans="2:8" x14ac:dyDescent="0.15">
      <c r="B31" s="378" t="s">
        <v>957</v>
      </c>
      <c r="C31" s="384">
        <f>C29-C30</f>
        <v>364.19999999999993</v>
      </c>
      <c r="D31" s="384">
        <f>D29-D30</f>
        <v>323</v>
      </c>
      <c r="E31" s="384">
        <f>E29-E30</f>
        <v>435.79999999999995</v>
      </c>
      <c r="F31" s="384">
        <f>F29-F30</f>
        <v>561.69999999999993</v>
      </c>
      <c r="G31" s="384">
        <f>G29-G30</f>
        <v>875.5</v>
      </c>
      <c r="H31" s="384">
        <f>AVERAGE(C31:G31)</f>
        <v>512.04</v>
      </c>
    </row>
    <row r="32" spans="2:8" x14ac:dyDescent="0.15">
      <c r="C32" s="13"/>
      <c r="D32" s="13"/>
      <c r="E32" s="13"/>
      <c r="F32" s="13"/>
      <c r="G32" s="13"/>
      <c r="H32" s="13"/>
    </row>
    <row r="33" spans="1:8" x14ac:dyDescent="0.15">
      <c r="B33" s="385" t="s">
        <v>958</v>
      </c>
      <c r="C33" s="386">
        <f>Sheet10!G436</f>
        <v>911.9</v>
      </c>
      <c r="D33" s="386">
        <f>Sheet10!F436</f>
        <v>632.79999999999995</v>
      </c>
      <c r="E33" s="386">
        <f>Sheet10!E436</f>
        <v>627.5</v>
      </c>
      <c r="F33" s="386">
        <f>Sheet10!D436</f>
        <v>2297.3000000000002</v>
      </c>
      <c r="G33" s="386">
        <f>Sheet10!C436</f>
        <v>198</v>
      </c>
      <c r="H33" s="384">
        <f>AVERAGE(C33:G33)</f>
        <v>933.5</v>
      </c>
    </row>
    <row r="34" spans="1:8" x14ac:dyDescent="0.15">
      <c r="C34" s="13"/>
      <c r="D34" s="13"/>
      <c r="E34" s="13"/>
      <c r="F34" s="13"/>
      <c r="G34" s="13"/>
      <c r="H34" s="13"/>
    </row>
    <row r="35" spans="1:8" x14ac:dyDescent="0.15">
      <c r="B35" s="382" t="s">
        <v>959</v>
      </c>
      <c r="C35" s="387">
        <f>C30/C29</f>
        <v>0.35033892258294691</v>
      </c>
      <c r="D35" s="387">
        <f>D30/D29</f>
        <v>0.39693801344286778</v>
      </c>
      <c r="E35" s="387">
        <f>E30/E29</f>
        <v>0.34387232761216507</v>
      </c>
      <c r="F35" s="387">
        <f>F30/F29</f>
        <v>0.30318819005086223</v>
      </c>
      <c r="G35" s="387">
        <f>G30/G29</f>
        <v>0.22883819254822516</v>
      </c>
      <c r="H35" s="387">
        <f>AVERAGE(C35:G35)</f>
        <v>0.32463512924741345</v>
      </c>
    </row>
    <row r="36" spans="1:8" x14ac:dyDescent="0.15">
      <c r="B36" s="14" t="s">
        <v>960</v>
      </c>
      <c r="C36" s="289">
        <f>IF(C33&lt;=0,"n/m",C30/C33)</f>
        <v>0.21537449281719487</v>
      </c>
      <c r="D36" s="289">
        <f>IF(D33&lt;=0,"n/m",D30/D33)</f>
        <v>0.33596713021491786</v>
      </c>
      <c r="E36" s="289">
        <f>IF(E33&lt;=0,"n/m",E30/E33)</f>
        <v>0.3639840637450199</v>
      </c>
      <c r="F36" s="289">
        <f>IF(F33&lt;=0,"n/m",F30/F33)</f>
        <v>0.10638575719322682</v>
      </c>
      <c r="G36" s="289">
        <f>IF(G33&lt;=0,"n/m",G30/G33)</f>
        <v>1.3121212121212122</v>
      </c>
      <c r="H36" s="289">
        <f t="array" ref="H36">AVERAGE(IF(ISNUMBER(C36:G36),C36:G36))</f>
        <v>0.4667665312183143</v>
      </c>
    </row>
    <row r="37" spans="1:8" x14ac:dyDescent="0.15">
      <c r="B37" s="14" t="s">
        <v>961</v>
      </c>
      <c r="C37" s="388">
        <f>C29/C30</f>
        <v>2.8543788187372705</v>
      </c>
      <c r="D37" s="388">
        <f>D29/D30</f>
        <v>2.5192850423330198</v>
      </c>
      <c r="E37" s="388">
        <f>E29/E30</f>
        <v>2.9080560420315233</v>
      </c>
      <c r="F37" s="388">
        <f>F29/F30</f>
        <v>3.2982815057283137</v>
      </c>
      <c r="G37" s="388">
        <f>G29/G30</f>
        <v>4.3698999230177051</v>
      </c>
      <c r="H37" s="388">
        <f>AVERAGE(C37:G37)</f>
        <v>3.1899802663695662</v>
      </c>
    </row>
    <row r="38" spans="1:8" x14ac:dyDescent="0.15">
      <c r="B38" s="14" t="s">
        <v>962</v>
      </c>
      <c r="C38" s="388">
        <f>IF(C33&lt;=0,"n/m",C33/C30)</f>
        <v>4.6430753564154781</v>
      </c>
      <c r="D38" s="388">
        <f>IF(D33&lt;=0,"n/m",D33/D30)</f>
        <v>2.9764816556914391</v>
      </c>
      <c r="E38" s="388">
        <f>IF(E33&lt;=0,"n/m",E33/E30)</f>
        <v>2.7473730297723291</v>
      </c>
      <c r="F38" s="388">
        <f>IF(F33&lt;=0,"n/m",F33/F30)</f>
        <v>9.3997545008183305</v>
      </c>
      <c r="G38" s="388">
        <f>IF(G33&lt;=0,"n/m",G33/G30)</f>
        <v>0.76212471131639714</v>
      </c>
      <c r="H38" s="388">
        <f t="array" ref="H38">AVERAGE(IF(ISNUMBER(C38:G38),C38:G38))</f>
        <v>4.1057618508027947</v>
      </c>
    </row>
    <row r="40" spans="1:8" x14ac:dyDescent="0.15">
      <c r="B40" s="30" t="s">
        <v>963</v>
      </c>
      <c r="C40" s="44"/>
      <c r="D40" s="44"/>
      <c r="E40" s="44"/>
      <c r="F40" s="44"/>
      <c r="G40" s="44"/>
      <c r="H40" s="44"/>
    </row>
    <row r="41" spans="1:8" x14ac:dyDescent="0.15">
      <c r="B41" s="406" t="s">
        <v>964</v>
      </c>
    </row>
    <row r="42" spans="1:8" x14ac:dyDescent="0.15">
      <c r="B42" s="406" t="s">
        <v>965</v>
      </c>
    </row>
    <row r="43" spans="1:8" x14ac:dyDescent="0.15">
      <c r="B43" s="406" t="s">
        <v>966</v>
      </c>
    </row>
    <row r="44" spans="1:8" x14ac:dyDescent="0.15">
      <c r="B44" s="406" t="s">
        <v>967</v>
      </c>
    </row>
    <row r="45" spans="1:8" x14ac:dyDescent="0.15">
      <c r="B45" s="406" t="s">
        <v>968</v>
      </c>
    </row>
    <row r="47" spans="1:8" ht="14" customHeight="1" x14ac:dyDescent="0.15">
      <c r="A47" s="346" t="s">
        <v>597</v>
      </c>
      <c r="B47" s="389" t="s">
        <v>969</v>
      </c>
      <c r="C47" s="110"/>
      <c r="D47" s="110"/>
      <c r="E47" s="110"/>
    </row>
    <row r="49" spans="2:8" x14ac:dyDescent="0.15">
      <c r="B49" s="30" t="s">
        <v>970</v>
      </c>
      <c r="C49" s="30" t="s">
        <v>82</v>
      </c>
      <c r="D49" s="30" t="s">
        <v>971</v>
      </c>
      <c r="E49" s="30" t="s">
        <v>972</v>
      </c>
      <c r="F49" s="30" t="s">
        <v>82</v>
      </c>
      <c r="G49" s="30" t="s">
        <v>973</v>
      </c>
    </row>
    <row r="50" spans="2:8" x14ac:dyDescent="0.15">
      <c r="B50" s="8" t="s">
        <v>104</v>
      </c>
      <c r="C50" s="390">
        <v>0.04</v>
      </c>
      <c r="D50" s="372" t="s">
        <v>974</v>
      </c>
      <c r="E50" s="8" t="s">
        <v>975</v>
      </c>
      <c r="F50" s="390">
        <f>C53</f>
        <v>8.55231291733409E-2</v>
      </c>
      <c r="G50" s="372" t="s">
        <v>976</v>
      </c>
    </row>
    <row r="51" spans="2:8" x14ac:dyDescent="0.15">
      <c r="B51" s="8" t="s">
        <v>977</v>
      </c>
      <c r="C51" s="391">
        <v>5.5E-2</v>
      </c>
      <c r="D51" s="372" t="s">
        <v>978</v>
      </c>
      <c r="E51" s="8" t="s">
        <v>979</v>
      </c>
      <c r="F51" s="391">
        <f>C50+C51</f>
        <v>9.5000000000000001E-2</v>
      </c>
      <c r="G51" s="372" t="s">
        <v>980</v>
      </c>
    </row>
    <row r="52" spans="2:8" x14ac:dyDescent="0.15">
      <c r="B52" s="8" t="s">
        <v>981</v>
      </c>
      <c r="C52" s="368">
        <f>'1. Share_Price_Analysis'!C17</f>
        <v>0.82769325769710733</v>
      </c>
      <c r="D52" s="372" t="s">
        <v>982</v>
      </c>
      <c r="E52" s="8" t="s">
        <v>983</v>
      </c>
      <c r="F52" s="368">
        <f>D76/$C$63+$C$58</f>
        <v>3.8326778836407865E-2</v>
      </c>
      <c r="G52" s="372" t="s">
        <v>984</v>
      </c>
    </row>
    <row r="53" spans="2:8" x14ac:dyDescent="0.15">
      <c r="B53" s="382" t="s">
        <v>985</v>
      </c>
      <c r="C53" s="392">
        <f>C50+C51*C52</f>
        <v>8.55231291733409E-2</v>
      </c>
      <c r="D53" s="371"/>
      <c r="E53" s="382" t="s">
        <v>986</v>
      </c>
      <c r="F53" s="392">
        <f>C53</f>
        <v>8.55231291733409E-2</v>
      </c>
      <c r="G53" s="371" t="s">
        <v>987</v>
      </c>
    </row>
    <row r="55" spans="2:8" x14ac:dyDescent="0.15">
      <c r="B55" s="30" t="s">
        <v>988</v>
      </c>
      <c r="C55" s="30" t="s">
        <v>82</v>
      </c>
      <c r="D55" s="30" t="s">
        <v>971</v>
      </c>
    </row>
    <row r="56" spans="2:8" x14ac:dyDescent="0.15">
      <c r="B56" s="8" t="s">
        <v>989</v>
      </c>
      <c r="C56" s="391">
        <v>0.08</v>
      </c>
      <c r="D56" s="372" t="s">
        <v>990</v>
      </c>
    </row>
    <row r="57" spans="2:8" x14ac:dyDescent="0.15">
      <c r="B57" s="8" t="s">
        <v>991</v>
      </c>
      <c r="C57" s="391">
        <v>0.06</v>
      </c>
      <c r="D57" s="372" t="s">
        <v>992</v>
      </c>
    </row>
    <row r="58" spans="2:8" x14ac:dyDescent="0.15">
      <c r="B58" s="8" t="s">
        <v>98</v>
      </c>
      <c r="C58" s="391">
        <v>0.03</v>
      </c>
      <c r="D58" s="372" t="s">
        <v>993</v>
      </c>
    </row>
    <row r="59" spans="2:8" x14ac:dyDescent="0.15">
      <c r="B59" s="8" t="s">
        <v>994</v>
      </c>
      <c r="C59" s="391">
        <v>0.28000000000000003</v>
      </c>
      <c r="D59" s="372" t="s">
        <v>995</v>
      </c>
    </row>
    <row r="60" spans="2:8" x14ac:dyDescent="0.15">
      <c r="B60" s="8" t="s">
        <v>996</v>
      </c>
      <c r="C60" s="368">
        <f>G16</f>
        <v>1.96</v>
      </c>
    </row>
    <row r="61" spans="2:8" x14ac:dyDescent="0.15">
      <c r="B61" s="8" t="s">
        <v>997</v>
      </c>
      <c r="C61" s="368">
        <f>G18</f>
        <v>8.15</v>
      </c>
      <c r="H61" s="393"/>
    </row>
    <row r="62" spans="2:8" x14ac:dyDescent="0.15">
      <c r="B62" s="8" t="s">
        <v>876</v>
      </c>
      <c r="C62" s="368">
        <f>'6. Mutliple_Valuation'!C50</f>
        <v>130.58000000000001</v>
      </c>
      <c r="H62" s="393"/>
    </row>
    <row r="63" spans="2:8" x14ac:dyDescent="0.15">
      <c r="B63" s="8" t="s">
        <v>120</v>
      </c>
      <c r="C63" s="368">
        <f>'6. Mutliple_Valuation'!C49</f>
        <v>295.98</v>
      </c>
    </row>
    <row r="64" spans="2:8" x14ac:dyDescent="0.15">
      <c r="B64" s="8" t="s">
        <v>854</v>
      </c>
      <c r="C64" s="368">
        <f>'6. Mutliple_Valuation'!C52</f>
        <v>4190</v>
      </c>
    </row>
    <row r="68" spans="1:9" x14ac:dyDescent="0.15">
      <c r="A68" s="346"/>
      <c r="B68" s="51" t="s">
        <v>998</v>
      </c>
      <c r="C68" s="110"/>
      <c r="D68" s="110"/>
      <c r="E68" s="110"/>
      <c r="F68" s="110"/>
      <c r="G68" s="110"/>
      <c r="H68" s="110"/>
      <c r="I68" s="110"/>
    </row>
    <row r="70" spans="1:9" x14ac:dyDescent="0.15">
      <c r="B70" s="374"/>
      <c r="C70" s="375" t="s">
        <v>999</v>
      </c>
      <c r="D70" s="375" t="s">
        <v>1000</v>
      </c>
      <c r="E70" s="375" t="s">
        <v>1001</v>
      </c>
      <c r="F70" s="375" t="s">
        <v>1002</v>
      </c>
      <c r="G70" s="375" t="s">
        <v>1003</v>
      </c>
      <c r="H70" s="375" t="s">
        <v>1004</v>
      </c>
      <c r="I70" s="375" t="s">
        <v>1005</v>
      </c>
    </row>
    <row r="71" spans="1:9" x14ac:dyDescent="0.15">
      <c r="B71" s="8" t="s">
        <v>1006</v>
      </c>
      <c r="C71" s="394">
        <v>0</v>
      </c>
      <c r="D71" s="394">
        <v>1</v>
      </c>
      <c r="E71" s="394">
        <v>2</v>
      </c>
      <c r="F71" s="394">
        <v>3</v>
      </c>
      <c r="G71" s="394">
        <v>4</v>
      </c>
      <c r="H71" s="394">
        <v>5</v>
      </c>
      <c r="I71" s="394">
        <v>5</v>
      </c>
    </row>
    <row r="72" spans="1:9" x14ac:dyDescent="0.15">
      <c r="B72" s="8" t="s">
        <v>1007</v>
      </c>
      <c r="C72" s="284" t="s">
        <v>459</v>
      </c>
      <c r="D72" s="395" t="s">
        <v>1008</v>
      </c>
      <c r="E72" s="395" t="s">
        <v>1008</v>
      </c>
      <c r="F72" s="396" t="s">
        <v>1009</v>
      </c>
      <c r="G72" s="396" t="s">
        <v>1009</v>
      </c>
      <c r="H72" s="396" t="s">
        <v>1009</v>
      </c>
      <c r="I72" s="397" t="s">
        <v>1005</v>
      </c>
    </row>
    <row r="73" spans="1:9" x14ac:dyDescent="0.15">
      <c r="B73" s="8" t="s">
        <v>1010</v>
      </c>
      <c r="C73" s="8" t="s">
        <v>459</v>
      </c>
      <c r="D73" s="398">
        <f>$C$56</f>
        <v>0.08</v>
      </c>
      <c r="E73" s="398">
        <f>$C$56</f>
        <v>0.08</v>
      </c>
      <c r="F73" s="398">
        <f>$C$57</f>
        <v>0.06</v>
      </c>
      <c r="G73" s="398">
        <f>$C$57</f>
        <v>0.06</v>
      </c>
      <c r="H73" s="398">
        <f>$C$57</f>
        <v>0.06</v>
      </c>
      <c r="I73" s="398">
        <f>$C$58</f>
        <v>0.03</v>
      </c>
    </row>
    <row r="74" spans="1:9" x14ac:dyDescent="0.15">
      <c r="B74" s="8" t="s">
        <v>1011</v>
      </c>
      <c r="C74" s="368">
        <f>C61</f>
        <v>8.15</v>
      </c>
      <c r="D74" s="366">
        <f>C74*(1+D73)</f>
        <v>8.8020000000000014</v>
      </c>
      <c r="E74" s="366">
        <f>D74*(1+E73)</f>
        <v>9.5061600000000013</v>
      </c>
      <c r="F74" s="366">
        <f>E74*(1+F73)</f>
        <v>10.076529600000002</v>
      </c>
      <c r="G74" s="366">
        <f>F74*(1+G73)</f>
        <v>10.681121376000004</v>
      </c>
      <c r="H74" s="366">
        <f>G74*(1+H73)</f>
        <v>11.321988658560004</v>
      </c>
      <c r="I74" s="366"/>
    </row>
    <row r="75" spans="1:9" x14ac:dyDescent="0.15">
      <c r="B75" s="8" t="s">
        <v>994</v>
      </c>
      <c r="C75" s="368">
        <v>0.24</v>
      </c>
      <c r="D75" s="368">
        <f>C59</f>
        <v>0.28000000000000003</v>
      </c>
      <c r="E75" s="368">
        <f>$C$59</f>
        <v>0.28000000000000003</v>
      </c>
      <c r="F75" s="368">
        <f>$C$59</f>
        <v>0.28000000000000003</v>
      </c>
      <c r="G75" s="368">
        <f>$C$59</f>
        <v>0.28000000000000003</v>
      </c>
      <c r="H75" s="368">
        <f>$C$59</f>
        <v>0.28000000000000003</v>
      </c>
      <c r="I75" s="366"/>
    </row>
    <row r="76" spans="1:9" x14ac:dyDescent="0.15">
      <c r="B76" s="382" t="s">
        <v>1012</v>
      </c>
      <c r="C76" s="399">
        <f t="shared" ref="C76:H76" si="0">C74*C75</f>
        <v>1.956</v>
      </c>
      <c r="D76" s="400">
        <f t="shared" si="0"/>
        <v>2.4645600000000005</v>
      </c>
      <c r="E76" s="400">
        <f t="shared" si="0"/>
        <v>2.6617248000000004</v>
      </c>
      <c r="F76" s="400">
        <f t="shared" si="0"/>
        <v>2.8214282880000008</v>
      </c>
      <c r="G76" s="400">
        <f t="shared" si="0"/>
        <v>2.9907139852800011</v>
      </c>
      <c r="H76" s="400">
        <f t="shared" si="0"/>
        <v>3.1701568243968015</v>
      </c>
      <c r="I76" s="366"/>
    </row>
    <row r="77" spans="1:9" x14ac:dyDescent="0.15">
      <c r="B77" s="8" t="s">
        <v>1013</v>
      </c>
      <c r="C77" s="366" t="s">
        <v>459</v>
      </c>
      <c r="D77" s="366">
        <f>D76/C76-1</f>
        <v>0.26000000000000023</v>
      </c>
      <c r="E77" s="366">
        <f>E76/D76-1</f>
        <v>7.9999999999999849E-2</v>
      </c>
      <c r="F77" s="366">
        <f>F76/E76-1</f>
        <v>6.0000000000000053E-2</v>
      </c>
      <c r="G77" s="366">
        <f>G76/F76-1</f>
        <v>6.0000000000000053E-2</v>
      </c>
      <c r="H77" s="366">
        <f>H76/G76-1</f>
        <v>6.0000000000000053E-2</v>
      </c>
      <c r="I77" s="366"/>
    </row>
    <row r="78" spans="1:9" x14ac:dyDescent="0.15">
      <c r="C78" s="366"/>
      <c r="D78" s="366"/>
      <c r="E78" s="366"/>
      <c r="F78" s="366"/>
      <c r="G78" s="366"/>
      <c r="H78" s="366"/>
      <c r="I78" s="366"/>
    </row>
    <row r="79" spans="1:9" x14ac:dyDescent="0.15">
      <c r="B79" s="8" t="s">
        <v>1014</v>
      </c>
      <c r="C79" s="366"/>
      <c r="D79" s="366">
        <f t="shared" ref="D79:I79" si="1">1/(1+$C$53)^D71</f>
        <v>0.92121482548375599</v>
      </c>
      <c r="E79" s="366">
        <f t="shared" si="1"/>
        <v>0.84863675469106703</v>
      </c>
      <c r="F79" s="366">
        <f t="shared" si="1"/>
        <v>0.78177675987183237</v>
      </c>
      <c r="G79" s="366">
        <f t="shared" si="1"/>
        <v>0.72018434141258636</v>
      </c>
      <c r="H79" s="366">
        <f t="shared" si="1"/>
        <v>0.66344449239052949</v>
      </c>
      <c r="I79" s="366">
        <f t="shared" si="1"/>
        <v>0.66344449239052949</v>
      </c>
    </row>
    <row r="80" spans="1:9" x14ac:dyDescent="0.15">
      <c r="B80" s="8" t="s">
        <v>1015</v>
      </c>
      <c r="C80" s="366"/>
      <c r="D80" s="366">
        <f>D76*D79</f>
        <v>2.2703892102942462</v>
      </c>
      <c r="E80" s="366">
        <f>E76*E79</f>
        <v>2.2588374961527298</v>
      </c>
      <c r="F80" s="366">
        <f>F76*F79</f>
        <v>2.2057270652033716</v>
      </c>
      <c r="G80" s="366">
        <f>G76*G79</f>
        <v>2.153865381842289</v>
      </c>
      <c r="H80" s="366">
        <f>H76*H79</f>
        <v>2.1032230851603089</v>
      </c>
      <c r="I80" s="366"/>
    </row>
    <row r="81" spans="2:9" x14ac:dyDescent="0.15">
      <c r="B81" s="8" t="s">
        <v>1016</v>
      </c>
      <c r="C81" s="366"/>
      <c r="D81" s="366"/>
      <c r="E81" s="366"/>
      <c r="F81" s="366"/>
      <c r="G81" s="366"/>
      <c r="H81" s="366"/>
      <c r="I81" s="366">
        <f>H76*(1+$C$58)/($C$53-$C$58)</f>
        <v>58.809032879517552</v>
      </c>
    </row>
    <row r="82" spans="2:9" x14ac:dyDescent="0.15">
      <c r="B82" s="378" t="s">
        <v>1017</v>
      </c>
      <c r="C82" s="401"/>
      <c r="D82" s="401"/>
      <c r="E82" s="401"/>
      <c r="F82" s="401"/>
      <c r="G82" s="401"/>
      <c r="H82" s="401"/>
      <c r="I82" s="401">
        <f>I81*I79</f>
        <v>39.016528966729481</v>
      </c>
    </row>
    <row r="83" spans="2:9" x14ac:dyDescent="0.15">
      <c r="C83" s="366"/>
      <c r="D83" s="366"/>
      <c r="E83" s="366"/>
      <c r="F83" s="366"/>
      <c r="G83" s="366"/>
      <c r="H83" s="366"/>
      <c r="I83" s="366"/>
    </row>
    <row r="84" spans="2:9" x14ac:dyDescent="0.15">
      <c r="B84" s="30" t="s">
        <v>1018</v>
      </c>
      <c r="C84" s="30" t="s">
        <v>1019</v>
      </c>
    </row>
    <row r="85" spans="2:9" x14ac:dyDescent="0.15">
      <c r="B85" s="8" t="s">
        <v>1020</v>
      </c>
      <c r="C85" s="366">
        <f>SUM(D80:H80)</f>
        <v>10.992042238652946</v>
      </c>
    </row>
    <row r="86" spans="2:9" x14ac:dyDescent="0.15">
      <c r="B86" s="8" t="s">
        <v>1017</v>
      </c>
      <c r="C86" s="366">
        <f>I82</f>
        <v>39.016528966729481</v>
      </c>
    </row>
    <row r="87" spans="2:9" ht="14" customHeight="1" thickBot="1" x14ac:dyDescent="0.2">
      <c r="B87" s="402" t="s">
        <v>1021</v>
      </c>
      <c r="C87" s="367">
        <f>C85+C86</f>
        <v>50.008571205382424</v>
      </c>
    </row>
    <row r="88" spans="2:9" ht="14" customHeight="1" thickTop="1" x14ac:dyDescent="0.15">
      <c r="C88" s="366"/>
    </row>
    <row r="89" spans="2:9" x14ac:dyDescent="0.15">
      <c r="B89" s="8" t="s">
        <v>1022</v>
      </c>
      <c r="C89" s="368">
        <f>C63</f>
        <v>295.98</v>
      </c>
    </row>
    <row r="90" spans="2:9" x14ac:dyDescent="0.15">
      <c r="B90" s="8" t="s">
        <v>1023</v>
      </c>
      <c r="C90" s="366">
        <f>C87/C89-1</f>
        <v>-0.83104070813777142</v>
      </c>
    </row>
    <row r="91" spans="2:9" x14ac:dyDescent="0.15">
      <c r="B91" s="14" t="s">
        <v>1024</v>
      </c>
      <c r="C91" s="369" t="str">
        <f>IF(C90&gt;0.1,"BUY",IF(C90&lt;-0.1,"SELL","HOLD"))</f>
        <v>SELL</v>
      </c>
    </row>
    <row r="92" spans="2:9" x14ac:dyDescent="0.15">
      <c r="C92" s="366"/>
    </row>
    <row r="93" spans="2:9" x14ac:dyDescent="0.15">
      <c r="B93" s="30" t="s">
        <v>1025</v>
      </c>
      <c r="C93" s="370" t="s">
        <v>523</v>
      </c>
    </row>
    <row r="94" spans="2:9" x14ac:dyDescent="0.15">
      <c r="B94" s="8" t="s">
        <v>1026</v>
      </c>
      <c r="C94" s="366">
        <f>C85/C87</f>
        <v>0.2198031652116042</v>
      </c>
    </row>
    <row r="95" spans="2:9" x14ac:dyDescent="0.15">
      <c r="B95" s="8" t="s">
        <v>1017</v>
      </c>
      <c r="C95" s="366">
        <f>C86/C87</f>
        <v>0.78019683478839585</v>
      </c>
    </row>
    <row r="96" spans="2:9" x14ac:dyDescent="0.15">
      <c r="C96" s="366"/>
    </row>
    <row r="97" spans="1:9" x14ac:dyDescent="0.15">
      <c r="B97" s="30" t="s">
        <v>1027</v>
      </c>
      <c r="C97" s="370" t="s">
        <v>1028</v>
      </c>
    </row>
    <row r="98" spans="1:9" x14ac:dyDescent="0.15">
      <c r="B98" s="8" t="s">
        <v>1029</v>
      </c>
      <c r="C98" s="366">
        <f>C87</f>
        <v>50.008571205382424</v>
      </c>
    </row>
    <row r="99" spans="1:9" x14ac:dyDescent="0.15">
      <c r="B99" s="8" t="s">
        <v>1030</v>
      </c>
      <c r="C99" s="368">
        <f>C62</f>
        <v>130.58000000000001</v>
      </c>
    </row>
    <row r="100" spans="1:9" x14ac:dyDescent="0.15">
      <c r="B100" s="8" t="s">
        <v>1031</v>
      </c>
      <c r="C100" s="366">
        <f>C98*C99</f>
        <v>6530.1192279988372</v>
      </c>
    </row>
    <row r="101" spans="1:9" x14ac:dyDescent="0.15">
      <c r="B101" s="8" t="s">
        <v>1032</v>
      </c>
      <c r="C101" s="368">
        <f>C64</f>
        <v>4190</v>
      </c>
    </row>
    <row r="102" spans="1:9" x14ac:dyDescent="0.15">
      <c r="B102" s="382" t="s">
        <v>1033</v>
      </c>
      <c r="C102" s="403">
        <f>C100+C101</f>
        <v>10720.119227998837</v>
      </c>
    </row>
    <row r="104" spans="1:9" x14ac:dyDescent="0.15">
      <c r="A104" s="346" t="s">
        <v>1034</v>
      </c>
      <c r="B104" s="51" t="s">
        <v>1035</v>
      </c>
      <c r="C104" s="110"/>
      <c r="D104" s="110"/>
      <c r="E104" s="110"/>
      <c r="F104" s="110"/>
      <c r="G104" s="110"/>
      <c r="H104" s="110"/>
      <c r="I104" s="110"/>
    </row>
    <row r="106" spans="1:9" x14ac:dyDescent="0.15">
      <c r="B106" s="14" t="s">
        <v>1036</v>
      </c>
    </row>
    <row r="107" spans="1:9" x14ac:dyDescent="0.15">
      <c r="B107" s="215" t="s">
        <v>1037</v>
      </c>
      <c r="C107" s="404">
        <v>1.4999999999999999E-2</v>
      </c>
      <c r="D107" s="404">
        <v>0.02</v>
      </c>
      <c r="E107" s="404">
        <v>2.5000000000000001E-2</v>
      </c>
      <c r="F107" s="404">
        <v>0.03</v>
      </c>
      <c r="G107" s="404">
        <v>3.5000000000000003E-2</v>
      </c>
      <c r="H107" s="404">
        <v>0.04</v>
      </c>
      <c r="I107" s="404">
        <v>4.4999999999999998E-2</v>
      </c>
    </row>
    <row r="108" spans="1:9" x14ac:dyDescent="0.15">
      <c r="B108" s="405">
        <v>6.5000000000000002E-2</v>
      </c>
      <c r="C108" s="288">
        <f t="shared" ref="C108:I114" si="2">IF(C$107&gt;=$B108,"-",$C$61*(1+$C$56)*$C$59/(1+$B108)^1+$C$61*(1+$C$56)^2*$C$59/(1+$B108)^2+$C$61*(1+$C$56)^2*(1+$C$57)*$C$59/(1+$B108)^3+$C$61*(1+$C$56)^2*(1+$C$57)^2*$C$59/(1+$B108)^4+$C$61*(1+$C$56)^2*(1+$C$57)^3*$C$59/(1+$B108)^5+($C$61*(1+$C$56)^2*(1+$C$57)^3*$C$59*(1+C$107)/($B108-C$107))/(1+$B108)^5)</f>
        <v>58.606065135226629</v>
      </c>
      <c r="D108" s="288">
        <f t="shared" si="2"/>
        <v>64.082145360474243</v>
      </c>
      <c r="E108" s="288">
        <f t="shared" si="2"/>
        <v>70.927245642033725</v>
      </c>
      <c r="F108" s="288">
        <f t="shared" si="2"/>
        <v>79.728088861181647</v>
      </c>
      <c r="G108" s="288">
        <f t="shared" si="2"/>
        <v>91.462546486712213</v>
      </c>
      <c r="H108" s="288">
        <f t="shared" si="2"/>
        <v>107.89078716245503</v>
      </c>
      <c r="I108" s="288">
        <f t="shared" si="2"/>
        <v>132.53314817606918</v>
      </c>
    </row>
    <row r="109" spans="1:9" x14ac:dyDescent="0.15">
      <c r="B109" s="405">
        <v>7.4999999999999997E-2</v>
      </c>
      <c r="C109" s="288">
        <f t="shared" si="2"/>
        <v>48.670063125525488</v>
      </c>
      <c r="D109" s="288">
        <f t="shared" si="2"/>
        <v>52.266752685499007</v>
      </c>
      <c r="E109" s="288">
        <f t="shared" si="2"/>
        <v>56.582780157467212</v>
      </c>
      <c r="F109" s="288">
        <f t="shared" si="2"/>
        <v>61.85792484542835</v>
      </c>
      <c r="G109" s="288">
        <f t="shared" si="2"/>
        <v>68.451855705379785</v>
      </c>
      <c r="H109" s="288">
        <f t="shared" si="2"/>
        <v>76.929766811031641</v>
      </c>
      <c r="I109" s="288">
        <f t="shared" si="2"/>
        <v>88.233648285234082</v>
      </c>
    </row>
    <row r="110" spans="1:9" x14ac:dyDescent="0.15">
      <c r="B110" s="405">
        <v>8.5000000000000006E-2</v>
      </c>
      <c r="C110" s="288">
        <f t="shared" si="2"/>
        <v>41.57806488468394</v>
      </c>
      <c r="D110" s="288">
        <f t="shared" si="2"/>
        <v>44.091805150157882</v>
      </c>
      <c r="E110" s="288">
        <f t="shared" si="2"/>
        <v>47.024502126544149</v>
      </c>
      <c r="F110" s="428">
        <f t="shared" si="2"/>
        <v>50.49041673500065</v>
      </c>
      <c r="G110" s="288">
        <f t="shared" si="2"/>
        <v>54.649514265148454</v>
      </c>
      <c r="H110" s="288">
        <f t="shared" si="2"/>
        <v>59.732855690884662</v>
      </c>
      <c r="I110" s="288">
        <f t="shared" si="2"/>
        <v>66.08703247305489</v>
      </c>
    </row>
    <row r="111" spans="1:9" x14ac:dyDescent="0.15">
      <c r="B111" s="405">
        <v>9.5000000000000001E-2</v>
      </c>
      <c r="C111" s="288">
        <f t="shared" si="2"/>
        <v>36.26335780726702</v>
      </c>
      <c r="D111" s="288">
        <f t="shared" si="2"/>
        <v>38.100924135068801</v>
      </c>
      <c r="E111" s="288">
        <f t="shared" si="2"/>
        <v>40.200999938270833</v>
      </c>
      <c r="F111" s="288">
        <f t="shared" si="2"/>
        <v>42.624164326580882</v>
      </c>
      <c r="G111" s="288">
        <f t="shared" si="2"/>
        <v>45.451189446275933</v>
      </c>
      <c r="H111" s="288">
        <f t="shared" si="2"/>
        <v>48.792219133188269</v>
      </c>
      <c r="I111" s="288">
        <f t="shared" si="2"/>
        <v>52.801454757483064</v>
      </c>
    </row>
    <row r="112" spans="1:9" x14ac:dyDescent="0.15">
      <c r="B112" s="405">
        <v>0.105</v>
      </c>
      <c r="C112" s="288">
        <f t="shared" si="2"/>
        <v>32.133334460937036</v>
      </c>
      <c r="D112" s="288">
        <f t="shared" si="2"/>
        <v>33.523095729005433</v>
      </c>
      <c r="E112" s="288">
        <f t="shared" si="2"/>
        <v>35.086577155582361</v>
      </c>
      <c r="F112" s="288">
        <f t="shared" si="2"/>
        <v>36.858522772369554</v>
      </c>
      <c r="G112" s="288">
        <f t="shared" si="2"/>
        <v>38.88360347726919</v>
      </c>
      <c r="H112" s="288">
        <f t="shared" si="2"/>
        <v>41.220235059845706</v>
      </c>
      <c r="I112" s="288">
        <f t="shared" si="2"/>
        <v>43.946305239518303</v>
      </c>
    </row>
    <row r="113" spans="2:9" x14ac:dyDescent="0.15">
      <c r="B113" s="405">
        <v>0.115</v>
      </c>
      <c r="C113" s="288">
        <f t="shared" si="2"/>
        <v>28.832439363371563</v>
      </c>
      <c r="D113" s="288">
        <f t="shared" si="2"/>
        <v>29.911951865447179</v>
      </c>
      <c r="E113" s="288">
        <f t="shared" si="2"/>
        <v>31.111410201086755</v>
      </c>
      <c r="F113" s="288">
        <f t="shared" si="2"/>
        <v>32.451981282095694</v>
      </c>
      <c r="G113" s="288">
        <f t="shared" si="2"/>
        <v>33.96012374823075</v>
      </c>
      <c r="H113" s="288">
        <f t="shared" si="2"/>
        <v>35.669351876517148</v>
      </c>
      <c r="I113" s="288">
        <f t="shared" si="2"/>
        <v>37.6227554517016</v>
      </c>
    </row>
    <row r="114" spans="2:9" x14ac:dyDescent="0.15">
      <c r="B114" s="405">
        <v>0.125</v>
      </c>
      <c r="C114" s="288">
        <f t="shared" si="2"/>
        <v>26.1344175606691</v>
      </c>
      <c r="D114" s="288">
        <f t="shared" si="2"/>
        <v>26.991176564432603</v>
      </c>
      <c r="E114" s="288">
        <f t="shared" si="2"/>
        <v>27.933611468572455</v>
      </c>
      <c r="F114" s="288">
        <f t="shared" si="2"/>
        <v>28.975250046832294</v>
      </c>
      <c r="G114" s="288">
        <f t="shared" si="2"/>
        <v>30.132626244898777</v>
      </c>
      <c r="H114" s="288">
        <f t="shared" si="2"/>
        <v>31.426164348620144</v>
      </c>
      <c r="I114" s="288">
        <f t="shared" si="2"/>
        <v>32.881394715306676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C102"/>
  <sheetViews>
    <sheetView showGridLines="0" workbookViewId="0">
      <pane xSplit="1" ySplit="21" topLeftCell="B22" activePane="bottomRight" state="frozen"/>
      <selection pane="topRight"/>
      <selection pane="bottomLeft"/>
      <selection pane="bottomRight" activeCell="O35" sqref="O35"/>
    </sheetView>
  </sheetViews>
  <sheetFormatPr baseColWidth="10" defaultColWidth="8.83203125" defaultRowHeight="13" x14ac:dyDescent="0.15"/>
  <cols>
    <col min="1" max="1" width="30" style="8" customWidth="1"/>
    <col min="2" max="6" width="13" style="8" customWidth="1"/>
    <col min="7" max="7" width="3" style="8" customWidth="1"/>
    <col min="8" max="9" width="5.33203125" style="8" customWidth="1"/>
    <col min="10" max="10" width="25" style="8" customWidth="1"/>
    <col min="11" max="14" width="14" style="8" customWidth="1"/>
    <col min="15" max="22" width="8.83203125" style="8" customWidth="1"/>
    <col min="23" max="29" width="12" style="8" hidden="1" customWidth="1"/>
    <col min="30" max="30" width="8.83203125" style="8" customWidth="1"/>
    <col min="31" max="16384" width="8.83203125" style="8"/>
  </cols>
  <sheetData>
    <row r="1" spans="1:14" x14ac:dyDescent="0.15">
      <c r="A1" s="660" t="s">
        <v>1038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</row>
    <row r="2" spans="1:14" x14ac:dyDescent="0.15">
      <c r="A2" s="662" t="s">
        <v>1039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</row>
    <row r="4" spans="1:14" x14ac:dyDescent="0.15">
      <c r="A4" s="660" t="s">
        <v>1040</v>
      </c>
      <c r="B4" s="661"/>
      <c r="E4" s="660" t="s">
        <v>1041</v>
      </c>
      <c r="F4" s="661"/>
      <c r="J4" s="660" t="s">
        <v>1042</v>
      </c>
      <c r="K4" s="661"/>
      <c r="L4" s="661"/>
      <c r="M4" s="661"/>
      <c r="N4" s="661"/>
    </row>
    <row r="5" spans="1:14" x14ac:dyDescent="0.15">
      <c r="A5" s="444" t="s">
        <v>1043</v>
      </c>
      <c r="B5" s="445" t="s">
        <v>1044</v>
      </c>
      <c r="E5" s="444" t="s">
        <v>1045</v>
      </c>
      <c r="F5" s="446">
        <f>'DCF-WACC '!$C$4</f>
        <v>0.04</v>
      </c>
      <c r="J5" s="447" t="s">
        <v>1046</v>
      </c>
      <c r="K5" s="448">
        <f>SUM(B55:F55)</f>
        <v>5771.664878041548</v>
      </c>
      <c r="L5" s="449"/>
      <c r="M5" s="447" t="s">
        <v>1047</v>
      </c>
      <c r="N5" s="448">
        <f>SUM(B57:F57)</f>
        <v>4918.827209599759</v>
      </c>
    </row>
    <row r="6" spans="1:14" x14ac:dyDescent="0.15">
      <c r="A6" s="444" t="s">
        <v>1048</v>
      </c>
      <c r="B6" s="446">
        <f>AVERAGE('DCF_Forecast Revenue'!$H$49:'DCF_Forecast Revenue'!$I$49)</f>
        <v>0.72829863061557221</v>
      </c>
      <c r="E6" s="444" t="s">
        <v>1049</v>
      </c>
      <c r="F6" s="446">
        <f>'DCF-WACC '!$C$5</f>
        <v>5.5E-2</v>
      </c>
      <c r="J6" s="447" t="s">
        <v>1050</v>
      </c>
      <c r="K6" s="448">
        <f>F45*(1+$B$15)/($F$10-$B$15)</f>
        <v>40555.91994477874</v>
      </c>
      <c r="L6" s="449"/>
      <c r="M6" s="447" t="s">
        <v>1050</v>
      </c>
      <c r="N6" s="448">
        <f>F46*(1+$B$15)/($F$8-$B$15)</f>
        <v>27226.970521645322</v>
      </c>
    </row>
    <row r="7" spans="1:14" x14ac:dyDescent="0.15">
      <c r="A7" s="444" t="s">
        <v>1051</v>
      </c>
      <c r="B7" s="446">
        <f>AVERAGE('DCF_Forecast Revenue'!$H$53:'DCF_Forecast Revenue'!$I$53)</f>
        <v>7.1317738645020085E-2</v>
      </c>
      <c r="E7" s="444" t="s">
        <v>1052</v>
      </c>
      <c r="F7" s="450">
        <f>'DCF-WACC '!$C$6</f>
        <v>0.83</v>
      </c>
      <c r="J7" s="447" t="s">
        <v>1017</v>
      </c>
      <c r="K7" s="448">
        <f>K6*F54</f>
        <v>28724.842254180559</v>
      </c>
      <c r="L7" s="449"/>
      <c r="M7" s="447" t="s">
        <v>1017</v>
      </c>
      <c r="N7" s="448">
        <f>N6*F56</f>
        <v>18053.031404680154</v>
      </c>
    </row>
    <row r="8" spans="1:14" x14ac:dyDescent="0.15">
      <c r="A8" s="444" t="s">
        <v>1053</v>
      </c>
      <c r="B8" s="446">
        <f>AVERAGE('DCF_Forecast Revenue'!$H$55:'DCF_Forecast Revenue'!$I$55)</f>
        <v>1.0112557335283526E-2</v>
      </c>
      <c r="E8" s="444" t="s">
        <v>1054</v>
      </c>
      <c r="F8" s="446">
        <f>'DCF-WACC '!$C$3</f>
        <v>8.5650000000000004E-2</v>
      </c>
      <c r="J8" s="447" t="s">
        <v>378</v>
      </c>
      <c r="K8" s="448">
        <f>K5+K7</f>
        <v>34496.507132222105</v>
      </c>
      <c r="L8" s="449"/>
      <c r="M8" s="447" t="s">
        <v>1055</v>
      </c>
      <c r="N8" s="448">
        <f>N5+N7</f>
        <v>22971.858614279914</v>
      </c>
    </row>
    <row r="9" spans="1:14" x14ac:dyDescent="0.15">
      <c r="A9" s="444" t="s">
        <v>1056</v>
      </c>
      <c r="B9" s="446">
        <f>AVERAGE('DCF_Forecast Revenue'!$H$59:'DCF_Forecast Revenue'!$I$59)</f>
        <v>8.9743093555150089E-2</v>
      </c>
      <c r="E9" s="444" t="s">
        <v>1057</v>
      </c>
      <c r="F9" s="446">
        <f>'DCF_Forecast Revenue'!$R$51</f>
        <v>4.6278037765907457E-2</v>
      </c>
      <c r="J9" s="447" t="s">
        <v>1058</v>
      </c>
      <c r="K9" s="448">
        <f>$F$13</f>
        <v>4190</v>
      </c>
      <c r="L9" s="449"/>
      <c r="M9" s="447" t="s">
        <v>1059</v>
      </c>
      <c r="N9" s="448">
        <f>N8/$F$11</f>
        <v>175.92172319099336</v>
      </c>
    </row>
    <row r="10" spans="1:14" x14ac:dyDescent="0.15">
      <c r="A10" s="444" t="s">
        <v>1060</v>
      </c>
      <c r="B10" s="446">
        <f>AVERAGE('DCF_Forecast Revenue'!$H$160:'DCF_Forecast Revenue'!$I$160)</f>
        <v>8.335068484330746E-2</v>
      </c>
      <c r="E10" s="444" t="s">
        <v>1061</v>
      </c>
      <c r="F10" s="446">
        <f>'DCF-WACC '!$C$15</f>
        <v>7.1418943952732572E-2</v>
      </c>
      <c r="J10" s="447" t="s">
        <v>1055</v>
      </c>
      <c r="K10" s="448">
        <f>K8-K9</f>
        <v>30306.507132222105</v>
      </c>
      <c r="L10" s="449"/>
      <c r="M10" s="447" t="s">
        <v>1062</v>
      </c>
      <c r="N10" s="446">
        <f>N9/$F$12-1</f>
        <v>-0.40562969392866632</v>
      </c>
    </row>
    <row r="11" spans="1:14" x14ac:dyDescent="0.15">
      <c r="A11" s="444" t="s">
        <v>1063</v>
      </c>
      <c r="B11" s="446">
        <f>AVERAGE('DCF_Forecast Revenue'!$H$67:'DCF_Forecast Revenue'!$I$67)</f>
        <v>0.21031365301882837</v>
      </c>
      <c r="E11" s="444" t="s">
        <v>1064</v>
      </c>
      <c r="F11" s="448">
        <f>'6. Mutliple_Valuation'!$C$50</f>
        <v>130.58000000000001</v>
      </c>
      <c r="J11" s="447" t="s">
        <v>1059</v>
      </c>
      <c r="K11" s="448">
        <f>K10/$F$11</f>
        <v>232.091492818365</v>
      </c>
      <c r="L11" s="449"/>
      <c r="M11" s="447" t="s">
        <v>1065</v>
      </c>
      <c r="N11" s="448">
        <f>N9-K11</f>
        <v>-56.169769627371636</v>
      </c>
    </row>
    <row r="12" spans="1:14" x14ac:dyDescent="0.15">
      <c r="A12" s="444" t="s">
        <v>95</v>
      </c>
      <c r="B12" s="451">
        <f>AVERAGE('DCF_Forecast Revenue'!$H$140:'DCF_Forecast Revenue'!$I$140)</f>
        <v>42.35469033991366</v>
      </c>
      <c r="E12" s="444" t="s">
        <v>1066</v>
      </c>
      <c r="F12" s="448">
        <f>'6. Mutliple_Valuation'!$C$49</f>
        <v>295.98</v>
      </c>
      <c r="J12" s="447" t="s">
        <v>1062</v>
      </c>
      <c r="K12" s="446">
        <f>K11/$F$12-1</f>
        <v>-0.21585413602822834</v>
      </c>
      <c r="L12" s="449"/>
      <c r="M12" s="449"/>
      <c r="N12" s="449"/>
    </row>
    <row r="13" spans="1:14" x14ac:dyDescent="0.15">
      <c r="A13" s="444" t="s">
        <v>96</v>
      </c>
      <c r="B13" s="451">
        <f>AVERAGE('DCF_Forecast Revenue'!$H$141:'DCF_Forecast Revenue'!$I$141)</f>
        <v>44.502015763378466</v>
      </c>
      <c r="E13" s="444" t="s">
        <v>1067</v>
      </c>
      <c r="F13" s="448">
        <f>'6. Mutliple_Valuation'!$C$52</f>
        <v>4190</v>
      </c>
    </row>
    <row r="14" spans="1:14" x14ac:dyDescent="0.15">
      <c r="A14" s="444" t="s">
        <v>97</v>
      </c>
      <c r="B14" s="451">
        <f>AVERAGE('DCF_Forecast Revenue'!$H$142:'DCF_Forecast Revenue'!$I$142)</f>
        <v>27.586927066126655</v>
      </c>
      <c r="E14" s="444" t="s">
        <v>1068</v>
      </c>
      <c r="F14" s="448">
        <f>'DCF_Forecast Revenue'!$I$168</f>
        <v>4372.8999999999996</v>
      </c>
    </row>
    <row r="15" spans="1:14" x14ac:dyDescent="0.15">
      <c r="A15" s="444" t="s">
        <v>1069</v>
      </c>
      <c r="B15" s="446">
        <f>'DCF_Forecast Revenue'!$R$56</f>
        <v>0.03</v>
      </c>
      <c r="E15" s="444" t="s">
        <v>1070</v>
      </c>
      <c r="F15" s="448">
        <f>'DCF_Forecast Revenue'!$I$73</f>
        <v>183.3</v>
      </c>
    </row>
    <row r="16" spans="1:14" x14ac:dyDescent="0.15">
      <c r="A16" s="444" t="s">
        <v>1071</v>
      </c>
      <c r="B16" s="445" t="s">
        <v>1072</v>
      </c>
      <c r="E16" s="444" t="s">
        <v>1073</v>
      </c>
      <c r="F16" s="448">
        <f>'7. DDM_Valuation'!$C$87</f>
        <v>50.008571205382424</v>
      </c>
      <c r="J16" s="660" t="s">
        <v>1074</v>
      </c>
      <c r="K16" s="661"/>
      <c r="L16" s="661"/>
      <c r="M16" s="661"/>
    </row>
    <row r="17" spans="1:14" x14ac:dyDescent="0.15">
      <c r="A17" s="449"/>
      <c r="B17" s="449"/>
      <c r="E17" s="444" t="s">
        <v>1075</v>
      </c>
      <c r="F17" s="445" t="s">
        <v>1076</v>
      </c>
      <c r="J17" s="452" t="s">
        <v>277</v>
      </c>
      <c r="K17" s="452" t="s">
        <v>1077</v>
      </c>
      <c r="L17" s="452" t="s">
        <v>1072</v>
      </c>
      <c r="M17" s="452" t="s">
        <v>1078</v>
      </c>
    </row>
    <row r="18" spans="1:14" x14ac:dyDescent="0.15">
      <c r="J18" s="447" t="s">
        <v>1079</v>
      </c>
      <c r="K18" s="453">
        <f>AA73</f>
        <v>8721.1603650915004</v>
      </c>
      <c r="L18" s="453">
        <f>AA85</f>
        <v>10970.890758223599</v>
      </c>
      <c r="M18" s="453">
        <f>AA97</f>
        <v>12061.311415087685</v>
      </c>
    </row>
    <row r="19" spans="1:14" x14ac:dyDescent="0.15">
      <c r="J19" s="447" t="s">
        <v>1080</v>
      </c>
      <c r="K19" s="454">
        <f>AC70</f>
        <v>1.8916796452751905E-2</v>
      </c>
      <c r="L19" s="454">
        <f>AC82</f>
        <v>6.6773564837751431E-2</v>
      </c>
      <c r="M19" s="454">
        <f>AC94</f>
        <v>8.7183301234873056E-2</v>
      </c>
    </row>
    <row r="20" spans="1:14" x14ac:dyDescent="0.15">
      <c r="A20" s="660" t="s">
        <v>1081</v>
      </c>
      <c r="B20" s="661"/>
      <c r="C20" s="661"/>
      <c r="D20" s="661"/>
      <c r="E20" s="661"/>
      <c r="F20" s="661"/>
      <c r="J20" s="447" t="s">
        <v>1082</v>
      </c>
      <c r="K20" s="453">
        <f>AC71</f>
        <v>189.71311002257988</v>
      </c>
      <c r="L20" s="453">
        <f>AC83</f>
        <v>232.091492818365</v>
      </c>
      <c r="M20" s="453">
        <f>AC95</f>
        <v>251.7472810390326</v>
      </c>
    </row>
    <row r="21" spans="1:14" x14ac:dyDescent="0.15">
      <c r="A21" s="452" t="s">
        <v>277</v>
      </c>
      <c r="B21" s="452" t="s">
        <v>1000</v>
      </c>
      <c r="C21" s="452" t="s">
        <v>1001</v>
      </c>
      <c r="D21" s="452" t="s">
        <v>1002</v>
      </c>
      <c r="E21" s="452" t="s">
        <v>1003</v>
      </c>
      <c r="F21" s="452" t="s">
        <v>1004</v>
      </c>
      <c r="J21" s="447" t="s">
        <v>1083</v>
      </c>
      <c r="K21" s="453">
        <f>AC72</f>
        <v>145.35488536881971</v>
      </c>
      <c r="L21" s="453">
        <f>AC84</f>
        <v>175.92172319099336</v>
      </c>
      <c r="M21" s="453">
        <f>AC96</f>
        <v>190.06818058508983</v>
      </c>
    </row>
    <row r="22" spans="1:14" x14ac:dyDescent="0.15">
      <c r="A22" s="444" t="s">
        <v>56</v>
      </c>
      <c r="B22" s="448">
        <f>'DCF_Forecast Revenue'!$I$34*(1+'DCF_Forecast Revenue'!$D$17)</f>
        <v>6235.1075000000001</v>
      </c>
      <c r="C22" s="448">
        <f>B22*(1+'DCF_Forecast Revenue'!$E$17)</f>
        <v>6671.5650250000008</v>
      </c>
      <c r="D22" s="448">
        <f>C22*(1+'DCF_Forecast Revenue'!$F$17)</f>
        <v>7105.2167516250001</v>
      </c>
      <c r="E22" s="448">
        <f>D22*(1+'DCF_Forecast Revenue'!$G$17)</f>
        <v>7531.5297567225007</v>
      </c>
      <c r="F22" s="448">
        <f>E22*(1+'DCF_Forecast Revenue'!$H$17)</f>
        <v>7945.7638933422377</v>
      </c>
    </row>
    <row r="23" spans="1:14" x14ac:dyDescent="0.15">
      <c r="A23" s="444" t="s">
        <v>61</v>
      </c>
      <c r="B23" s="448">
        <f>'DCF_Forecast Revenue'!$I$36*(1+'DCF_Forecast Revenue'!$D$11)</f>
        <v>1385.0080000000003</v>
      </c>
      <c r="C23" s="448">
        <f>B23*(1+'DCF_Forecast Revenue'!$E$11)</f>
        <v>1481.9585600000003</v>
      </c>
      <c r="D23" s="448">
        <f>C23*(1+'DCF_Forecast Revenue'!$F$11)</f>
        <v>1578.2858664000003</v>
      </c>
      <c r="E23" s="448">
        <f>D23*(1+'DCF_Forecast Revenue'!$G$11)</f>
        <v>1680.8744477160003</v>
      </c>
      <c r="F23" s="448">
        <f>E23*(1+'DCF_Forecast Revenue'!$H$11)</f>
        <v>1781.7269145789603</v>
      </c>
    </row>
    <row r="24" spans="1:14" x14ac:dyDescent="0.15">
      <c r="A24" s="444" t="s">
        <v>66</v>
      </c>
      <c r="B24" s="448">
        <f>'DCF_Forecast Revenue'!$I$38*(1+'DCF_Forecast Revenue'!$D$24)</f>
        <v>931.2600000000001</v>
      </c>
      <c r="C24" s="448">
        <f>B24*(1+'DCF_Forecast Revenue'!$E$24)</f>
        <v>1015.0734000000002</v>
      </c>
      <c r="D24" s="448">
        <f>C24*(1+'DCF_Forecast Revenue'!$F$24)</f>
        <v>1096.2792720000002</v>
      </c>
      <c r="E24" s="448">
        <f>D24*(1+'DCF_Forecast Revenue'!$G$24)</f>
        <v>1173.0188210400004</v>
      </c>
      <c r="F24" s="448">
        <f>E24*(1+'DCF_Forecast Revenue'!$H$24)</f>
        <v>1243.3999503024004</v>
      </c>
      <c r="J24" s="442" t="s">
        <v>1084</v>
      </c>
      <c r="K24" s="443"/>
      <c r="L24" s="443"/>
      <c r="M24" s="443"/>
      <c r="N24" s="443"/>
    </row>
    <row r="25" spans="1:14" x14ac:dyDescent="0.15">
      <c r="A25" s="455" t="s">
        <v>7</v>
      </c>
      <c r="B25" s="448">
        <f>SUM(B22:B24)</f>
        <v>8551.3755000000001</v>
      </c>
      <c r="C25" s="448">
        <f>SUM(C22:C24)</f>
        <v>9168.5969850000001</v>
      </c>
      <c r="D25" s="448">
        <f>SUM(D22:D24)</f>
        <v>9779.7818900250004</v>
      </c>
      <c r="E25" s="448">
        <f>SUM(E22:E24)</f>
        <v>10385.423025478502</v>
      </c>
      <c r="F25" s="448">
        <f>SUM(F22:F24)</f>
        <v>10970.890758223599</v>
      </c>
      <c r="J25" s="456" t="s">
        <v>1085</v>
      </c>
    </row>
    <row r="26" spans="1:14" x14ac:dyDescent="0.15">
      <c r="A26" s="444" t="s">
        <v>1086</v>
      </c>
      <c r="B26" s="446">
        <f>B25/'DCF_Forecast Revenue'!$I$47-1</f>
        <v>7.6850247446827336E-2</v>
      </c>
      <c r="C26" s="446">
        <f>C25/B25-1</f>
        <v>7.2178035568663867E-2</v>
      </c>
      <c r="D26" s="446">
        <f>D25/C25-1</f>
        <v>6.6660679493810271E-2</v>
      </c>
      <c r="E26" s="446">
        <f>E25/D25-1</f>
        <v>6.1927877560463029E-2</v>
      </c>
      <c r="F26" s="446">
        <f>F25/E25-1</f>
        <v>5.6373989899956234E-2</v>
      </c>
      <c r="J26" s="456" t="s">
        <v>1087</v>
      </c>
    </row>
    <row r="27" spans="1:14" x14ac:dyDescent="0.15">
      <c r="A27" s="444" t="s">
        <v>65</v>
      </c>
      <c r="B27" s="448">
        <f>B25*$B$6</f>
        <v>6227.9550665295537</v>
      </c>
      <c r="C27" s="448">
        <f>C25*$B$6</f>
        <v>6677.476628841564</v>
      </c>
      <c r="D27" s="448">
        <f>D25*$B$6</f>
        <v>7122.6017582241802</v>
      </c>
      <c r="E27" s="448">
        <f>E25*$B$6</f>
        <v>7563.6893678194256</v>
      </c>
      <c r="F27" s="448">
        <f>F25*$B$6</f>
        <v>7990.0847158472834</v>
      </c>
      <c r="J27" s="456" t="s">
        <v>1088</v>
      </c>
    </row>
    <row r="28" spans="1:14" x14ac:dyDescent="0.15">
      <c r="A28" s="444" t="s">
        <v>68</v>
      </c>
      <c r="B28" s="448">
        <f>B25-B27</f>
        <v>2323.4204334704464</v>
      </c>
      <c r="C28" s="448">
        <f>C25-C27</f>
        <v>2491.1203561584362</v>
      </c>
      <c r="D28" s="448">
        <f>D25-D27</f>
        <v>2657.1801318008202</v>
      </c>
      <c r="E28" s="448">
        <f>E25-E27</f>
        <v>2821.733657659076</v>
      </c>
      <c r="F28" s="448">
        <f>F25-F27</f>
        <v>2980.8060423763154</v>
      </c>
    </row>
    <row r="29" spans="1:14" x14ac:dyDescent="0.15">
      <c r="A29" s="444" t="s">
        <v>69</v>
      </c>
      <c r="B29" s="448">
        <f>B25*$B$7</f>
        <v>609.864762964428</v>
      </c>
      <c r="C29" s="448">
        <f>C25*$B$7</f>
        <v>653.88360351774918</v>
      </c>
      <c r="D29" s="448">
        <f>D25*$B$7</f>
        <v>697.47192883810351</v>
      </c>
      <c r="E29" s="448">
        <f>E25*$B$7</f>
        <v>740.66488504904953</v>
      </c>
      <c r="F29" s="448">
        <f>F25*$B$7</f>
        <v>782.41911979805684</v>
      </c>
    </row>
    <row r="30" spans="1:14" x14ac:dyDescent="0.15">
      <c r="A30" s="444" t="s">
        <v>1089</v>
      </c>
      <c r="B30" s="448">
        <f>B25*$B$8</f>
        <v>86.476275039288836</v>
      </c>
      <c r="C30" s="448">
        <f>C25*$B$8</f>
        <v>92.717962694920175</v>
      </c>
      <c r="D30" s="448">
        <f>D25*$B$8</f>
        <v>98.898605089445297</v>
      </c>
      <c r="E30" s="448">
        <f>E25*$B$8</f>
        <v>105.02318579632505</v>
      </c>
      <c r="F30" s="448">
        <f>F25*$B$8</f>
        <v>110.9437618116683</v>
      </c>
    </row>
    <row r="31" spans="1:14" x14ac:dyDescent="0.15">
      <c r="A31" s="455" t="s">
        <v>72</v>
      </c>
      <c r="B31" s="448">
        <f>B28-B29-B30</f>
        <v>1627.0793954667297</v>
      </c>
      <c r="C31" s="448">
        <f>C28-C29-C30</f>
        <v>1744.5187899457669</v>
      </c>
      <c r="D31" s="448">
        <f>D28-D29-D30</f>
        <v>1860.8095978732715</v>
      </c>
      <c r="E31" s="448">
        <f>E28-E29-E30</f>
        <v>1976.0455868137012</v>
      </c>
      <c r="F31" s="448">
        <f>F28-F29-F30</f>
        <v>2087.4431607665906</v>
      </c>
    </row>
    <row r="32" spans="1:14" x14ac:dyDescent="0.15">
      <c r="A32" s="444" t="s">
        <v>111</v>
      </c>
      <c r="B32" s="448">
        <f>$F$14*$F$9</f>
        <v>202.36923134653671</v>
      </c>
      <c r="C32" s="448">
        <f>$F$14*$F$9</f>
        <v>202.36923134653671</v>
      </c>
      <c r="D32" s="448">
        <f>$F$14*$F$9</f>
        <v>202.36923134653671</v>
      </c>
      <c r="E32" s="448">
        <f>$F$14*$F$9</f>
        <v>202.36923134653671</v>
      </c>
      <c r="F32" s="448">
        <f>$F$14*$F$9</f>
        <v>202.36923134653671</v>
      </c>
    </row>
    <row r="33" spans="1:6" x14ac:dyDescent="0.15">
      <c r="A33" s="444" t="s">
        <v>117</v>
      </c>
      <c r="B33" s="448">
        <f>B31-B32</f>
        <v>1424.710164120193</v>
      </c>
      <c r="C33" s="448">
        <f>C31-C32</f>
        <v>1542.1495585992302</v>
      </c>
      <c r="D33" s="448">
        <f>D31-D32</f>
        <v>1658.4403665267348</v>
      </c>
      <c r="E33" s="448">
        <f>E31-E32</f>
        <v>1773.6763554671645</v>
      </c>
      <c r="F33" s="448">
        <f>F31-F32</f>
        <v>1885.0739294200539</v>
      </c>
    </row>
    <row r="34" spans="1:6" x14ac:dyDescent="0.15">
      <c r="A34" s="444" t="s">
        <v>1090</v>
      </c>
      <c r="B34" s="448">
        <f>B33*$B$11</f>
        <v>299.6359991091723</v>
      </c>
      <c r="C34" s="448">
        <f>C33*$B$11</f>
        <v>324.33510717037785</v>
      </c>
      <c r="D34" s="448">
        <f>D33*$B$11</f>
        <v>348.79265179812228</v>
      </c>
      <c r="E34" s="448">
        <f>E33*$B$11</f>
        <v>373.02835359142131</v>
      </c>
      <c r="F34" s="448">
        <f>F33*$B$11</f>
        <v>396.45678430688861</v>
      </c>
    </row>
    <row r="35" spans="1:6" x14ac:dyDescent="0.15">
      <c r="A35" s="455" t="s">
        <v>73</v>
      </c>
      <c r="B35" s="448">
        <f>B33-B34</f>
        <v>1125.0741650110208</v>
      </c>
      <c r="C35" s="448">
        <f>C33-C34</f>
        <v>1217.8144514288524</v>
      </c>
      <c r="D35" s="448">
        <f>D33-D34</f>
        <v>1309.6477147286125</v>
      </c>
      <c r="E35" s="448">
        <f>E33-E34</f>
        <v>1400.6480018757431</v>
      </c>
      <c r="F35" s="448">
        <f>F33-F34</f>
        <v>1488.6171451131654</v>
      </c>
    </row>
    <row r="36" spans="1:6" x14ac:dyDescent="0.15">
      <c r="A36" s="444" t="s">
        <v>102</v>
      </c>
      <c r="B36" s="448">
        <f>B25*$B$9</f>
        <v>767.4268915217184</v>
      </c>
      <c r="C36" s="448">
        <f>C25*$B$9</f>
        <v>822.81825699432204</v>
      </c>
      <c r="D36" s="448">
        <f>D25*$B$9</f>
        <v>877.66788110547611</v>
      </c>
      <c r="E36" s="448">
        <f>E25*$B$9</f>
        <v>932.01999018532706</v>
      </c>
      <c r="F36" s="448">
        <f>F25*$B$9</f>
        <v>984.5616756985919</v>
      </c>
    </row>
    <row r="37" spans="1:6" x14ac:dyDescent="0.15">
      <c r="A37" s="455" t="s">
        <v>71</v>
      </c>
      <c r="B37" s="448">
        <f>B31+B36</f>
        <v>2394.5062869884482</v>
      </c>
      <c r="C37" s="448">
        <f>C31+C36</f>
        <v>2567.3370469400888</v>
      </c>
      <c r="D37" s="448">
        <f>D31+D36</f>
        <v>2738.4774789787475</v>
      </c>
      <c r="E37" s="448">
        <f>E31+E36</f>
        <v>2908.0655769990281</v>
      </c>
      <c r="F37" s="448">
        <f>F31+F36</f>
        <v>3072.0048364651825</v>
      </c>
    </row>
    <row r="38" spans="1:6" x14ac:dyDescent="0.15">
      <c r="A38" s="444" t="s">
        <v>125</v>
      </c>
      <c r="B38" s="448">
        <f>B25*$B$12/365</f>
        <v>992.30372954198458</v>
      </c>
      <c r="C38" s="448">
        <f>C25*$B$12/365</f>
        <v>1063.9262634277836</v>
      </c>
      <c r="D38" s="448">
        <f>D25*$B$12/365</f>
        <v>1134.8483110791904</v>
      </c>
      <c r="E38" s="448">
        <f>E25*$B$12/365</f>
        <v>1205.1270583374005</v>
      </c>
      <c r="F38" s="448">
        <f>F25*$B$12/365</f>
        <v>1273.064878952277</v>
      </c>
    </row>
    <row r="39" spans="1:6" x14ac:dyDescent="0.15">
      <c r="A39" s="444" t="s">
        <v>126</v>
      </c>
      <c r="B39" s="448">
        <f>B27*$B$13/365</f>
        <v>759.3330261487971</v>
      </c>
      <c r="C39" s="448">
        <f>C27*$B$13/365</f>
        <v>814.14019231862619</v>
      </c>
      <c r="D39" s="448">
        <f>D27*$B$13/365</f>
        <v>868.41133074180721</v>
      </c>
      <c r="E39" s="448">
        <f>E27*$B$13/365</f>
        <v>922.19020130410456</v>
      </c>
      <c r="F39" s="448">
        <f>F27*$B$13/365</f>
        <v>974.17774239826076</v>
      </c>
    </row>
    <row r="40" spans="1:6" x14ac:dyDescent="0.15">
      <c r="A40" s="444" t="s">
        <v>137</v>
      </c>
      <c r="B40" s="448">
        <f>B27*$B$14/365</f>
        <v>470.71271833278024</v>
      </c>
      <c r="C40" s="448">
        <f>C27*$B$14/365</f>
        <v>504.68783765922609</v>
      </c>
      <c r="D40" s="448">
        <f>D27*$B$14/365</f>
        <v>538.33067184985191</v>
      </c>
      <c r="E40" s="448">
        <f>E27*$B$14/365</f>
        <v>571.66834778321129</v>
      </c>
      <c r="F40" s="448">
        <f>F27*$B$14/365</f>
        <v>603.89557344726666</v>
      </c>
    </row>
    <row r="41" spans="1:6" x14ac:dyDescent="0.15">
      <c r="A41" s="455" t="s">
        <v>185</v>
      </c>
      <c r="B41" s="448">
        <f>B38+B39-B40</f>
        <v>1280.9240373580014</v>
      </c>
      <c r="C41" s="448">
        <f>C38+C39-C40</f>
        <v>1373.3786180871837</v>
      </c>
      <c r="D41" s="448">
        <f>D38+D39-D40</f>
        <v>1464.9289699711458</v>
      </c>
      <c r="E41" s="448">
        <f>E38+E39-E40</f>
        <v>1555.648911858294</v>
      </c>
      <c r="F41" s="448">
        <f>F38+F39-F40</f>
        <v>1643.3470479032712</v>
      </c>
    </row>
    <row r="42" spans="1:6" x14ac:dyDescent="0.15">
      <c r="A42" s="444" t="s">
        <v>1091</v>
      </c>
      <c r="B42" s="448">
        <f>B41-'DCF_Forecast Revenue'!$I$149</f>
        <v>151.2240373580014</v>
      </c>
      <c r="C42" s="448">
        <f>C41-B41</f>
        <v>92.454580729182226</v>
      </c>
      <c r="D42" s="448">
        <f>D41-C41</f>
        <v>91.550351883962094</v>
      </c>
      <c r="E42" s="448">
        <f>E41-D41</f>
        <v>90.719941887148252</v>
      </c>
      <c r="F42" s="448">
        <f>F41-E41</f>
        <v>87.698136044977218</v>
      </c>
    </row>
    <row r="43" spans="1:6" x14ac:dyDescent="0.15">
      <c r="A43" s="444" t="s">
        <v>295</v>
      </c>
      <c r="B43" s="448">
        <f>B25*$B$10</f>
        <v>712.76300427728074</v>
      </c>
      <c r="C43" s="448">
        <f>C25*$B$10</f>
        <v>764.20883775203401</v>
      </c>
      <c r="D43" s="448">
        <f>D25*$B$10</f>
        <v>815.15151815175955</v>
      </c>
      <c r="E43" s="448">
        <f>E25*$B$10</f>
        <v>865.63212156108727</v>
      </c>
      <c r="F43" s="448">
        <f>F25*$B$10</f>
        <v>914.43125803904957</v>
      </c>
    </row>
    <row r="44" spans="1:6" x14ac:dyDescent="0.15">
      <c r="A44" s="444" t="s">
        <v>951</v>
      </c>
      <c r="B44" s="448">
        <f>-'7. DDM_Valuation'!$D$76*$F$11</f>
        <v>-321.82224480000008</v>
      </c>
      <c r="C44" s="448">
        <f>-'7. DDM_Valuation'!$E$76*$F$11</f>
        <v>-347.56802438400007</v>
      </c>
      <c r="D44" s="448">
        <f>-'7. DDM_Valuation'!$F$76*$F$11</f>
        <v>-368.42210584704014</v>
      </c>
      <c r="E44" s="448">
        <f>-'7. DDM_Valuation'!$G$76*$F$11</f>
        <v>-390.52743219786259</v>
      </c>
      <c r="F44" s="448">
        <f>-'7. DDM_Valuation'!$H$76*$F$11</f>
        <v>-413.95907812973439</v>
      </c>
    </row>
    <row r="45" spans="1:6" x14ac:dyDescent="0.15">
      <c r="A45" s="455" t="s">
        <v>1092</v>
      </c>
      <c r="B45" s="448">
        <f>B31*(1-$B$11)+B36-B43-B42</f>
        <v>1188.322233940891</v>
      </c>
      <c r="C45" s="448">
        <f>C31*(1-$B$11)+C36-C43-C42</f>
        <v>1343.7775089853924</v>
      </c>
      <c r="D45" s="448">
        <f>D31*(1-$B$11)+D36-D43-D42</f>
        <v>1440.4219448418012</v>
      </c>
      <c r="E45" s="448">
        <f>E31*(1-$B$11)+E36-E43-E42</f>
        <v>1536.1241476562691</v>
      </c>
      <c r="F45" s="448">
        <f>F31*(1-$B$11)+F36-F43-F42</f>
        <v>1630.8576457711647</v>
      </c>
    </row>
    <row r="46" spans="1:6" x14ac:dyDescent="0.15">
      <c r="A46" s="455" t="s">
        <v>1093</v>
      </c>
      <c r="B46" s="448">
        <f>B35+B36-B43-B42</f>
        <v>1028.5140148974572</v>
      </c>
      <c r="C46" s="448">
        <f>C35+C36-C43-C42</f>
        <v>1183.9692899419581</v>
      </c>
      <c r="D46" s="448">
        <f>D35+D36-D43-D42</f>
        <v>1280.6137257983669</v>
      </c>
      <c r="E46" s="448">
        <f>E35+E36-E43-E42</f>
        <v>1376.3159286128348</v>
      </c>
      <c r="F46" s="448">
        <f>F35+F36-F43-F42</f>
        <v>1471.0494267277304</v>
      </c>
    </row>
    <row r="47" spans="1:6" x14ac:dyDescent="0.15">
      <c r="A47" s="444" t="s">
        <v>172</v>
      </c>
      <c r="B47" s="448">
        <f>$F$15</f>
        <v>183.3</v>
      </c>
      <c r="C47" s="448">
        <f>B48</f>
        <v>889.99177009745699</v>
      </c>
      <c r="D47" s="448">
        <f>C48</f>
        <v>1726.3930356554151</v>
      </c>
      <c r="E47" s="448">
        <f>D48</f>
        <v>2638.5846556067418</v>
      </c>
      <c r="F47" s="448">
        <f>E48</f>
        <v>3624.3731520217138</v>
      </c>
    </row>
    <row r="48" spans="1:6" x14ac:dyDescent="0.15">
      <c r="A48" s="455" t="s">
        <v>173</v>
      </c>
      <c r="B48" s="448">
        <f>B47+B46+B44</f>
        <v>889.99177009745699</v>
      </c>
      <c r="C48" s="448">
        <f>C47+C46+C44</f>
        <v>1726.3930356554151</v>
      </c>
      <c r="D48" s="448">
        <f>D47+D46+D44</f>
        <v>2638.5846556067418</v>
      </c>
      <c r="E48" s="448">
        <f>E47+E46+E44</f>
        <v>3624.3731520217138</v>
      </c>
      <c r="F48" s="448">
        <f>F47+F46+F44</f>
        <v>4681.4635006197095</v>
      </c>
    </row>
    <row r="49" spans="1:13" x14ac:dyDescent="0.15">
      <c r="A49" s="444" t="s">
        <v>1094</v>
      </c>
      <c r="B49" s="448">
        <f>$F$14</f>
        <v>4372.8999999999996</v>
      </c>
      <c r="C49" s="448">
        <f>$F$14</f>
        <v>4372.8999999999996</v>
      </c>
      <c r="D49" s="448">
        <f>$F$14</f>
        <v>4372.8999999999996</v>
      </c>
      <c r="E49" s="448">
        <f>$F$14</f>
        <v>4372.8999999999996</v>
      </c>
      <c r="F49" s="448">
        <f>$F$14</f>
        <v>4372.8999999999996</v>
      </c>
    </row>
    <row r="50" spans="1:13" x14ac:dyDescent="0.15">
      <c r="A50" s="455" t="s">
        <v>1095</v>
      </c>
      <c r="B50" s="448">
        <f>B49-B48</f>
        <v>3482.9082299025426</v>
      </c>
      <c r="C50" s="448">
        <f>C49-C48</f>
        <v>2646.5069643445845</v>
      </c>
      <c r="D50" s="448">
        <f>D49-D48</f>
        <v>1734.3153443932579</v>
      </c>
      <c r="E50" s="448">
        <f>E49-E48</f>
        <v>748.52684797828579</v>
      </c>
      <c r="F50" s="448">
        <f>F49-F48</f>
        <v>-308.56350061970988</v>
      </c>
    </row>
    <row r="53" spans="1:13" x14ac:dyDescent="0.15">
      <c r="A53" s="447" t="s">
        <v>1096</v>
      </c>
      <c r="B53" s="457">
        <v>1</v>
      </c>
      <c r="C53" s="457">
        <v>2</v>
      </c>
      <c r="D53" s="457">
        <v>3</v>
      </c>
      <c r="E53" s="457">
        <v>4</v>
      </c>
      <c r="F53" s="457">
        <v>5</v>
      </c>
    </row>
    <row r="54" spans="1:13" x14ac:dyDescent="0.15">
      <c r="A54" s="447" t="s">
        <v>1097</v>
      </c>
      <c r="B54" s="458">
        <f>1/(1+$F$10)^B53</f>
        <v>0.93334172000986815</v>
      </c>
      <c r="C54" s="458">
        <f>1/(1+$F$10)^C53</f>
        <v>0.87112676631097907</v>
      </c>
      <c r="D54" s="458">
        <f>1/(1+$F$10)^D53</f>
        <v>0.81305895441532372</v>
      </c>
      <c r="E54" s="458">
        <f>1/(1+$F$10)^E53</f>
        <v>0.75886184298342307</v>
      </c>
      <c r="F54" s="458">
        <f>1/(1+$F$10)^F53</f>
        <v>0.70827741778000675</v>
      </c>
    </row>
    <row r="55" spans="1:13" x14ac:dyDescent="0.15">
      <c r="A55" s="447" t="s">
        <v>1098</v>
      </c>
      <c r="B55" s="459">
        <f>B45*B54</f>
        <v>1109.1107177523602</v>
      </c>
      <c r="C55" s="459">
        <f>C45*C54</f>
        <v>1170.6005560438675</v>
      </c>
      <c r="D55" s="459">
        <f>D45*D54</f>
        <v>1171.147960389962</v>
      </c>
      <c r="E55" s="459">
        <f>E45*E54</f>
        <v>1165.7060017417762</v>
      </c>
      <c r="F55" s="459">
        <f>F45*F54</f>
        <v>1155.0996421135815</v>
      </c>
    </row>
    <row r="56" spans="1:13" x14ac:dyDescent="0.15">
      <c r="A56" s="447" t="s">
        <v>1099</v>
      </c>
      <c r="B56" s="458">
        <f>1/(1+$F$8)^B53</f>
        <v>0.92110717081932481</v>
      </c>
      <c r="C56" s="458">
        <f>1/(1+$F$8)^C53</f>
        <v>0.84843842013478077</v>
      </c>
      <c r="D56" s="458">
        <f>1/(1+$F$8)^D53</f>
        <v>0.78150271278476557</v>
      </c>
      <c r="E56" s="458">
        <f>1/(1+$F$8)^E53</f>
        <v>0.71984775276080282</v>
      </c>
      <c r="F56" s="458">
        <f>1/(1+$F$8)^F53</f>
        <v>0.66305692696615193</v>
      </c>
    </row>
    <row r="57" spans="1:13" x14ac:dyDescent="0.15">
      <c r="A57" s="447" t="s">
        <v>1100</v>
      </c>
      <c r="B57" s="459">
        <f>B46*B56</f>
        <v>947.37163441022165</v>
      </c>
      <c r="C57" s="459">
        <f>C46*C56</f>
        <v>1004.5250338464531</v>
      </c>
      <c r="D57" s="459">
        <f>D46*D56</f>
        <v>1000.8031007408297</v>
      </c>
      <c r="E57" s="459">
        <f>E46*E56</f>
        <v>990.73792830084665</v>
      </c>
      <c r="F57" s="459">
        <f>F46*F56</f>
        <v>975.38951230140844</v>
      </c>
    </row>
    <row r="60" spans="1:13" x14ac:dyDescent="0.15">
      <c r="A60" s="660" t="s">
        <v>1101</v>
      </c>
      <c r="B60" s="661"/>
      <c r="C60" s="661"/>
      <c r="D60" s="661"/>
      <c r="E60" s="661"/>
      <c r="F60" s="661"/>
      <c r="H60" s="660" t="s">
        <v>1102</v>
      </c>
      <c r="I60" s="661"/>
      <c r="J60" s="661"/>
      <c r="K60" s="661"/>
      <c r="L60" s="661"/>
      <c r="M60" s="661"/>
    </row>
    <row r="61" spans="1:13" x14ac:dyDescent="0.15">
      <c r="A61" s="449"/>
      <c r="B61" s="449"/>
      <c r="C61" s="449"/>
      <c r="D61" s="449"/>
      <c r="E61" s="449"/>
      <c r="F61" s="449"/>
      <c r="H61" s="449"/>
      <c r="I61" s="449"/>
      <c r="J61" s="449"/>
      <c r="K61" s="449"/>
      <c r="L61" s="449"/>
      <c r="M61" s="449"/>
    </row>
    <row r="62" spans="1:13" x14ac:dyDescent="0.15">
      <c r="A62" s="449"/>
      <c r="B62" s="460">
        <v>2.5000000000000001E-2</v>
      </c>
      <c r="C62" s="460">
        <v>0.03</v>
      </c>
      <c r="D62" s="460">
        <v>3.5000000000000003E-2</v>
      </c>
      <c r="E62" s="460">
        <v>3.7499999999999999E-2</v>
      </c>
      <c r="F62" s="460">
        <v>0.04</v>
      </c>
      <c r="H62" s="449"/>
      <c r="I62" s="460">
        <v>2.5000000000000001E-2</v>
      </c>
      <c r="J62" s="460">
        <v>0.03</v>
      </c>
      <c r="K62" s="460">
        <v>3.5000000000000003E-2</v>
      </c>
      <c r="L62" s="460">
        <v>3.7499999999999999E-2</v>
      </c>
      <c r="M62" s="460">
        <v>0.04</v>
      </c>
    </row>
    <row r="63" spans="1:13" x14ac:dyDescent="0.15">
      <c r="A63" s="460">
        <v>6.5000000000000002E-2</v>
      </c>
      <c r="B63" s="453">
        <f t="shared" ref="B63:F67" si="0">(SUMPRODUCT($B$45:$F$45,1/(1+$A63)^$B$53:$F$53)+$F$45*(1+B$62)/($A63-B$62)/(1+$A63)^5-$F$13)/$F$11</f>
        <v>246.5128569414438</v>
      </c>
      <c r="C63" s="453">
        <f t="shared" si="0"/>
        <v>281.18517894493061</v>
      </c>
      <c r="D63" s="453">
        <f t="shared" si="0"/>
        <v>327.41494161624638</v>
      </c>
      <c r="E63" s="453">
        <f t="shared" si="0"/>
        <v>356.83388149799276</v>
      </c>
      <c r="F63" s="453">
        <f t="shared" si="0"/>
        <v>392.1366093560884</v>
      </c>
      <c r="H63" s="460">
        <v>7.4999999999999997E-2</v>
      </c>
      <c r="I63" s="453">
        <f t="shared" ref="I63:M67" si="1">(SUMPRODUCT($B$46:$F$46,1/(1+$H63)^$B$53:$F$53)+$F$46*(1+I$62)/($H63-I$62)/(1+$H63)^5)/$F$11</f>
        <v>199.67197054190581</v>
      </c>
      <c r="J63" s="453">
        <f t="shared" si="1"/>
        <v>218.41778136985221</v>
      </c>
      <c r="K63" s="453">
        <f t="shared" si="1"/>
        <v>241.85004490478519</v>
      </c>
      <c r="L63" s="453">
        <f t="shared" si="1"/>
        <v>255.90940302574498</v>
      </c>
      <c r="M63" s="453">
        <f t="shared" si="1"/>
        <v>271.97724087827049</v>
      </c>
    </row>
    <row r="64" spans="1:13" x14ac:dyDescent="0.15">
      <c r="A64" s="460">
        <v>7.0000000000000007E-2</v>
      </c>
      <c r="B64" s="453">
        <f t="shared" si="0"/>
        <v>215.11949567146178</v>
      </c>
      <c r="C64" s="453">
        <f t="shared" si="0"/>
        <v>241.58631655372045</v>
      </c>
      <c r="D64" s="453">
        <f t="shared" si="0"/>
        <v>275.61508625948153</v>
      </c>
      <c r="E64" s="453">
        <f t="shared" si="0"/>
        <v>296.55586761687306</v>
      </c>
      <c r="F64" s="453">
        <f t="shared" si="0"/>
        <v>320.98677920049636</v>
      </c>
      <c r="H64" s="460">
        <v>0.08</v>
      </c>
      <c r="I64" s="453">
        <f t="shared" si="1"/>
        <v>181.15319688534973</v>
      </c>
      <c r="J64" s="453">
        <f t="shared" si="1"/>
        <v>196.208617367172</v>
      </c>
      <c r="K64" s="453">
        <f t="shared" si="1"/>
        <v>214.60968684495472</v>
      </c>
      <c r="L64" s="453">
        <f t="shared" si="1"/>
        <v>225.4338453612975</v>
      </c>
      <c r="M64" s="453">
        <f t="shared" si="1"/>
        <v>237.61102369218315</v>
      </c>
    </row>
    <row r="65" spans="1:29" x14ac:dyDescent="0.15">
      <c r="A65" s="460">
        <v>7.4999999999999997E-2</v>
      </c>
      <c r="B65" s="453">
        <f t="shared" si="0"/>
        <v>190.01152826739778</v>
      </c>
      <c r="C65" s="453">
        <f t="shared" si="0"/>
        <v>210.79379999768321</v>
      </c>
      <c r="D65" s="453">
        <f t="shared" si="0"/>
        <v>236.7716396605399</v>
      </c>
      <c r="E65" s="453">
        <f t="shared" si="0"/>
        <v>252.35834345825398</v>
      </c>
      <c r="F65" s="453">
        <f t="shared" si="0"/>
        <v>270.17171922707001</v>
      </c>
      <c r="H65" s="460">
        <v>8.5000000000000006E-2</v>
      </c>
      <c r="I65" s="453">
        <f t="shared" si="1"/>
        <v>165.72657233281822</v>
      </c>
      <c r="J65" s="453">
        <f t="shared" si="1"/>
        <v>178.04308371576062</v>
      </c>
      <c r="K65" s="453">
        <f t="shared" si="1"/>
        <v>192.82289737529143</v>
      </c>
      <c r="L65" s="453">
        <f t="shared" si="1"/>
        <v>201.37963159923035</v>
      </c>
      <c r="M65" s="453">
        <f t="shared" si="1"/>
        <v>210.88711407027358</v>
      </c>
    </row>
    <row r="66" spans="1:29" x14ac:dyDescent="0.15">
      <c r="A66" s="460">
        <v>0.08</v>
      </c>
      <c r="B66" s="453">
        <f t="shared" si="0"/>
        <v>169.4746148603422</v>
      </c>
      <c r="C66" s="453">
        <f t="shared" si="0"/>
        <v>186.16558877118962</v>
      </c>
      <c r="D66" s="453">
        <f t="shared" si="0"/>
        <v>206.56566799555867</v>
      </c>
      <c r="E66" s="453">
        <f t="shared" si="0"/>
        <v>218.56571459812872</v>
      </c>
      <c r="F66" s="453">
        <f t="shared" si="0"/>
        <v>232.0657670260199</v>
      </c>
      <c r="H66" s="460">
        <v>0.09</v>
      </c>
      <c r="I66" s="453">
        <f t="shared" si="1"/>
        <v>152.67840352504112</v>
      </c>
      <c r="J66" s="453">
        <f t="shared" si="1"/>
        <v>162.91015555657825</v>
      </c>
      <c r="K66" s="453">
        <f t="shared" si="1"/>
        <v>175.00222613930393</v>
      </c>
      <c r="L66" s="453">
        <f t="shared" si="1"/>
        <v>181.91198075800429</v>
      </c>
      <c r="M66" s="453">
        <f t="shared" si="1"/>
        <v>189.51271083857472</v>
      </c>
    </row>
    <row r="67" spans="1:29" x14ac:dyDescent="0.15">
      <c r="A67" s="460">
        <v>8.5000000000000006E-2</v>
      </c>
      <c r="B67" s="453">
        <f t="shared" si="0"/>
        <v>152.36586591366884</v>
      </c>
      <c r="C67" s="453">
        <f t="shared" si="0"/>
        <v>166.02038791214474</v>
      </c>
      <c r="D67" s="453">
        <f t="shared" si="0"/>
        <v>182.40581431031583</v>
      </c>
      <c r="E67" s="453">
        <f t="shared" si="0"/>
        <v>191.89211380399382</v>
      </c>
      <c r="F67" s="453">
        <f t="shared" si="0"/>
        <v>202.4324465747471</v>
      </c>
      <c r="H67" s="460">
        <v>9.5000000000000001E-2</v>
      </c>
      <c r="I67" s="453">
        <f t="shared" si="1"/>
        <v>141.49891266027197</v>
      </c>
      <c r="J67" s="453">
        <f t="shared" si="1"/>
        <v>150.10989565983652</v>
      </c>
      <c r="K67" s="453">
        <f t="shared" si="1"/>
        <v>160.15604249266178</v>
      </c>
      <c r="L67" s="453">
        <f t="shared" si="1"/>
        <v>165.83429939817171</v>
      </c>
      <c r="M67" s="453">
        <f t="shared" si="1"/>
        <v>172.02876147690984</v>
      </c>
    </row>
    <row r="70" spans="1:29" x14ac:dyDescent="0.15">
      <c r="W70" s="8">
        <f>'DCF_Forecast Revenue'!$I$34*(1+'DCF_Forecast Revenue'!$D$18)</f>
        <v>5945.1025</v>
      </c>
      <c r="X70" s="8">
        <f>W70*(1+'DCF_Forecast Revenue'!$E$18)</f>
        <v>6093.7300624999998</v>
      </c>
      <c r="Y70" s="8">
        <f>X70*(1+'DCF_Forecast Revenue'!$F$18)</f>
        <v>6215.6046637500003</v>
      </c>
      <c r="Z70" s="8">
        <f>Y70*(1+'DCF_Forecast Revenue'!$G$18)</f>
        <v>6339.9167570250002</v>
      </c>
      <c r="AA70" s="8">
        <f>Z70*(1+'DCF_Forecast Revenue'!$H$18)</f>
        <v>6466.7150921655002</v>
      </c>
      <c r="AC70" s="8">
        <f>(AA73/'DCF_Forecast Revenue'!$I$47)^(1/5)-1</f>
        <v>1.8916796452751905E-2</v>
      </c>
    </row>
    <row r="71" spans="1:29" x14ac:dyDescent="0.15">
      <c r="W71" s="8">
        <f>'DCF_Forecast Revenue'!$I$36*(1+'DCF_Forecast Revenue'!$D$12)</f>
        <v>1307.3440000000001</v>
      </c>
      <c r="X71" s="8">
        <f>W71*(1+'DCF_Forecast Revenue'!$E$12)</f>
        <v>1320.4174400000002</v>
      </c>
      <c r="Y71" s="8">
        <f>X71*(1+'DCF_Forecast Revenue'!$F$12)</f>
        <v>1327.0195272000001</v>
      </c>
      <c r="Z71" s="8">
        <f>Y71*(1+'DCF_Forecast Revenue'!$G$12)</f>
        <v>1333.654624836</v>
      </c>
      <c r="AA71" s="8">
        <f>Z71*(1+'DCF_Forecast Revenue'!$H$12)</f>
        <v>1333.654624836</v>
      </c>
      <c r="AC71" s="8">
        <f>(SUMPRODUCT(W77:AA77,$B$54:$F$54)+AA77*(1+$B$15)/($F$10-$B$15)*$F$54-$F$13)/$F$11</f>
        <v>189.71311002257988</v>
      </c>
    </row>
    <row r="72" spans="1:29" x14ac:dyDescent="0.15">
      <c r="W72" s="8">
        <f>'DCF_Forecast Revenue'!$I$38*(1+'DCF_Forecast Revenue'!$D$25)</f>
        <v>871.99800000000005</v>
      </c>
      <c r="X72" s="8">
        <f>W72*(1+'DCF_Forecast Revenue'!$E$25)</f>
        <v>893.79795000000001</v>
      </c>
      <c r="Y72" s="8">
        <f>X72*(1+'DCF_Forecast Revenue'!$F$25)</f>
        <v>911.67390899999998</v>
      </c>
      <c r="Z72" s="8">
        <f>Y72*(1+'DCF_Forecast Revenue'!$G$25)</f>
        <v>920.79064808999999</v>
      </c>
      <c r="AA72" s="8">
        <f>Z72*(1+'DCF_Forecast Revenue'!$H$25)</f>
        <v>920.79064808999999</v>
      </c>
      <c r="AC72" s="8">
        <f>(SUMPRODUCT(W78:AA78,$B$56:$F$56)+AA78*(1+$B$15)/($F$8-$B$15)*$F$56)/$F$11</f>
        <v>145.35488536881971</v>
      </c>
    </row>
    <row r="73" spans="1:29" x14ac:dyDescent="0.15">
      <c r="W73" s="8">
        <f>SUM(W70:W72)</f>
        <v>8124.4444999999996</v>
      </c>
      <c r="X73" s="8">
        <f>SUM(X70:X72)</f>
        <v>8307.9454525000001</v>
      </c>
      <c r="Y73" s="8">
        <f>SUM(Y70:Y72)</f>
        <v>8454.2980999499996</v>
      </c>
      <c r="Z73" s="8">
        <f>SUM(Z70:Z72)</f>
        <v>8594.3620299510003</v>
      </c>
      <c r="AA73" s="8">
        <f>SUM(AA70:AA72)</f>
        <v>8721.1603650915004</v>
      </c>
    </row>
    <row r="74" spans="1:29" x14ac:dyDescent="0.15">
      <c r="W74" s="8">
        <f>W73-W73*$B$6-W73*$B$7-W73*$B$8</f>
        <v>1545.8467758272327</v>
      </c>
      <c r="X74" s="8">
        <f>X73-X73*$B$6-X73*$B$7-X73*$B$8</f>
        <v>1580.7616990300876</v>
      </c>
      <c r="Y74" s="8">
        <f>Y73-Y73*$B$6-Y73*$B$7-Y73*$B$8</f>
        <v>1608.6083743559341</v>
      </c>
      <c r="Z74" s="8">
        <f>Z73-Z73*$B$6-Z73*$B$7-Z73*$B$8</f>
        <v>1635.258488662425</v>
      </c>
      <c r="AA74" s="8">
        <f>AA73-AA73*$B$6-AA73*$B$7-AA73*$B$8</f>
        <v>1659.3845439954632</v>
      </c>
    </row>
    <row r="75" spans="1:29" x14ac:dyDescent="0.15">
      <c r="W75" s="8">
        <f>W73*$B$12/365+(W73*$B$6)*$B$13/365-(W73*$B$6)*$B$14/365</f>
        <v>1216.9733688142933</v>
      </c>
      <c r="X75" s="8">
        <f>X73*$B$12/365+(X73*$B$6)*$B$13/365-(X73*$B$6)*$B$14/365</f>
        <v>1244.4602662070388</v>
      </c>
      <c r="Y75" s="8">
        <f>Y73*$B$12/365+(Y73*$B$6)*$B$13/365-(Y73*$B$6)*$B$14/365</f>
        <v>1266.3826603352918</v>
      </c>
      <c r="Z75" s="8">
        <f>Z73*$B$12/365+(Z73*$B$6)*$B$13/365-(Z73*$B$6)*$B$14/365</f>
        <v>1287.3630575480101</v>
      </c>
      <c r="AA75" s="8">
        <f>AA73*$B$12/365+(AA73*$B$6)*$B$13/365-(AA73*$B$6)*$B$14/365</f>
        <v>1306.3563803623856</v>
      </c>
    </row>
    <row r="76" spans="1:29" x14ac:dyDescent="0.15">
      <c r="W76" s="8">
        <f>W75-'DCF_Forecast Revenue'!$I$149</f>
        <v>87.273368814293235</v>
      </c>
      <c r="X76" s="8">
        <f>X75-W75</f>
        <v>27.486897392745504</v>
      </c>
      <c r="Y76" s="8">
        <f>Y75-X75</f>
        <v>21.922394128253018</v>
      </c>
      <c r="Z76" s="8">
        <f>Z75-Y75</f>
        <v>20.980397212718344</v>
      </c>
      <c r="AA76" s="8">
        <f>AA75-Z75</f>
        <v>18.99332281437546</v>
      </c>
    </row>
    <row r="77" spans="1:29" x14ac:dyDescent="0.15">
      <c r="W77" s="8">
        <f>W74*(1-$B$11)+W73*$B$9-W73*$B$10-W76</f>
        <v>1185.3954943820183</v>
      </c>
      <c r="X77" s="8">
        <f>X74*(1-$B$11)+X73*$B$9-X73*$B$10-X76</f>
        <v>1273.9268170501491</v>
      </c>
      <c r="Y77" s="8">
        <f>Y74*(1-$B$11)+Y73*$B$9-Y73*$B$10-Y76</f>
        <v>1302.4170055668405</v>
      </c>
      <c r="Z77" s="8">
        <f>Z74*(1-$B$11)+Z73*$B$9-Z73*$B$10-Z76</f>
        <v>1325.2995797820518</v>
      </c>
      <c r="AA77" s="8">
        <f>AA74*(1-$B$11)+AA73*$B$9-AA73*$B$10-AA76</f>
        <v>1347.1492174656069</v>
      </c>
    </row>
    <row r="78" spans="1:29" x14ac:dyDescent="0.15">
      <c r="W78" s="8">
        <f>(W74-$F$14*$F$9)*(1-$B$11)+W73*$B$9-W73*$B$10-W76</f>
        <v>1025.587275338584</v>
      </c>
      <c r="X78" s="8">
        <f>(X74-$F$14*$F$9)*(1-$B$11)+X73*$B$9-X73*$B$10-X76</f>
        <v>1114.1185980067148</v>
      </c>
      <c r="Y78" s="8">
        <f>(Y74-$F$14*$F$9)*(1-$B$11)+Y73*$B$9-Y73*$B$10-Y76</f>
        <v>1142.6087865234063</v>
      </c>
      <c r="Z78" s="8">
        <f>(Z74-$F$14*$F$9)*(1-$B$11)+Z73*$B$9-Z73*$B$10-Z76</f>
        <v>1165.4913607386179</v>
      </c>
      <c r="AA78" s="8">
        <f>(AA74-$F$14*$F$9)*(1-$B$11)+AA73*$B$9-AA73*$B$10-AA76</f>
        <v>1187.3409984221726</v>
      </c>
    </row>
    <row r="82" spans="23:29" x14ac:dyDescent="0.15">
      <c r="W82" s="8">
        <f>'DCF_Forecast Revenue'!$I$34*(1+'DCF_Forecast Revenue'!$D$17)</f>
        <v>6235.1075000000001</v>
      </c>
      <c r="X82" s="8">
        <f>W82*(1+'DCF_Forecast Revenue'!$E$17)</f>
        <v>6671.5650250000008</v>
      </c>
      <c r="Y82" s="8">
        <f>X82*(1+'DCF_Forecast Revenue'!$F$17)</f>
        <v>7105.2167516250001</v>
      </c>
      <c r="Z82" s="8">
        <f>Y82*(1+'DCF_Forecast Revenue'!$G$17)</f>
        <v>7531.5297567225007</v>
      </c>
      <c r="AA82" s="8">
        <f>Z82*(1+'DCF_Forecast Revenue'!$H$17)</f>
        <v>7945.7638933422377</v>
      </c>
      <c r="AC82" s="8">
        <f>(AA85/'DCF_Forecast Revenue'!$I$47)^(1/5)-1</f>
        <v>6.6773564837751431E-2</v>
      </c>
    </row>
    <row r="83" spans="23:29" x14ac:dyDescent="0.15">
      <c r="W83" s="8">
        <f>'DCF_Forecast Revenue'!$I$36*(1+'DCF_Forecast Revenue'!$D$11)</f>
        <v>1385.0080000000003</v>
      </c>
      <c r="X83" s="8">
        <f>W83*(1+'DCF_Forecast Revenue'!$E$11)</f>
        <v>1481.9585600000003</v>
      </c>
      <c r="Y83" s="8">
        <f>X83*(1+'DCF_Forecast Revenue'!$F$11)</f>
        <v>1578.2858664000003</v>
      </c>
      <c r="Z83" s="8">
        <f>Y83*(1+'DCF_Forecast Revenue'!$G$11)</f>
        <v>1680.8744477160003</v>
      </c>
      <c r="AA83" s="8">
        <f>Z83*(1+'DCF_Forecast Revenue'!$H$11)</f>
        <v>1781.7269145789603</v>
      </c>
      <c r="AC83" s="8">
        <f>(SUMPRODUCT(W89:AA89,$B$54:$F$54)+AA89*(1+$B$15)/($F$10-$B$15)*$F$54-$F$13)/$F$11</f>
        <v>232.091492818365</v>
      </c>
    </row>
    <row r="84" spans="23:29" x14ac:dyDescent="0.15">
      <c r="W84" s="8">
        <f>'DCF_Forecast Revenue'!$I$38*(1+'DCF_Forecast Revenue'!$D$24)</f>
        <v>931.2600000000001</v>
      </c>
      <c r="X84" s="8">
        <f>W84*(1+'DCF_Forecast Revenue'!$E$24)</f>
        <v>1015.0734000000002</v>
      </c>
      <c r="Y84" s="8">
        <f>X84*(1+'DCF_Forecast Revenue'!$F$24)</f>
        <v>1096.2792720000002</v>
      </c>
      <c r="Z84" s="8">
        <f>Y84*(1+'DCF_Forecast Revenue'!$G$24)</f>
        <v>1173.0188210400004</v>
      </c>
      <c r="AA84" s="8">
        <f>Z84*(1+'DCF_Forecast Revenue'!$H$24)</f>
        <v>1243.3999503024004</v>
      </c>
      <c r="AC84" s="8">
        <f>(SUMPRODUCT(W90:AA90,$B$56:$F$56)+AA90*(1+$B$15)/($F$8-$B$15)*$F$56)/$F$11</f>
        <v>175.92172319099336</v>
      </c>
    </row>
    <row r="85" spans="23:29" x14ac:dyDescent="0.15">
      <c r="W85" s="8">
        <f>SUM(W82:W84)</f>
        <v>8551.3755000000001</v>
      </c>
      <c r="X85" s="8">
        <f>SUM(X82:X84)</f>
        <v>9168.5969850000001</v>
      </c>
      <c r="Y85" s="8">
        <f>SUM(Y82:Y84)</f>
        <v>9779.7818900250004</v>
      </c>
      <c r="Z85" s="8">
        <f>SUM(Z82:Z84)</f>
        <v>10385.423025478502</v>
      </c>
      <c r="AA85" s="8">
        <f>SUM(AA82:AA84)</f>
        <v>10970.890758223599</v>
      </c>
    </row>
    <row r="86" spans="23:29" x14ac:dyDescent="0.15">
      <c r="W86" s="8">
        <f>W85-W85*$B$6-W85*$B$7-W85*$B$8</f>
        <v>1627.0793954667297</v>
      </c>
      <c r="X86" s="8">
        <f>X85-X85*$B$6-X85*$B$7-X85*$B$8</f>
        <v>1744.5187899457669</v>
      </c>
      <c r="Y86" s="8">
        <f>Y85-Y85*$B$6-Y85*$B$7-Y85*$B$8</f>
        <v>1860.8095978732715</v>
      </c>
      <c r="Z86" s="8">
        <f>Z85-Z85*$B$6-Z85*$B$7-Z85*$B$8</f>
        <v>1976.0455868137012</v>
      </c>
      <c r="AA86" s="8">
        <f>AA85-AA85*$B$6-AA85*$B$7-AA85*$B$8</f>
        <v>2087.4431607665906</v>
      </c>
    </row>
    <row r="87" spans="23:29" x14ac:dyDescent="0.15">
      <c r="W87" s="8">
        <f>W85*$B$12/365+(W85*$B$6)*$B$13/365-(W85*$B$6)*$B$14/365</f>
        <v>1280.9240373580014</v>
      </c>
      <c r="X87" s="8">
        <f>X85*$B$12/365+(X85*$B$6)*$B$13/365-(X85*$B$6)*$B$14/365</f>
        <v>1373.3786180871837</v>
      </c>
      <c r="Y87" s="8">
        <f>Y85*$B$12/365+(Y85*$B$6)*$B$13/365-(Y85*$B$6)*$B$14/365</f>
        <v>1464.9289699711458</v>
      </c>
      <c r="Z87" s="8">
        <f>Z85*$B$12/365+(Z85*$B$6)*$B$13/365-(Z85*$B$6)*$B$14/365</f>
        <v>1555.648911858294</v>
      </c>
      <c r="AA87" s="8">
        <f>AA85*$B$12/365+(AA85*$B$6)*$B$13/365-(AA85*$B$6)*$B$14/365</f>
        <v>1643.3470479032712</v>
      </c>
    </row>
    <row r="88" spans="23:29" x14ac:dyDescent="0.15">
      <c r="W88" s="8">
        <f>W87-'DCF_Forecast Revenue'!$I$149</f>
        <v>151.2240373580014</v>
      </c>
      <c r="X88" s="8">
        <f>X87-W87</f>
        <v>92.454580729182226</v>
      </c>
      <c r="Y88" s="8">
        <f>Y87-X87</f>
        <v>91.550351883962094</v>
      </c>
      <c r="Z88" s="8">
        <f>Z87-Y87</f>
        <v>90.719941887148252</v>
      </c>
      <c r="AA88" s="8">
        <f>AA87-Z87</f>
        <v>87.698136044977218</v>
      </c>
    </row>
    <row r="89" spans="23:29" x14ac:dyDescent="0.15">
      <c r="W89" s="8">
        <f>W86*(1-$B$11)+W85*$B$9-W85*$B$10-W88</f>
        <v>1188.322233940891</v>
      </c>
      <c r="X89" s="8">
        <f>X86*(1-$B$11)+X85*$B$9-X85*$B$10-X88</f>
        <v>1343.7775089853924</v>
      </c>
      <c r="Y89" s="8">
        <f>Y86*(1-$B$11)+Y85*$B$9-Y85*$B$10-Y88</f>
        <v>1440.4219448418012</v>
      </c>
      <c r="Z89" s="8">
        <f>Z86*(1-$B$11)+Z85*$B$9-Z85*$B$10-Z88</f>
        <v>1536.1241476562691</v>
      </c>
      <c r="AA89" s="8">
        <f>AA86*(1-$B$11)+AA85*$B$9-AA85*$B$10-AA88</f>
        <v>1630.8576457711647</v>
      </c>
    </row>
    <row r="90" spans="23:29" x14ac:dyDescent="0.15">
      <c r="W90" s="8">
        <f>(W86-$F$14*$F$9)*(1-$B$11)+W85*$B$9-W85*$B$10-W88</f>
        <v>1028.5140148974572</v>
      </c>
      <c r="X90" s="8">
        <f>(X86-$F$14*$F$9)*(1-$B$11)+X85*$B$9-X85*$B$10-X88</f>
        <v>1183.9692899419581</v>
      </c>
      <c r="Y90" s="8">
        <f>(Y86-$F$14*$F$9)*(1-$B$11)+Y85*$B$9-Y85*$B$10-Y88</f>
        <v>1280.6137257983673</v>
      </c>
      <c r="Z90" s="8">
        <f>(Z86-$F$14*$F$9)*(1-$B$11)+Z85*$B$9-Z85*$B$10-Z88</f>
        <v>1376.3159286128348</v>
      </c>
      <c r="AA90" s="8">
        <f>(AA86-$F$14*$F$9)*(1-$B$11)+AA85*$B$9-AA85*$B$10-AA88</f>
        <v>1471.0494267277304</v>
      </c>
    </row>
    <row r="94" spans="23:29" x14ac:dyDescent="0.15">
      <c r="W94" s="8">
        <f>'DCF_Forecast Revenue'!$I$34*(1+'DCF_Forecast Revenue'!$D$19)</f>
        <v>6322.1090000000013</v>
      </c>
      <c r="X94" s="8">
        <f>W94*(1+'DCF_Forecast Revenue'!$E$19)</f>
        <v>6891.0988100000022</v>
      </c>
      <c r="Y94" s="8">
        <f>X94*(1+'DCF_Forecast Revenue'!$F$19)</f>
        <v>7442.3867148000027</v>
      </c>
      <c r="Z94" s="8">
        <f>Y94*(1+'DCF_Forecast Revenue'!$G$19)</f>
        <v>8037.7776519840036</v>
      </c>
      <c r="AA94" s="8">
        <f>Z94*(1+'DCF_Forecast Revenue'!$H$19)</f>
        <v>8600.4220876228846</v>
      </c>
      <c r="AC94" s="8">
        <f>(AA97/'DCF_Forecast Revenue'!$I$47)^(1/5)-1</f>
        <v>8.7183301234873056E-2</v>
      </c>
    </row>
    <row r="95" spans="23:29" x14ac:dyDescent="0.15">
      <c r="W95" s="8">
        <f>'DCF_Forecast Revenue'!$I$36*(1+'DCF_Forecast Revenue'!$D$13)</f>
        <v>1410.8960000000002</v>
      </c>
      <c r="X95" s="8">
        <f>W95*(1+'DCF_Forecast Revenue'!$E$13)</f>
        <v>1530.8221600000002</v>
      </c>
      <c r="Y95" s="8">
        <f>X95*(1+'DCF_Forecast Revenue'!$F$13)</f>
        <v>1653.2879328000004</v>
      </c>
      <c r="Z95" s="8">
        <f>Y95*(1+'DCF_Forecast Revenue'!$G$13)</f>
        <v>1777.2845277600004</v>
      </c>
      <c r="AA95" s="8">
        <f>Z95*(1+'DCF_Forecast Revenue'!$H$13)</f>
        <v>1901.6944447032006</v>
      </c>
      <c r="AC95" s="8">
        <f>(SUMPRODUCT(W101:AA101,$B$54:$F$54)+AA101*(1+$B$15)/($F$10-$B$15)*$F$54-$F$13)/$F$11</f>
        <v>251.7472810390326</v>
      </c>
    </row>
    <row r="96" spans="23:29" x14ac:dyDescent="0.15">
      <c r="W96" s="8">
        <f>'DCF_Forecast Revenue'!$I$38*(1+'DCF_Forecast Revenue'!$D$26)</f>
        <v>973.58999999999992</v>
      </c>
      <c r="X96" s="8">
        <f>W96*(1+'DCF_Forecast Revenue'!$E$26)</f>
        <v>1109.8926000000001</v>
      </c>
      <c r="Y96" s="8">
        <f>X96*(1+'DCF_Forecast Revenue'!$F$26)</f>
        <v>1254.1786380000001</v>
      </c>
      <c r="Z96" s="8">
        <f>Y96*(1+'DCF_Forecast Revenue'!$G$26)</f>
        <v>1404.6800745600003</v>
      </c>
      <c r="AA96" s="8">
        <f>Z96*(1+'DCF_Forecast Revenue'!$H$26)</f>
        <v>1559.1948827616004</v>
      </c>
      <c r="AC96" s="8">
        <f>(SUMPRODUCT(W102:AA102,$B$56:$F$56)+AA102*(1+$B$15)/($F$8-$B$15)*$F$56)/$F$11</f>
        <v>190.06818058508983</v>
      </c>
    </row>
    <row r="97" spans="23:27" x14ac:dyDescent="0.15">
      <c r="W97" s="8">
        <f>SUM(W94:W96)</f>
        <v>8706.5950000000012</v>
      </c>
      <c r="X97" s="8">
        <f>SUM(X94:X96)</f>
        <v>9531.8135700000021</v>
      </c>
      <c r="Y97" s="8">
        <f>SUM(Y94:Y96)</f>
        <v>10349.853285600002</v>
      </c>
      <c r="Z97" s="8">
        <f>SUM(Z94:Z96)</f>
        <v>11219.742254304005</v>
      </c>
      <c r="AA97" s="8">
        <f>SUM(AA94:AA96)</f>
        <v>12061.311415087685</v>
      </c>
    </row>
    <row r="98" spans="23:27" x14ac:dyDescent="0.15">
      <c r="W98" s="8">
        <f>W97-W97*$B$6-W97*$B$7-W97*$B$8</f>
        <v>1656.6131763449807</v>
      </c>
      <c r="X98" s="8">
        <f>X97-X97*$B$6-X97*$B$7-X97*$B$8</f>
        <v>1813.6283994518972</v>
      </c>
      <c r="Y98" s="8">
        <f>Y97-Y97*$B$6-Y97*$B$7-Y97*$B$8</f>
        <v>1969.2776942263138</v>
      </c>
      <c r="Z98" s="8">
        <f>Z97-Z97*$B$6-Z97*$B$7-Z97*$B$8</f>
        <v>2134.7924020440305</v>
      </c>
      <c r="AA98" s="8">
        <f>AA97-AA97*$B$6-AA97*$B$7-AA97*$B$8</f>
        <v>2294.9186696101497</v>
      </c>
    </row>
    <row r="99" spans="23:27" x14ac:dyDescent="0.15">
      <c r="W99" s="8">
        <f>W97*$B$12/365+(W97*$B$6)*$B$13/365-(W97*$B$6)*$B$14/365</f>
        <v>1304.1746113290185</v>
      </c>
      <c r="X99" s="8">
        <f>X97*$B$12/365+(X97*$B$6)*$B$13/365-(X97*$B$6)*$B$14/365</f>
        <v>1427.785403813479</v>
      </c>
      <c r="Y99" s="8">
        <f>Y97*$B$12/365+(Y97*$B$6)*$B$13/365-(Y97*$B$6)*$B$14/365</f>
        <v>1550.3208643631347</v>
      </c>
      <c r="Z99" s="8">
        <f>Z97*$B$12/365+(Z97*$B$6)*$B$13/365-(Z97*$B$6)*$B$14/365</f>
        <v>1680.6229063966668</v>
      </c>
      <c r="AA99" s="8">
        <f>AA97*$B$12/365+(AA97*$B$6)*$B$13/365-(AA97*$B$6)*$B$14/365</f>
        <v>1806.6828796895034</v>
      </c>
    </row>
    <row r="100" spans="23:27" x14ac:dyDescent="0.15">
      <c r="W100" s="8">
        <f>W99-'DCF_Forecast Revenue'!$I$149</f>
        <v>174.47461132901844</v>
      </c>
      <c r="X100" s="8">
        <f>X99-W99</f>
        <v>123.61079248446049</v>
      </c>
      <c r="Y100" s="8">
        <f>Y99-X99</f>
        <v>122.53546054965568</v>
      </c>
      <c r="Z100" s="8">
        <f>Z99-Y99</f>
        <v>130.30204203353219</v>
      </c>
      <c r="AA100" s="8">
        <f>AA99-Z99</f>
        <v>126.0599732928365</v>
      </c>
    </row>
    <row r="101" spans="23:27" x14ac:dyDescent="0.15">
      <c r="W101" s="8">
        <f>W98*(1-$B$11)+W97*$B$9-W97*$B$10-W100</f>
        <v>1189.3863099882105</v>
      </c>
      <c r="X101" s="8">
        <f>X98*(1-$B$11)+X97*$B$9-X97*$B$10-X100</f>
        <v>1369.5180411645451</v>
      </c>
      <c r="Y101" s="8">
        <f>Y98*(1-$B$11)+Y97*$B$9-Y97*$B$10-Y100</f>
        <v>1498.7367403045896</v>
      </c>
      <c r="Z101" s="8">
        <f>Z98*(1-$B$11)+Z97*$B$9-Z97*$B$10-Z100</f>
        <v>1627.2355496308212</v>
      </c>
      <c r="AA101" s="8">
        <f>AA98*(1-$B$11)+AA97*$B$9-AA97*$B$10-AA100</f>
        <v>1763.3067996965467</v>
      </c>
    </row>
    <row r="102" spans="23:27" x14ac:dyDescent="0.15">
      <c r="W102" s="8">
        <f>(W98-$F$14*$F$9)*(1-$B$11)+W97*$B$9-W97*$B$10-W100</f>
        <v>1029.5780909447762</v>
      </c>
      <c r="X102" s="8">
        <f>(X98-$F$14*$F$9)*(1-$B$11)+X97*$B$9-X97*$B$10-X100</f>
        <v>1209.7098221211108</v>
      </c>
      <c r="Y102" s="8">
        <f>(Y98-$F$14*$F$9)*(1-$B$11)+Y97*$B$9-Y97*$B$10-Y100</f>
        <v>1338.9285212611553</v>
      </c>
      <c r="Z102" s="8">
        <f>(Z98-$F$14*$F$9)*(1-$B$11)+Z97*$B$9-Z97*$B$10-Z100</f>
        <v>1467.4273305873869</v>
      </c>
      <c r="AA102" s="8">
        <f>(AA98-$F$14*$F$9)*(1-$B$11)+AA97*$B$9-AA97*$B$10-AA100</f>
        <v>1603.4985806531124</v>
      </c>
    </row>
  </sheetData>
  <mergeCells count="9">
    <mergeCell ref="A1:N1"/>
    <mergeCell ref="A4:B4"/>
    <mergeCell ref="J4:N4"/>
    <mergeCell ref="E4:F4"/>
    <mergeCell ref="A60:F60"/>
    <mergeCell ref="H60:M60"/>
    <mergeCell ref="A2:N2"/>
    <mergeCell ref="J16:M16"/>
    <mergeCell ref="A20:F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R71"/>
  <sheetViews>
    <sheetView showGridLines="0" tabSelected="1" workbookViewId="0">
      <pane xSplit="2" ySplit="5" topLeftCell="C52" activePane="bottomRight" state="frozen"/>
      <selection pane="topRight" activeCell="C1" sqref="C1"/>
      <selection pane="bottomLeft" activeCell="A6" sqref="A6"/>
      <selection pane="bottomRight" activeCell="W100" sqref="W100"/>
    </sheetView>
  </sheetViews>
  <sheetFormatPr baseColWidth="10" defaultRowHeight="13" x14ac:dyDescent="0.15"/>
  <cols>
    <col min="1" max="1" width="1.6640625" style="8" customWidth="1"/>
    <col min="2" max="2" width="33.33203125" style="8" customWidth="1"/>
    <col min="3" max="3" width="1.6640625" style="8" customWidth="1"/>
    <col min="4" max="8" width="14.1640625" style="8" customWidth="1"/>
    <col min="9" max="9" width="1.33203125" style="8" customWidth="1"/>
    <col min="10" max="10" width="14.1640625" style="8" customWidth="1"/>
    <col min="11" max="11" width="1.33203125" style="8" customWidth="1"/>
    <col min="12" max="12" width="14.1640625" style="8" customWidth="1"/>
    <col min="13" max="13" width="1.33203125" style="8" customWidth="1"/>
    <col min="14" max="14" width="14.1640625" style="8" customWidth="1"/>
    <col min="15" max="15" width="1.33203125" style="8" customWidth="1"/>
    <col min="16" max="16" width="14.1640625" style="8" customWidth="1"/>
    <col min="17" max="17" width="1.33203125" style="8" customWidth="1"/>
    <col min="18" max="18" width="14.1640625" style="8" customWidth="1"/>
    <col min="19" max="35" width="10.83203125" style="8" customWidth="1"/>
    <col min="36" max="16384" width="10.83203125" style="8"/>
  </cols>
  <sheetData>
    <row r="1" spans="1:18" ht="15" customHeight="1" x14ac:dyDescent="0.1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5" customHeight="1" x14ac:dyDescent="0.1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15" customHeight="1" x14ac:dyDescent="0.15">
      <c r="A3" s="24"/>
      <c r="B3" s="24"/>
      <c r="C3" s="24"/>
      <c r="D3" s="24"/>
      <c r="E3" s="24"/>
      <c r="F3" s="24">
        <f>SUM(D8:D11)</f>
        <v>1859.4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" customHeight="1" x14ac:dyDescent="0.15">
      <c r="B4" s="216" t="s">
        <v>1103</v>
      </c>
      <c r="D4" s="215" t="s">
        <v>1104</v>
      </c>
      <c r="E4" s="215"/>
      <c r="F4" s="215"/>
      <c r="G4" s="215"/>
      <c r="H4" s="215"/>
      <c r="I4" s="269"/>
      <c r="J4" s="215" t="s">
        <v>271</v>
      </c>
      <c r="K4" s="271"/>
      <c r="L4" s="215" t="s">
        <v>274</v>
      </c>
      <c r="M4" s="271" t="s">
        <v>1105</v>
      </c>
      <c r="N4" s="215" t="s">
        <v>273</v>
      </c>
      <c r="O4" s="271"/>
      <c r="P4" s="215" t="s">
        <v>275</v>
      </c>
      <c r="Q4" s="271"/>
      <c r="R4" s="215" t="s">
        <v>272</v>
      </c>
    </row>
    <row r="5" spans="1:18" ht="18" customHeight="1" x14ac:dyDescent="0.15">
      <c r="B5" s="265" t="s">
        <v>865</v>
      </c>
      <c r="C5" s="266"/>
      <c r="D5" s="267" t="s">
        <v>80</v>
      </c>
      <c r="E5" s="267" t="s">
        <v>79</v>
      </c>
      <c r="F5" s="267" t="s">
        <v>78</v>
      </c>
      <c r="G5" s="267" t="s">
        <v>77</v>
      </c>
      <c r="H5" s="267" t="s">
        <v>76</v>
      </c>
      <c r="I5" s="270"/>
      <c r="J5" s="267" t="s">
        <v>80</v>
      </c>
      <c r="K5" s="270"/>
      <c r="L5" s="267" t="s">
        <v>80</v>
      </c>
      <c r="M5" s="270"/>
      <c r="N5" s="267" t="s">
        <v>80</v>
      </c>
      <c r="O5" s="270"/>
      <c r="P5" s="267" t="s">
        <v>80</v>
      </c>
      <c r="Q5" s="270"/>
      <c r="R5" s="267" t="s">
        <v>80</v>
      </c>
    </row>
    <row r="6" spans="1:18" x14ac:dyDescent="0.15">
      <c r="A6" s="24"/>
      <c r="B6" s="221"/>
      <c r="C6" s="24"/>
      <c r="D6" s="24"/>
      <c r="E6" s="24"/>
      <c r="F6" s="24"/>
      <c r="G6" s="24"/>
      <c r="H6" s="24"/>
      <c r="I6" s="271"/>
      <c r="J6" s="24"/>
      <c r="K6" s="271"/>
      <c r="L6" s="24"/>
      <c r="M6" s="271"/>
      <c r="N6" s="24"/>
      <c r="O6" s="271"/>
      <c r="P6" s="24"/>
      <c r="Q6" s="271"/>
      <c r="R6" s="24"/>
    </row>
    <row r="7" spans="1:18" x14ac:dyDescent="0.15">
      <c r="B7" s="227" t="s">
        <v>123</v>
      </c>
      <c r="C7" s="218"/>
      <c r="D7" s="219"/>
      <c r="E7" s="219"/>
      <c r="F7" s="219"/>
      <c r="G7" s="219"/>
      <c r="H7" s="219"/>
      <c r="I7" s="272"/>
      <c r="J7" s="218"/>
      <c r="K7" s="272"/>
      <c r="L7" s="218"/>
      <c r="M7" s="272"/>
      <c r="N7" s="218"/>
      <c r="O7" s="272"/>
      <c r="P7" s="218"/>
      <c r="Q7" s="272"/>
      <c r="R7" s="218"/>
    </row>
    <row r="8" spans="1:18" x14ac:dyDescent="0.15">
      <c r="B8" s="228" t="s">
        <v>1106</v>
      </c>
      <c r="D8" s="13">
        <v>183.3</v>
      </c>
      <c r="E8" s="13">
        <v>559.70000000000005</v>
      </c>
      <c r="F8" s="13">
        <v>931.1</v>
      </c>
      <c r="G8" s="13">
        <v>161.4</v>
      </c>
      <c r="H8" s="13">
        <v>235</v>
      </c>
      <c r="I8" s="271"/>
      <c r="J8" s="13">
        <v>67</v>
      </c>
      <c r="K8" s="271"/>
      <c r="L8" s="13">
        <v>123.42</v>
      </c>
      <c r="M8" s="271"/>
      <c r="N8" s="13">
        <v>4096</v>
      </c>
      <c r="O8" s="271"/>
      <c r="P8" s="13">
        <v>1976.07</v>
      </c>
      <c r="Q8" s="271"/>
      <c r="R8" s="13">
        <v>20.399999999999999</v>
      </c>
    </row>
    <row r="9" spans="1:18" x14ac:dyDescent="0.15">
      <c r="B9" s="228" t="s">
        <v>1107</v>
      </c>
      <c r="D9" s="13">
        <v>887.7</v>
      </c>
      <c r="E9" s="13">
        <v>892.3</v>
      </c>
      <c r="F9" s="13">
        <v>889.7</v>
      </c>
      <c r="G9" s="13">
        <v>845.6</v>
      </c>
      <c r="H9" s="13">
        <v>783.2</v>
      </c>
      <c r="I9" s="271"/>
      <c r="J9" s="13">
        <v>708</v>
      </c>
      <c r="K9" s="271"/>
      <c r="L9" s="13">
        <v>150.65</v>
      </c>
      <c r="M9" s="271"/>
      <c r="N9" s="13">
        <v>5178</v>
      </c>
      <c r="O9" s="271"/>
      <c r="P9" s="13">
        <v>1769.5</v>
      </c>
      <c r="Q9" s="271"/>
      <c r="R9" s="13">
        <v>212.33</v>
      </c>
    </row>
    <row r="10" spans="1:18" x14ac:dyDescent="0.15">
      <c r="B10" s="228" t="s">
        <v>1108</v>
      </c>
      <c r="D10" s="13">
        <v>680.5</v>
      </c>
      <c r="E10" s="13">
        <v>681.8</v>
      </c>
      <c r="F10" s="13">
        <v>615.6</v>
      </c>
      <c r="G10" s="13">
        <v>579.29999999999995</v>
      </c>
      <c r="H10" s="13">
        <v>521.29999999999995</v>
      </c>
      <c r="I10" s="271"/>
      <c r="J10" s="13">
        <v>1078</v>
      </c>
      <c r="K10" s="271"/>
      <c r="L10" s="13">
        <v>435.71</v>
      </c>
      <c r="M10" s="271"/>
      <c r="N10" s="13">
        <v>5251</v>
      </c>
      <c r="O10" s="271"/>
      <c r="P10" s="13">
        <v>1522.35</v>
      </c>
      <c r="Q10" s="271"/>
      <c r="R10" s="13">
        <v>415.18</v>
      </c>
    </row>
    <row r="11" spans="1:18" x14ac:dyDescent="0.15">
      <c r="B11" s="228" t="s">
        <v>129</v>
      </c>
      <c r="D11" s="13">
        <v>107.9</v>
      </c>
      <c r="E11" s="13">
        <v>131.9</v>
      </c>
      <c r="F11" s="13">
        <v>88.5</v>
      </c>
      <c r="G11" s="13">
        <v>116</v>
      </c>
      <c r="H11" s="13">
        <v>101.6</v>
      </c>
      <c r="I11" s="271"/>
      <c r="J11" s="13">
        <v>95</v>
      </c>
      <c r="K11" s="271"/>
      <c r="L11" s="13">
        <v>46.23</v>
      </c>
      <c r="M11" s="271"/>
      <c r="N11" s="13">
        <v>61</v>
      </c>
      <c r="O11" s="271"/>
      <c r="P11" s="13">
        <v>0</v>
      </c>
      <c r="Q11" s="271"/>
      <c r="R11" s="13">
        <v>10.73</v>
      </c>
    </row>
    <row r="12" spans="1:18" x14ac:dyDescent="0.15">
      <c r="B12" s="229" t="s">
        <v>130</v>
      </c>
      <c r="C12" s="14"/>
      <c r="D12" s="222">
        <v>2567.9</v>
      </c>
      <c r="E12" s="222">
        <v>2265.6999999999998</v>
      </c>
      <c r="F12" s="222">
        <v>2524.9</v>
      </c>
      <c r="G12" s="222">
        <v>1902</v>
      </c>
      <c r="H12" s="222">
        <v>1696.6</v>
      </c>
      <c r="I12" s="272"/>
      <c r="J12" s="222">
        <v>3193</v>
      </c>
      <c r="K12" s="272"/>
      <c r="L12" s="222">
        <v>960.92</v>
      </c>
      <c r="M12" s="272"/>
      <c r="N12" s="222">
        <v>15254</v>
      </c>
      <c r="O12" s="272"/>
      <c r="P12" s="222">
        <v>6096.77</v>
      </c>
      <c r="Q12" s="272"/>
      <c r="R12" s="222">
        <v>668.66</v>
      </c>
    </row>
    <row r="13" spans="1:18" x14ac:dyDescent="0.15">
      <c r="B13" s="228" t="s">
        <v>1109</v>
      </c>
      <c r="D13" s="13">
        <v>8670.1</v>
      </c>
      <c r="E13" s="13">
        <v>8987.9</v>
      </c>
      <c r="F13" s="13">
        <v>6729.4</v>
      </c>
      <c r="G13" s="13">
        <v>6623.9</v>
      </c>
      <c r="H13" s="13">
        <v>6238.2</v>
      </c>
      <c r="I13" s="271"/>
      <c r="J13" s="13">
        <v>10657</v>
      </c>
      <c r="K13" s="271"/>
      <c r="L13" s="13">
        <v>2081.52</v>
      </c>
      <c r="M13" s="271"/>
      <c r="N13" s="13">
        <v>26408</v>
      </c>
      <c r="O13" s="271"/>
      <c r="P13" s="13">
        <v>12168.49</v>
      </c>
      <c r="Q13" s="271"/>
      <c r="R13" s="13">
        <v>1822.3</v>
      </c>
    </row>
    <row r="14" spans="1:18" x14ac:dyDescent="0.15">
      <c r="B14" s="228" t="s">
        <v>133</v>
      </c>
      <c r="D14" s="13">
        <v>3780.9</v>
      </c>
      <c r="E14" s="13">
        <v>3788.1</v>
      </c>
      <c r="F14" s="13">
        <v>3531.7</v>
      </c>
      <c r="G14" s="13">
        <v>3689.6</v>
      </c>
      <c r="H14" s="13">
        <v>3696.7</v>
      </c>
      <c r="I14" s="271"/>
      <c r="J14" s="13">
        <v>3614</v>
      </c>
      <c r="K14" s="271"/>
      <c r="L14" s="13">
        <v>519.66999999999996</v>
      </c>
      <c r="M14" s="271"/>
      <c r="N14" s="13">
        <v>13099</v>
      </c>
      <c r="O14" s="271"/>
      <c r="P14" s="13">
        <v>7169.51</v>
      </c>
      <c r="Q14" s="271"/>
      <c r="R14" s="13">
        <v>469.89</v>
      </c>
    </row>
    <row r="15" spans="1:18" x14ac:dyDescent="0.15">
      <c r="B15" s="228" t="s">
        <v>1110</v>
      </c>
      <c r="D15" s="13">
        <v>1489</v>
      </c>
      <c r="E15" s="13">
        <v>1714.7</v>
      </c>
      <c r="F15" s="13">
        <v>1460.7</v>
      </c>
      <c r="G15" s="13">
        <v>1702.1</v>
      </c>
      <c r="H15" s="13">
        <v>1749</v>
      </c>
      <c r="I15" s="271"/>
      <c r="J15" s="13">
        <v>459</v>
      </c>
      <c r="K15" s="271"/>
      <c r="L15" s="13">
        <v>32.68</v>
      </c>
      <c r="M15" s="271"/>
      <c r="N15" s="13">
        <v>2048</v>
      </c>
      <c r="O15" s="271"/>
      <c r="P15" s="13">
        <v>1990.31</v>
      </c>
      <c r="Q15" s="271"/>
      <c r="R15" s="13">
        <v>125.86</v>
      </c>
    </row>
    <row r="16" spans="1:18" x14ac:dyDescent="0.15">
      <c r="B16" s="228" t="s">
        <v>135</v>
      </c>
      <c r="D16" s="13">
        <v>158.80000000000001</v>
      </c>
      <c r="E16" s="13">
        <v>317.10000000000002</v>
      </c>
      <c r="F16" s="13">
        <v>267.7</v>
      </c>
      <c r="G16" s="13">
        <v>285.2</v>
      </c>
      <c r="H16" s="13">
        <v>268</v>
      </c>
      <c r="I16" s="271"/>
      <c r="J16" s="13">
        <v>788</v>
      </c>
      <c r="K16" s="271"/>
      <c r="L16" s="13">
        <v>0</v>
      </c>
      <c r="M16" s="271"/>
      <c r="N16" s="13">
        <v>1018</v>
      </c>
      <c r="O16" s="271"/>
      <c r="P16" s="13">
        <v>536.48</v>
      </c>
      <c r="Q16" s="271"/>
      <c r="R16" s="13">
        <v>37.799999999999997</v>
      </c>
    </row>
    <row r="17" spans="1:18" ht="14" customHeight="1" thickBot="1" x14ac:dyDescent="0.2">
      <c r="B17" s="229" t="s">
        <v>136</v>
      </c>
      <c r="C17" s="14"/>
      <c r="D17" s="224">
        <v>16700.400000000001</v>
      </c>
      <c r="E17" s="224">
        <v>17104.8</v>
      </c>
      <c r="F17" s="224">
        <v>14545.7</v>
      </c>
      <c r="G17" s="224">
        <v>14234.6</v>
      </c>
      <c r="H17" s="224">
        <v>13682.6</v>
      </c>
      <c r="I17" s="272"/>
      <c r="J17" s="224">
        <v>18711</v>
      </c>
      <c r="K17" s="272"/>
      <c r="L17" s="224">
        <v>3650.11</v>
      </c>
      <c r="M17" s="272"/>
      <c r="N17" s="224">
        <v>58329</v>
      </c>
      <c r="O17" s="272"/>
      <c r="P17" s="224">
        <v>28965.51</v>
      </c>
      <c r="Q17" s="272"/>
      <c r="R17" s="224">
        <v>3264.59</v>
      </c>
    </row>
    <row r="18" spans="1:18" ht="14" customHeight="1" thickTop="1" x14ac:dyDescent="0.15">
      <c r="A18" s="24"/>
      <c r="B18" s="230"/>
      <c r="C18" s="24"/>
      <c r="D18" s="106"/>
      <c r="E18" s="106"/>
      <c r="F18" s="106"/>
      <c r="G18" s="106"/>
      <c r="H18" s="106"/>
      <c r="I18" s="271"/>
      <c r="J18" s="106"/>
      <c r="K18" s="271"/>
      <c r="L18" s="106"/>
      <c r="M18" s="271"/>
      <c r="N18" s="106"/>
      <c r="O18" s="271"/>
      <c r="P18" s="106"/>
      <c r="Q18" s="271"/>
      <c r="R18" s="106"/>
    </row>
    <row r="19" spans="1:18" x14ac:dyDescent="0.15">
      <c r="B19" s="228" t="s">
        <v>1111</v>
      </c>
      <c r="D19" s="13">
        <v>438.5</v>
      </c>
      <c r="E19" s="13">
        <v>407</v>
      </c>
      <c r="F19" s="13">
        <v>390.4</v>
      </c>
      <c r="G19" s="13">
        <v>454.5</v>
      </c>
      <c r="H19" s="13">
        <v>365.5</v>
      </c>
      <c r="I19" s="271"/>
      <c r="J19" s="13">
        <v>389</v>
      </c>
      <c r="K19" s="271"/>
      <c r="L19" s="13">
        <v>145.58000000000001</v>
      </c>
      <c r="M19" s="271"/>
      <c r="N19" s="13">
        <v>3263</v>
      </c>
      <c r="O19" s="271"/>
      <c r="P19" s="13">
        <v>3107.89</v>
      </c>
      <c r="Q19" s="271"/>
      <c r="R19" s="13">
        <v>129.9</v>
      </c>
    </row>
    <row r="20" spans="1:18" x14ac:dyDescent="0.15">
      <c r="B20" s="228" t="s">
        <v>1112</v>
      </c>
      <c r="D20" s="13">
        <v>6.2</v>
      </c>
      <c r="E20" s="13">
        <v>411.2</v>
      </c>
      <c r="F20" s="13">
        <v>13</v>
      </c>
      <c r="G20" s="13">
        <v>122.8</v>
      </c>
      <c r="H20" s="13">
        <v>40.6</v>
      </c>
      <c r="I20" s="271"/>
      <c r="J20" s="13">
        <v>45</v>
      </c>
      <c r="K20" s="271"/>
      <c r="L20" s="13">
        <v>11.71</v>
      </c>
      <c r="M20" s="271"/>
      <c r="N20" s="13">
        <v>1291</v>
      </c>
      <c r="O20" s="271"/>
      <c r="P20" s="13">
        <v>1454.44</v>
      </c>
      <c r="Q20" s="271"/>
      <c r="R20" s="13">
        <v>15</v>
      </c>
    </row>
    <row r="21" spans="1:18" x14ac:dyDescent="0.15">
      <c r="B21" s="228" t="s">
        <v>140</v>
      </c>
      <c r="D21" s="13">
        <v>306.89999999999998</v>
      </c>
      <c r="E21" s="13">
        <v>247.6</v>
      </c>
      <c r="F21" s="13">
        <v>211.1</v>
      </c>
      <c r="G21" s="13">
        <v>218.5</v>
      </c>
      <c r="H21" s="13">
        <v>193.5</v>
      </c>
      <c r="I21" s="271"/>
      <c r="J21" s="13">
        <v>248</v>
      </c>
      <c r="K21" s="271"/>
      <c r="L21" s="13">
        <v>41.12</v>
      </c>
      <c r="M21" s="271"/>
      <c r="N21" s="13">
        <v>1612</v>
      </c>
      <c r="O21" s="271"/>
      <c r="P21" s="13">
        <v>2010.54</v>
      </c>
      <c r="Q21" s="271"/>
      <c r="R21" s="13">
        <v>7.69</v>
      </c>
    </row>
    <row r="22" spans="1:18" x14ac:dyDescent="0.15">
      <c r="B22" s="229" t="s">
        <v>142</v>
      </c>
      <c r="C22" s="14"/>
      <c r="D22" s="222">
        <v>956.1</v>
      </c>
      <c r="E22" s="222">
        <v>1239.0999999999999</v>
      </c>
      <c r="F22" s="222">
        <v>797.6</v>
      </c>
      <c r="G22" s="222">
        <v>956.6</v>
      </c>
      <c r="H22" s="222">
        <v>769.3</v>
      </c>
      <c r="I22" s="272"/>
      <c r="J22" s="222">
        <v>895</v>
      </c>
      <c r="K22" s="272"/>
      <c r="L22" s="222">
        <v>377.99</v>
      </c>
      <c r="M22" s="272"/>
      <c r="N22" s="222">
        <v>8754</v>
      </c>
      <c r="O22" s="272"/>
      <c r="P22" s="222">
        <v>7383.63</v>
      </c>
      <c r="Q22" s="272"/>
      <c r="R22" s="222">
        <v>245</v>
      </c>
    </row>
    <row r="23" spans="1:18" x14ac:dyDescent="0.15">
      <c r="B23" s="228" t="s">
        <v>143</v>
      </c>
      <c r="D23" s="13">
        <v>4366.7</v>
      </c>
      <c r="E23" s="13">
        <v>4916.6000000000004</v>
      </c>
      <c r="F23" s="13">
        <v>3893.9</v>
      </c>
      <c r="G23" s="13">
        <v>3910</v>
      </c>
      <c r="H23" s="13">
        <v>3935.3</v>
      </c>
      <c r="I23" s="271"/>
      <c r="J23" s="13">
        <v>5580</v>
      </c>
      <c r="K23" s="271"/>
      <c r="L23" s="13">
        <v>1153.83</v>
      </c>
      <c r="M23" s="271"/>
      <c r="N23" s="13">
        <v>16896</v>
      </c>
      <c r="O23" s="271"/>
      <c r="P23" s="13">
        <v>5325.55</v>
      </c>
      <c r="Q23" s="271"/>
      <c r="R23" s="13">
        <v>1223.32</v>
      </c>
    </row>
    <row r="24" spans="1:18" x14ac:dyDescent="0.15">
      <c r="B24" s="228" t="s">
        <v>144</v>
      </c>
      <c r="D24" s="13">
        <v>1358.3</v>
      </c>
      <c r="E24" s="13">
        <v>1336.5</v>
      </c>
      <c r="F24" s="13">
        <v>1028.9000000000001</v>
      </c>
      <c r="G24" s="13">
        <v>1072.8</v>
      </c>
      <c r="H24" s="13">
        <v>1005.9</v>
      </c>
      <c r="I24" s="271"/>
      <c r="J24" s="13">
        <v>1266</v>
      </c>
      <c r="K24" s="271"/>
      <c r="L24" s="13">
        <v>287.92</v>
      </c>
      <c r="M24" s="271"/>
      <c r="N24" s="13">
        <v>3511</v>
      </c>
      <c r="O24" s="271"/>
      <c r="P24" s="13">
        <v>601.33000000000004</v>
      </c>
      <c r="Q24" s="271"/>
      <c r="R24" s="13">
        <v>239.94</v>
      </c>
    </row>
    <row r="25" spans="1:18" x14ac:dyDescent="0.15">
      <c r="B25" s="228" t="s">
        <v>145</v>
      </c>
      <c r="D25" s="13">
        <v>947.8</v>
      </c>
      <c r="E25" s="13">
        <v>948.7</v>
      </c>
      <c r="F25" s="13">
        <v>810</v>
      </c>
      <c r="G25" s="13">
        <v>794.6</v>
      </c>
      <c r="H25" s="13">
        <v>761.9</v>
      </c>
      <c r="I25" s="271"/>
      <c r="J25" s="13">
        <v>616</v>
      </c>
      <c r="K25" s="271"/>
      <c r="L25" s="13">
        <v>152.79</v>
      </c>
      <c r="M25" s="271"/>
      <c r="N25" s="13">
        <v>2458</v>
      </c>
      <c r="O25" s="271"/>
      <c r="P25" s="13">
        <v>2033.32</v>
      </c>
      <c r="Q25" s="271"/>
      <c r="R25" s="13">
        <v>66.03</v>
      </c>
    </row>
    <row r="26" spans="1:18" ht="14" customHeight="1" thickBot="1" x14ac:dyDescent="0.2">
      <c r="B26" s="229" t="s">
        <v>147</v>
      </c>
      <c r="C26" s="14"/>
      <c r="D26" s="224">
        <v>8151.5</v>
      </c>
      <c r="E26" s="224">
        <v>8962.2999999999993</v>
      </c>
      <c r="F26" s="224">
        <v>7037.8</v>
      </c>
      <c r="G26" s="224">
        <v>7282.4</v>
      </c>
      <c r="H26" s="224">
        <v>7114.9</v>
      </c>
      <c r="I26" s="272"/>
      <c r="J26" s="224">
        <v>8677</v>
      </c>
      <c r="K26" s="272"/>
      <c r="L26" s="224">
        <v>2009.17</v>
      </c>
      <c r="M26" s="272"/>
      <c r="N26" s="224">
        <v>33281</v>
      </c>
      <c r="O26" s="272"/>
      <c r="P26" s="224">
        <v>15343.83</v>
      </c>
      <c r="Q26" s="272"/>
      <c r="R26" s="224">
        <v>1807.89</v>
      </c>
    </row>
    <row r="27" spans="1:18" ht="14" customHeight="1" thickTop="1" x14ac:dyDescent="0.15">
      <c r="A27" s="24"/>
      <c r="B27" s="230"/>
      <c r="C27" s="24"/>
      <c r="D27" s="106"/>
      <c r="E27" s="106"/>
      <c r="F27" s="106"/>
      <c r="G27" s="106"/>
      <c r="H27" s="106"/>
      <c r="I27" s="271"/>
      <c r="J27" s="106"/>
      <c r="K27" s="271"/>
      <c r="L27" s="106"/>
      <c r="M27" s="271"/>
      <c r="N27" s="106"/>
      <c r="O27" s="271"/>
      <c r="P27" s="106"/>
      <c r="Q27" s="271"/>
      <c r="R27" s="106"/>
    </row>
    <row r="28" spans="1:18" x14ac:dyDescent="0.15">
      <c r="B28" s="228" t="s">
        <v>1113</v>
      </c>
      <c r="D28" s="13">
        <v>8525.1</v>
      </c>
      <c r="E28" s="13">
        <v>8118.6</v>
      </c>
      <c r="F28" s="13">
        <v>7483.4</v>
      </c>
      <c r="G28" s="13">
        <v>6928.6</v>
      </c>
      <c r="H28" s="13">
        <v>6545</v>
      </c>
      <c r="I28" s="271"/>
      <c r="J28" s="13">
        <v>10032</v>
      </c>
      <c r="K28" s="271"/>
      <c r="L28" s="13">
        <v>1640.94</v>
      </c>
      <c r="M28" s="271"/>
      <c r="N28" s="13">
        <v>24003</v>
      </c>
      <c r="O28" s="271"/>
      <c r="P28" s="13">
        <v>13314.01</v>
      </c>
      <c r="Q28" s="271"/>
      <c r="R28" s="13">
        <v>1456.7</v>
      </c>
    </row>
    <row r="29" spans="1:18" x14ac:dyDescent="0.15">
      <c r="B29" s="228" t="s">
        <v>150</v>
      </c>
      <c r="D29" s="13">
        <v>23.8</v>
      </c>
      <c r="E29" s="13">
        <v>23.9</v>
      </c>
      <c r="F29" s="13">
        <v>24.5</v>
      </c>
      <c r="G29" s="13">
        <v>23.6</v>
      </c>
      <c r="H29" s="13">
        <v>22.7</v>
      </c>
      <c r="I29" s="271"/>
      <c r="J29" s="13">
        <v>2</v>
      </c>
      <c r="K29" s="271"/>
      <c r="L29" s="13">
        <v>0</v>
      </c>
      <c r="M29" s="271"/>
      <c r="N29" s="13">
        <v>1044</v>
      </c>
      <c r="O29" s="271"/>
      <c r="P29" s="13">
        <v>307.67</v>
      </c>
      <c r="Q29" s="271"/>
      <c r="R29" s="13">
        <v>0</v>
      </c>
    </row>
    <row r="30" spans="1:18" x14ac:dyDescent="0.15">
      <c r="B30" s="229" t="s">
        <v>151</v>
      </c>
      <c r="C30" s="14"/>
      <c r="D30" s="17">
        <v>8548.9</v>
      </c>
      <c r="E30" s="17">
        <v>8142.5</v>
      </c>
      <c r="F30" s="17">
        <v>7507.9</v>
      </c>
      <c r="G30" s="17">
        <v>6952.2</v>
      </c>
      <c r="H30" s="17">
        <v>6567.7</v>
      </c>
      <c r="I30" s="272"/>
      <c r="J30" s="17">
        <v>10034</v>
      </c>
      <c r="K30" s="272"/>
      <c r="L30" s="17">
        <v>1640.94</v>
      </c>
      <c r="M30" s="272"/>
      <c r="N30" s="17">
        <v>25048</v>
      </c>
      <c r="O30" s="272"/>
      <c r="P30" s="17">
        <v>13621.68</v>
      </c>
      <c r="Q30" s="272"/>
      <c r="R30" s="17">
        <v>1456.7</v>
      </c>
    </row>
    <row r="31" spans="1:18" x14ac:dyDescent="0.15">
      <c r="B31" s="229" t="s">
        <v>1114</v>
      </c>
      <c r="C31" s="14"/>
      <c r="D31" s="223">
        <v>4372.8999999999996</v>
      </c>
      <c r="E31" s="223">
        <v>5327.8</v>
      </c>
      <c r="F31" s="223">
        <v>3906.9</v>
      </c>
      <c r="G31" s="223">
        <v>4032.8</v>
      </c>
      <c r="H31" s="223">
        <v>3975.9</v>
      </c>
      <c r="I31" s="272"/>
      <c r="J31" s="223">
        <v>5625</v>
      </c>
      <c r="K31" s="272"/>
      <c r="L31" s="223">
        <v>1165.54</v>
      </c>
      <c r="M31" s="272"/>
      <c r="N31" s="223">
        <v>18187</v>
      </c>
      <c r="O31" s="272"/>
      <c r="P31" s="223">
        <v>6779.99</v>
      </c>
      <c r="Q31" s="272"/>
      <c r="R31" s="223">
        <v>1238.32</v>
      </c>
    </row>
    <row r="32" spans="1:18" x14ac:dyDescent="0.15">
      <c r="A32" s="24"/>
      <c r="B32" s="230"/>
      <c r="C32" s="24"/>
      <c r="D32" s="106"/>
      <c r="E32" s="106"/>
      <c r="F32" s="106"/>
      <c r="G32" s="106"/>
      <c r="H32" s="106"/>
      <c r="I32" s="271"/>
      <c r="J32" s="106"/>
      <c r="K32" s="271"/>
      <c r="L32" s="106"/>
      <c r="M32" s="271"/>
      <c r="N32" s="106"/>
      <c r="O32" s="271"/>
      <c r="P32" s="106"/>
      <c r="Q32" s="271"/>
      <c r="R32" s="106"/>
    </row>
    <row r="33" spans="1:18" x14ac:dyDescent="0.15">
      <c r="B33" s="227" t="s">
        <v>74</v>
      </c>
      <c r="C33" s="218"/>
      <c r="D33" s="220"/>
      <c r="E33" s="220"/>
      <c r="F33" s="220"/>
      <c r="G33" s="220"/>
      <c r="H33" s="220"/>
      <c r="I33" s="272"/>
      <c r="J33" s="220"/>
      <c r="K33" s="272"/>
      <c r="L33" s="220"/>
      <c r="M33" s="272"/>
      <c r="N33" s="220"/>
      <c r="O33" s="272"/>
      <c r="P33" s="220"/>
      <c r="Q33" s="272"/>
      <c r="R33" s="220"/>
    </row>
    <row r="34" spans="1:18" x14ac:dyDescent="0.15">
      <c r="B34" s="229" t="s">
        <v>63</v>
      </c>
      <c r="C34" s="14"/>
      <c r="D34" s="17">
        <v>7941.1</v>
      </c>
      <c r="E34" s="17">
        <v>7417.7</v>
      </c>
      <c r="F34" s="17">
        <v>7781.9</v>
      </c>
      <c r="G34" s="17">
        <v>7315.2</v>
      </c>
      <c r="H34" s="17">
        <v>5552.2</v>
      </c>
      <c r="I34" s="272"/>
      <c r="J34" s="17">
        <v>6150</v>
      </c>
      <c r="K34" s="272"/>
      <c r="L34" s="17">
        <v>3146.01</v>
      </c>
      <c r="M34" s="272"/>
      <c r="N34" s="17">
        <v>37447</v>
      </c>
      <c r="O34" s="272"/>
      <c r="P34" s="17">
        <v>16131.88</v>
      </c>
      <c r="Q34" s="272"/>
      <c r="R34" s="17">
        <v>2260.5100000000002</v>
      </c>
    </row>
    <row r="35" spans="1:18" x14ac:dyDescent="0.15">
      <c r="B35" s="228" t="s">
        <v>65</v>
      </c>
      <c r="D35" s="13">
        <v>5766.5</v>
      </c>
      <c r="E35" s="13">
        <v>5418.1</v>
      </c>
      <c r="F35" s="13">
        <v>5833.4</v>
      </c>
      <c r="G35" s="13">
        <v>5757.5</v>
      </c>
      <c r="H35" s="13">
        <v>4178.8</v>
      </c>
      <c r="I35" s="271"/>
      <c r="J35" s="13">
        <v>4261</v>
      </c>
      <c r="K35" s="271"/>
      <c r="L35" s="13">
        <v>2568.6799999999998</v>
      </c>
      <c r="M35" s="271"/>
      <c r="N35" s="13">
        <v>23919</v>
      </c>
      <c r="O35" s="271"/>
      <c r="P35" s="13">
        <v>10821.37</v>
      </c>
      <c r="Q35" s="271"/>
      <c r="R35" s="13">
        <v>1587.37</v>
      </c>
    </row>
    <row r="36" spans="1:18" x14ac:dyDescent="0.15">
      <c r="B36" s="229" t="s">
        <v>68</v>
      </c>
      <c r="C36" s="14"/>
      <c r="D36" s="222">
        <v>2174.6</v>
      </c>
      <c r="E36" s="222">
        <v>1999.6</v>
      </c>
      <c r="F36" s="222">
        <v>1948.5</v>
      </c>
      <c r="G36" s="222">
        <v>1557.7</v>
      </c>
      <c r="H36" s="222">
        <v>1373.4</v>
      </c>
      <c r="I36" s="272"/>
      <c r="J36" s="222">
        <v>1889</v>
      </c>
      <c r="K36" s="272"/>
      <c r="L36" s="222">
        <v>577.33000000000004</v>
      </c>
      <c r="M36" s="272"/>
      <c r="N36" s="222">
        <v>13528</v>
      </c>
      <c r="O36" s="272"/>
      <c r="P36" s="222">
        <v>5310.51</v>
      </c>
      <c r="Q36" s="272"/>
      <c r="R36" s="222">
        <v>673.14</v>
      </c>
    </row>
    <row r="37" spans="1:18" x14ac:dyDescent="0.15">
      <c r="B37" s="228" t="s">
        <v>1115</v>
      </c>
      <c r="D37" s="13">
        <v>564.1</v>
      </c>
      <c r="E37" s="13">
        <v>531.1</v>
      </c>
      <c r="F37" s="13">
        <v>542.79999999999995</v>
      </c>
      <c r="G37" s="13">
        <v>515.1</v>
      </c>
      <c r="H37" s="13">
        <v>417.6</v>
      </c>
      <c r="I37" s="271"/>
      <c r="J37" s="13">
        <v>443</v>
      </c>
      <c r="K37" s="271"/>
      <c r="L37" s="13">
        <v>280.64999999999998</v>
      </c>
      <c r="M37" s="271"/>
      <c r="N37" s="13">
        <v>8205</v>
      </c>
      <c r="O37" s="271"/>
      <c r="P37" s="13">
        <v>3521.37</v>
      </c>
      <c r="Q37" s="271"/>
      <c r="R37" s="13">
        <v>73.94</v>
      </c>
    </row>
    <row r="38" spans="1:18" x14ac:dyDescent="0.15">
      <c r="B38" s="228" t="s">
        <v>1116</v>
      </c>
      <c r="D38" s="13">
        <v>83.1</v>
      </c>
      <c r="E38" s="13">
        <v>72.400000000000006</v>
      </c>
      <c r="F38" s="13">
        <v>83.5</v>
      </c>
      <c r="G38" s="13">
        <v>13.1</v>
      </c>
      <c r="H38" s="13">
        <v>-15.9</v>
      </c>
      <c r="I38" s="271"/>
      <c r="J38" s="13">
        <v>-47</v>
      </c>
      <c r="K38" s="271"/>
      <c r="L38" s="13">
        <v>-0.8</v>
      </c>
      <c r="M38" s="271"/>
      <c r="N38" s="13">
        <v>0</v>
      </c>
      <c r="O38" s="271"/>
      <c r="P38" s="13">
        <v>784.29</v>
      </c>
      <c r="Q38" s="271"/>
      <c r="R38" s="13">
        <v>-6.42</v>
      </c>
    </row>
    <row r="39" spans="1:18" x14ac:dyDescent="0.15">
      <c r="B39" s="229" t="s">
        <v>1117</v>
      </c>
      <c r="C39" s="14"/>
      <c r="D39" s="222">
        <v>1527.4</v>
      </c>
      <c r="E39" s="222">
        <v>1396.1</v>
      </c>
      <c r="F39" s="222">
        <v>1322.2</v>
      </c>
      <c r="G39" s="222">
        <v>1029.5</v>
      </c>
      <c r="H39" s="222">
        <v>971.7</v>
      </c>
      <c r="I39" s="272"/>
      <c r="J39" s="222">
        <v>1493</v>
      </c>
      <c r="K39" s="272"/>
      <c r="L39" s="222">
        <v>297.47000000000003</v>
      </c>
      <c r="M39" s="272"/>
      <c r="N39" s="222">
        <v>5323</v>
      </c>
      <c r="O39" s="272"/>
      <c r="P39" s="222">
        <v>1004.85</v>
      </c>
      <c r="Q39" s="272"/>
      <c r="R39" s="222">
        <v>605.62</v>
      </c>
    </row>
    <row r="40" spans="1:18" x14ac:dyDescent="0.15">
      <c r="B40" s="228" t="s">
        <v>111</v>
      </c>
      <c r="D40" s="13">
        <v>239.7</v>
      </c>
      <c r="E40" s="13">
        <v>191.2</v>
      </c>
      <c r="F40" s="13">
        <v>196.1</v>
      </c>
      <c r="G40" s="13">
        <v>169.2</v>
      </c>
      <c r="H40" s="13">
        <v>149.30000000000001</v>
      </c>
      <c r="I40" s="271"/>
      <c r="J40" s="13">
        <v>230</v>
      </c>
      <c r="K40" s="271"/>
      <c r="L40" s="13">
        <v>81.94</v>
      </c>
      <c r="M40" s="271"/>
      <c r="N40" s="13">
        <v>810</v>
      </c>
      <c r="O40" s="271"/>
      <c r="P40" s="13">
        <v>300.77999999999997</v>
      </c>
      <c r="Q40" s="271"/>
      <c r="R40" s="13">
        <v>40.24</v>
      </c>
    </row>
    <row r="41" spans="1:18" x14ac:dyDescent="0.15">
      <c r="B41" s="228" t="s">
        <v>114</v>
      </c>
      <c r="D41" s="13">
        <v>91.6</v>
      </c>
      <c r="E41" s="13">
        <v>66.900000000000006</v>
      </c>
      <c r="F41" s="13">
        <v>140.80000000000001</v>
      </c>
      <c r="G41" s="13">
        <v>15.8</v>
      </c>
      <c r="H41" s="13">
        <v>130.80000000000001</v>
      </c>
      <c r="I41" s="271"/>
      <c r="J41" s="13">
        <v>9</v>
      </c>
      <c r="K41" s="271"/>
      <c r="L41" s="13">
        <v>5.77</v>
      </c>
      <c r="M41" s="271"/>
      <c r="N41" s="13">
        <v>263</v>
      </c>
      <c r="O41" s="271"/>
      <c r="P41" s="13">
        <v>-173.61</v>
      </c>
      <c r="Q41" s="271"/>
      <c r="R41" s="13">
        <v>-14.39</v>
      </c>
    </row>
    <row r="42" spans="1:18" x14ac:dyDescent="0.15">
      <c r="B42" s="229" t="s">
        <v>117</v>
      </c>
      <c r="C42" s="14"/>
      <c r="D42" s="222">
        <v>1390.1</v>
      </c>
      <c r="E42" s="222">
        <v>1172.0999999999999</v>
      </c>
      <c r="F42" s="222">
        <v>1245.0999999999999</v>
      </c>
      <c r="G42" s="222">
        <v>788.1</v>
      </c>
      <c r="H42" s="222">
        <v>873.8</v>
      </c>
      <c r="I42" s="272"/>
      <c r="J42" s="222">
        <v>1226</v>
      </c>
      <c r="K42" s="272"/>
      <c r="L42" s="222">
        <v>213.21</v>
      </c>
      <c r="M42" s="272"/>
      <c r="N42" s="222">
        <v>4805</v>
      </c>
      <c r="O42" s="272"/>
      <c r="P42" s="222">
        <v>789.35</v>
      </c>
      <c r="Q42" s="272"/>
      <c r="R42" s="222">
        <v>591.49</v>
      </c>
    </row>
    <row r="43" spans="1:18" x14ac:dyDescent="0.15">
      <c r="B43" s="228" t="s">
        <v>119</v>
      </c>
      <c r="D43" s="13">
        <v>307.5</v>
      </c>
      <c r="E43" s="13">
        <v>251.4</v>
      </c>
      <c r="F43" s="13">
        <v>299.39999999999998</v>
      </c>
      <c r="G43" s="13">
        <v>193</v>
      </c>
      <c r="H43" s="13">
        <v>200.1</v>
      </c>
      <c r="I43" s="271"/>
      <c r="J43" s="13">
        <v>236</v>
      </c>
      <c r="K43" s="271"/>
      <c r="L43" s="13">
        <v>56.14</v>
      </c>
      <c r="M43" s="271"/>
      <c r="N43" s="13">
        <v>1041</v>
      </c>
      <c r="O43" s="271"/>
      <c r="P43" s="13">
        <v>385.01</v>
      </c>
      <c r="Q43" s="271"/>
      <c r="R43" s="13">
        <v>128.07</v>
      </c>
    </row>
    <row r="44" spans="1:18" ht="14" customHeight="1" thickBot="1" x14ac:dyDescent="0.2">
      <c r="B44" s="229" t="s">
        <v>73</v>
      </c>
      <c r="C44" s="14"/>
      <c r="D44" s="224">
        <v>1076.7</v>
      </c>
      <c r="E44" s="224">
        <v>911.9</v>
      </c>
      <c r="F44" s="224">
        <v>933.2</v>
      </c>
      <c r="G44" s="224">
        <v>575.6</v>
      </c>
      <c r="H44" s="224">
        <v>670.8</v>
      </c>
      <c r="I44" s="272"/>
      <c r="J44" s="224">
        <v>1137</v>
      </c>
      <c r="K44" s="272"/>
      <c r="L44" s="224">
        <v>157.07</v>
      </c>
      <c r="M44" s="272"/>
      <c r="N44" s="224">
        <v>3753</v>
      </c>
      <c r="O44" s="272"/>
      <c r="P44" s="224">
        <v>960.16</v>
      </c>
      <c r="Q44" s="272"/>
      <c r="R44" s="224">
        <v>463.42</v>
      </c>
    </row>
    <row r="45" spans="1:18" ht="14" customHeight="1" thickTop="1" x14ac:dyDescent="0.15">
      <c r="A45" s="24"/>
      <c r="B45" s="230"/>
      <c r="C45" s="24"/>
      <c r="D45" s="106"/>
      <c r="E45" s="106"/>
      <c r="F45" s="106"/>
      <c r="G45" s="106"/>
      <c r="H45" s="106"/>
      <c r="I45" s="271"/>
      <c r="J45" s="106"/>
      <c r="K45" s="271"/>
      <c r="L45" s="106"/>
      <c r="M45" s="271"/>
      <c r="N45" s="106"/>
      <c r="O45" s="271"/>
      <c r="P45" s="106"/>
      <c r="Q45" s="271"/>
      <c r="R45" s="106"/>
    </row>
    <row r="46" spans="1:18" x14ac:dyDescent="0.15">
      <c r="B46" s="229" t="s">
        <v>71</v>
      </c>
      <c r="C46" s="14"/>
      <c r="D46" s="222">
        <v>2275.9</v>
      </c>
      <c r="E46" s="222">
        <v>2028.3</v>
      </c>
      <c r="F46" s="222">
        <v>1939.2</v>
      </c>
      <c r="G46" s="222">
        <v>1617</v>
      </c>
      <c r="H46" s="222">
        <v>1434.7</v>
      </c>
      <c r="I46" s="272"/>
      <c r="J46" s="222">
        <v>2130</v>
      </c>
      <c r="K46" s="272"/>
      <c r="L46" s="222">
        <v>491.21</v>
      </c>
      <c r="M46" s="272"/>
      <c r="N46" s="222">
        <v>7479</v>
      </c>
      <c r="O46" s="272"/>
      <c r="P46" s="222">
        <v>2295.7800000000002</v>
      </c>
      <c r="Q46" s="272"/>
      <c r="R46" s="222">
        <v>764.52</v>
      </c>
    </row>
    <row r="47" spans="1:18" x14ac:dyDescent="0.15">
      <c r="B47" s="228" t="s">
        <v>102</v>
      </c>
      <c r="D47" s="13">
        <v>748.5</v>
      </c>
      <c r="E47" s="13">
        <v>632.20000000000005</v>
      </c>
      <c r="F47" s="13">
        <v>617</v>
      </c>
      <c r="G47" s="13">
        <v>587.5</v>
      </c>
      <c r="H47" s="13">
        <v>463</v>
      </c>
      <c r="I47" s="271"/>
      <c r="J47" s="13">
        <v>637</v>
      </c>
      <c r="K47" s="271"/>
      <c r="L47" s="13">
        <v>193.74</v>
      </c>
      <c r="M47" s="271"/>
      <c r="N47" s="13">
        <v>2156</v>
      </c>
      <c r="O47" s="271"/>
      <c r="P47" s="13">
        <v>1290.93</v>
      </c>
      <c r="Q47" s="271"/>
      <c r="R47" s="13">
        <v>158.9</v>
      </c>
    </row>
    <row r="48" spans="1:18" x14ac:dyDescent="0.15">
      <c r="B48" s="231" t="s">
        <v>84</v>
      </c>
      <c r="D48" s="268">
        <v>0.221207107402345</v>
      </c>
      <c r="E48" s="268">
        <v>0.214486818530842</v>
      </c>
      <c r="F48" s="268">
        <v>0.24046261344470299</v>
      </c>
      <c r="G48" s="268">
        <v>0.244892780104048</v>
      </c>
      <c r="H48" s="268">
        <v>0.22899977111467201</v>
      </c>
      <c r="I48" s="271"/>
      <c r="J48" s="268">
        <f>J43/J42</f>
        <v>0.19249592169657423</v>
      </c>
      <c r="K48" s="271"/>
      <c r="L48" s="268">
        <f>L43/L42</f>
        <v>0.26330847521223205</v>
      </c>
      <c r="M48" s="271"/>
      <c r="N48" s="268">
        <f>N43/N42</f>
        <v>0.21664932362122788</v>
      </c>
      <c r="O48" s="271"/>
      <c r="P48" s="268">
        <f>P43/P42</f>
        <v>0.48775574840058272</v>
      </c>
      <c r="Q48" s="271"/>
      <c r="R48" s="268">
        <f>R43/R42</f>
        <v>0.2165209893658388</v>
      </c>
    </row>
    <row r="49" spans="1:18" x14ac:dyDescent="0.15">
      <c r="A49" s="24"/>
      <c r="B49" s="230"/>
      <c r="C49" s="24"/>
      <c r="D49" s="106"/>
      <c r="E49" s="106"/>
      <c r="F49" s="106"/>
      <c r="G49" s="106"/>
      <c r="H49" s="106"/>
      <c r="I49" s="271"/>
      <c r="J49" s="106"/>
      <c r="K49" s="271"/>
      <c r="L49" s="106"/>
      <c r="M49" s="271"/>
      <c r="N49" s="106"/>
      <c r="O49" s="271"/>
      <c r="P49" s="106"/>
      <c r="Q49" s="271"/>
      <c r="R49" s="106"/>
    </row>
    <row r="50" spans="1:18" x14ac:dyDescent="0.15">
      <c r="B50" s="227" t="s">
        <v>155</v>
      </c>
      <c r="C50" s="218"/>
      <c r="D50" s="220"/>
      <c r="E50" s="220"/>
      <c r="F50" s="220"/>
      <c r="G50" s="220"/>
      <c r="H50" s="220"/>
      <c r="I50" s="272"/>
      <c r="J50" s="220"/>
      <c r="K50" s="272"/>
      <c r="L50" s="220"/>
      <c r="M50" s="272"/>
      <c r="N50" s="220"/>
      <c r="O50" s="272"/>
      <c r="P50" s="220"/>
      <c r="Q50" s="272"/>
      <c r="R50" s="220"/>
    </row>
    <row r="51" spans="1:18" x14ac:dyDescent="0.15">
      <c r="B51" s="232" t="s">
        <v>1118</v>
      </c>
      <c r="C51" s="14"/>
      <c r="D51" s="17">
        <v>1813</v>
      </c>
      <c r="E51" s="17">
        <v>1409.6</v>
      </c>
      <c r="F51" s="17">
        <v>1536.8</v>
      </c>
      <c r="G51" s="17">
        <v>1148.2</v>
      </c>
      <c r="H51" s="17">
        <v>1011.9</v>
      </c>
      <c r="I51" s="272"/>
      <c r="J51" s="17">
        <v>1785</v>
      </c>
      <c r="K51" s="272"/>
      <c r="L51" s="17">
        <v>278.48</v>
      </c>
      <c r="M51" s="272"/>
      <c r="N51" s="17">
        <v>5625</v>
      </c>
      <c r="O51" s="272"/>
      <c r="P51" s="17">
        <v>2057.69</v>
      </c>
      <c r="Q51" s="272"/>
      <c r="R51" s="17">
        <v>548.54999999999995</v>
      </c>
    </row>
    <row r="52" spans="1:18" x14ac:dyDescent="0.15">
      <c r="B52" s="229" t="s">
        <v>295</v>
      </c>
      <c r="C52" s="14"/>
      <c r="D52" s="17">
        <v>677.7</v>
      </c>
      <c r="E52" s="17">
        <v>603.5</v>
      </c>
      <c r="F52" s="17">
        <v>872.6</v>
      </c>
      <c r="G52" s="17">
        <v>612.6</v>
      </c>
      <c r="H52" s="17">
        <v>451.3</v>
      </c>
      <c r="I52" s="272"/>
      <c r="J52" s="17">
        <v>807</v>
      </c>
      <c r="K52" s="272"/>
      <c r="L52" s="17">
        <v>348.04</v>
      </c>
      <c r="M52" s="272"/>
      <c r="N52" s="17">
        <v>2713</v>
      </c>
      <c r="O52" s="272"/>
      <c r="P52" s="17">
        <v>1325.28</v>
      </c>
      <c r="Q52" s="272"/>
      <c r="R52" s="17">
        <v>195.28</v>
      </c>
    </row>
    <row r="53" spans="1:18" x14ac:dyDescent="0.15">
      <c r="B53" s="229" t="s">
        <v>296</v>
      </c>
      <c r="C53" s="14"/>
      <c r="D53" s="222">
        <v>1135.3</v>
      </c>
      <c r="E53" s="222">
        <v>806.1</v>
      </c>
      <c r="F53" s="222">
        <v>664.2</v>
      </c>
      <c r="G53" s="222">
        <v>535.6</v>
      </c>
      <c r="H53" s="222">
        <v>560.6</v>
      </c>
      <c r="I53" s="272"/>
      <c r="J53" s="222">
        <v>978</v>
      </c>
      <c r="K53" s="272"/>
      <c r="L53" s="222">
        <v>-69.569999999999993</v>
      </c>
      <c r="M53" s="272"/>
      <c r="N53" s="222">
        <v>2912</v>
      </c>
      <c r="O53" s="272"/>
      <c r="P53" s="222">
        <v>732.41</v>
      </c>
      <c r="Q53" s="272"/>
      <c r="R53" s="222">
        <v>353.27</v>
      </c>
    </row>
    <row r="54" spans="1:18" x14ac:dyDescent="0.15">
      <c r="A54" s="24"/>
      <c r="B54" s="233"/>
      <c r="C54" s="24"/>
      <c r="D54" s="106"/>
      <c r="E54" s="106"/>
      <c r="F54" s="106"/>
      <c r="G54" s="106"/>
      <c r="H54" s="106"/>
      <c r="I54" s="271"/>
      <c r="J54" s="106"/>
      <c r="K54" s="271"/>
      <c r="L54" s="106"/>
      <c r="M54" s="271"/>
      <c r="N54" s="106"/>
      <c r="O54" s="271"/>
      <c r="P54" s="106"/>
      <c r="Q54" s="271"/>
      <c r="R54" s="106"/>
    </row>
    <row r="55" spans="1:18" x14ac:dyDescent="0.15">
      <c r="B55" s="228" t="s">
        <v>1119</v>
      </c>
      <c r="D55" s="13">
        <v>113.9</v>
      </c>
      <c r="E55" s="13">
        <v>-2266</v>
      </c>
      <c r="F55" s="13">
        <v>614.5</v>
      </c>
      <c r="G55" s="13">
        <v>-479.2</v>
      </c>
      <c r="H55" s="13">
        <v>-1639.4</v>
      </c>
      <c r="I55" s="271"/>
      <c r="J55" s="13">
        <v>-647</v>
      </c>
      <c r="K55" s="271"/>
      <c r="L55" s="13">
        <v>-609.99</v>
      </c>
      <c r="M55" s="271"/>
      <c r="N55" s="13">
        <v>-3332</v>
      </c>
      <c r="O55" s="271"/>
      <c r="P55" s="13">
        <v>964.83</v>
      </c>
      <c r="Q55" s="271"/>
      <c r="R55" s="13">
        <v>-174.85</v>
      </c>
    </row>
    <row r="56" spans="1:18" x14ac:dyDescent="0.15">
      <c r="B56" s="228" t="s">
        <v>1120</v>
      </c>
      <c r="D56" s="13">
        <v>10.5</v>
      </c>
      <c r="E56" s="13">
        <v>-0.1</v>
      </c>
      <c r="F56" s="13">
        <v>0</v>
      </c>
      <c r="G56" s="13">
        <v>0.1</v>
      </c>
      <c r="H56" s="13">
        <v>0.1</v>
      </c>
      <c r="I56" s="271"/>
      <c r="J56" s="13">
        <v>-134</v>
      </c>
      <c r="K56" s="271"/>
      <c r="L56" s="13">
        <v>-3.1</v>
      </c>
      <c r="M56" s="271"/>
      <c r="N56" s="13">
        <v>290</v>
      </c>
      <c r="O56" s="271"/>
      <c r="P56" s="13">
        <v>-6.93</v>
      </c>
      <c r="Q56" s="271"/>
      <c r="R56" s="13">
        <v>0</v>
      </c>
    </row>
    <row r="57" spans="1:18" x14ac:dyDescent="0.15">
      <c r="B57" s="229" t="s">
        <v>1121</v>
      </c>
      <c r="C57" s="14"/>
      <c r="D57" s="222">
        <v>-529.20000000000005</v>
      </c>
      <c r="E57" s="222">
        <v>-2814.9</v>
      </c>
      <c r="F57" s="222">
        <v>-163.5</v>
      </c>
      <c r="G57" s="222">
        <v>-1053</v>
      </c>
      <c r="H57" s="222">
        <v>-1874.1</v>
      </c>
      <c r="I57" s="273"/>
      <c r="J57" s="222">
        <v>-1588</v>
      </c>
      <c r="K57" s="272"/>
      <c r="L57" s="222">
        <v>-913.66</v>
      </c>
      <c r="M57" s="272"/>
      <c r="N57" s="222">
        <v>-6045</v>
      </c>
      <c r="O57" s="272"/>
      <c r="P57" s="222">
        <v>-263.45999999999998</v>
      </c>
      <c r="Q57" s="272"/>
      <c r="R57" s="222">
        <v>-370.13</v>
      </c>
    </row>
    <row r="58" spans="1:18" x14ac:dyDescent="0.15">
      <c r="B58" s="229"/>
      <c r="D58" s="13"/>
      <c r="E58" s="13"/>
      <c r="F58" s="13"/>
      <c r="G58" s="13"/>
      <c r="H58" s="13"/>
      <c r="I58" s="271"/>
      <c r="J58" s="13"/>
      <c r="K58" s="271"/>
      <c r="L58" s="13"/>
      <c r="M58" s="271"/>
      <c r="N58" s="13"/>
      <c r="O58" s="271"/>
      <c r="P58" s="13"/>
      <c r="Q58" s="271"/>
      <c r="R58" s="13"/>
    </row>
    <row r="59" spans="1:18" x14ac:dyDescent="0.15">
      <c r="B59" s="228" t="s">
        <v>951</v>
      </c>
      <c r="D59" s="13">
        <v>259.8</v>
      </c>
      <c r="E59" s="13">
        <v>244.4</v>
      </c>
      <c r="F59" s="13">
        <v>228.4</v>
      </c>
      <c r="G59" s="13">
        <v>212.6</v>
      </c>
      <c r="H59" s="13">
        <v>196.4</v>
      </c>
      <c r="I59" s="271"/>
      <c r="J59" s="13">
        <v>197</v>
      </c>
      <c r="K59" s="271"/>
      <c r="L59" s="13">
        <v>0</v>
      </c>
      <c r="M59" s="271"/>
      <c r="N59" s="13">
        <v>996</v>
      </c>
      <c r="O59" s="271"/>
      <c r="P59" s="13">
        <v>127.47</v>
      </c>
      <c r="Q59" s="271"/>
      <c r="R59" s="13">
        <v>33.72</v>
      </c>
    </row>
    <row r="60" spans="1:18" x14ac:dyDescent="0.15">
      <c r="B60" s="228" t="s">
        <v>1122</v>
      </c>
      <c r="D60" s="13">
        <v>-438.4</v>
      </c>
      <c r="E60" s="13">
        <v>-68.8</v>
      </c>
      <c r="F60" s="13">
        <v>-200</v>
      </c>
      <c r="G60" s="13">
        <v>0</v>
      </c>
      <c r="H60" s="13">
        <v>0</v>
      </c>
      <c r="I60" s="271"/>
      <c r="J60" s="13">
        <v>-450</v>
      </c>
      <c r="K60" s="271"/>
      <c r="L60" s="13">
        <v>-2.65</v>
      </c>
      <c r="M60" s="271"/>
      <c r="N60" s="13">
        <v>-1181</v>
      </c>
      <c r="O60" s="271"/>
      <c r="P60" s="13">
        <v>994.5</v>
      </c>
      <c r="Q60" s="271"/>
      <c r="R60" s="13">
        <v>-291.91000000000003</v>
      </c>
    </row>
    <row r="61" spans="1:18" x14ac:dyDescent="0.15">
      <c r="B61" s="228" t="s">
        <v>1123</v>
      </c>
      <c r="D61" s="13">
        <v>-961.4</v>
      </c>
      <c r="E61" s="13">
        <v>1436.5</v>
      </c>
      <c r="F61" s="13">
        <v>-131.30000000000001</v>
      </c>
      <c r="G61" s="13">
        <v>58.5</v>
      </c>
      <c r="H61" s="13">
        <v>134.80000000000001</v>
      </c>
      <c r="I61" s="271"/>
      <c r="J61" s="13">
        <v>-118</v>
      </c>
      <c r="K61" s="271"/>
      <c r="L61" s="13">
        <v>491.19</v>
      </c>
      <c r="M61" s="271"/>
      <c r="N61" s="13">
        <v>2736</v>
      </c>
      <c r="O61" s="271"/>
      <c r="P61" s="13">
        <v>-434.03</v>
      </c>
      <c r="Q61" s="271"/>
      <c r="R61" s="13">
        <v>143.75</v>
      </c>
    </row>
    <row r="62" spans="1:18" x14ac:dyDescent="0.15">
      <c r="B62" s="228" t="s">
        <v>165</v>
      </c>
      <c r="D62" s="13">
        <v>-35.6</v>
      </c>
      <c r="E62" s="13">
        <v>-66.400000000000006</v>
      </c>
      <c r="F62" s="13">
        <v>-25.9</v>
      </c>
      <c r="G62" s="13">
        <v>-21.1</v>
      </c>
      <c r="H62" s="13">
        <v>-32.700000000000003</v>
      </c>
      <c r="I62" s="271"/>
      <c r="J62" s="13">
        <v>-35</v>
      </c>
      <c r="K62" s="271"/>
      <c r="L62" s="13">
        <v>-11.07</v>
      </c>
      <c r="M62" s="271"/>
      <c r="N62" s="13">
        <v>9</v>
      </c>
      <c r="O62" s="271"/>
      <c r="P62" s="13">
        <v>-1222.1099999999999</v>
      </c>
      <c r="Q62" s="271"/>
      <c r="R62" s="13">
        <v>-11.06</v>
      </c>
    </row>
    <row r="63" spans="1:18" x14ac:dyDescent="0.15">
      <c r="B63" s="231" t="s">
        <v>1124</v>
      </c>
      <c r="D63" s="13">
        <v>-1695.2</v>
      </c>
      <c r="E63" s="13">
        <v>1056.9000000000001</v>
      </c>
      <c r="F63" s="13">
        <v>-585.6</v>
      </c>
      <c r="G63" s="13">
        <v>-175.2</v>
      </c>
      <c r="H63" s="13">
        <v>-94.3</v>
      </c>
      <c r="I63" s="271"/>
      <c r="J63" s="13">
        <v>-800</v>
      </c>
      <c r="K63" s="271"/>
      <c r="L63" s="13">
        <v>477.47</v>
      </c>
      <c r="M63" s="271"/>
      <c r="N63" s="13">
        <v>596</v>
      </c>
      <c r="O63" s="271"/>
      <c r="P63" s="13">
        <v>-789.16</v>
      </c>
      <c r="Q63" s="271"/>
      <c r="R63" s="13">
        <v>-192.94</v>
      </c>
    </row>
    <row r="64" spans="1:18" x14ac:dyDescent="0.15">
      <c r="B64" s="226" t="s">
        <v>1125</v>
      </c>
      <c r="D64" s="13">
        <v>557.70000000000005</v>
      </c>
      <c r="E64" s="13">
        <v>534.6</v>
      </c>
      <c r="F64" s="13">
        <v>494.4</v>
      </c>
      <c r="G64" s="13">
        <v>439.3</v>
      </c>
      <c r="H64" s="13">
        <v>418</v>
      </c>
      <c r="I64" s="271"/>
      <c r="J64" s="13">
        <v>1378</v>
      </c>
      <c r="K64" s="271"/>
      <c r="L64" s="13">
        <v>304.27999999999997</v>
      </c>
      <c r="M64" s="271"/>
      <c r="N64" s="13">
        <v>2596</v>
      </c>
      <c r="O64" s="271"/>
      <c r="P64" s="13">
        <v>0</v>
      </c>
      <c r="Q64" s="271"/>
      <c r="R64" s="13">
        <v>91.1</v>
      </c>
    </row>
    <row r="65" spans="2:18" x14ac:dyDescent="0.15">
      <c r="B65" s="226" t="s">
        <v>1126</v>
      </c>
      <c r="D65" s="13">
        <v>80.7</v>
      </c>
      <c r="E65" s="13">
        <v>68.5</v>
      </c>
      <c r="F65" s="13">
        <v>63.5</v>
      </c>
      <c r="G65" s="13">
        <v>70.599999999999994</v>
      </c>
      <c r="H65" s="13">
        <v>39.200000000000003</v>
      </c>
      <c r="I65" s="271"/>
      <c r="J65" s="13">
        <v>-363</v>
      </c>
      <c r="K65" s="271"/>
      <c r="L65" s="13">
        <v>0</v>
      </c>
      <c r="M65" s="271"/>
      <c r="N65" s="13">
        <v>0</v>
      </c>
      <c r="O65" s="271"/>
      <c r="P65" s="13">
        <v>0</v>
      </c>
      <c r="Q65" s="271"/>
      <c r="R65" s="13">
        <v>159.38999999999999</v>
      </c>
    </row>
    <row r="66" spans="2:18" x14ac:dyDescent="0.15">
      <c r="B66" s="226" t="s">
        <v>1127</v>
      </c>
      <c r="D66" s="13">
        <v>10.5</v>
      </c>
      <c r="E66" s="13">
        <v>13.2</v>
      </c>
      <c r="F66" s="13">
        <v>13.6</v>
      </c>
      <c r="G66" s="13">
        <v>10.9</v>
      </c>
      <c r="H66" s="13">
        <v>10.3</v>
      </c>
      <c r="I66" s="271"/>
      <c r="J66" s="13">
        <v>7</v>
      </c>
      <c r="K66" s="271"/>
      <c r="L66" s="13">
        <v>5.19</v>
      </c>
      <c r="M66" s="271"/>
      <c r="N66" s="13">
        <v>137</v>
      </c>
      <c r="O66" s="271"/>
      <c r="P66" s="13">
        <v>0</v>
      </c>
      <c r="Q66" s="271"/>
      <c r="R66" s="13">
        <v>6.4</v>
      </c>
    </row>
    <row r="67" spans="2:18" x14ac:dyDescent="0.15">
      <c r="B67" s="144" t="s">
        <v>1128</v>
      </c>
      <c r="D67" s="13">
        <v>11172</v>
      </c>
      <c r="E67" s="13">
        <v>11436</v>
      </c>
      <c r="F67" s="13">
        <v>10382</v>
      </c>
      <c r="G67" s="13">
        <v>11397</v>
      </c>
      <c r="H67" s="13">
        <v>11437</v>
      </c>
      <c r="I67" s="271"/>
      <c r="J67" s="13">
        <v>9600</v>
      </c>
      <c r="K67" s="271"/>
      <c r="L67" s="13">
        <v>5298</v>
      </c>
      <c r="M67" s="271"/>
      <c r="N67" s="13">
        <v>83032</v>
      </c>
      <c r="O67" s="271"/>
      <c r="P67" s="13">
        <v>39462</v>
      </c>
      <c r="Q67" s="271"/>
      <c r="R67" s="13">
        <v>2500</v>
      </c>
    </row>
    <row r="71" spans="2:18" ht="16" customHeight="1" x14ac:dyDescent="0.1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V404"/>
  <sheetViews>
    <sheetView showGridLines="0" zoomScaleNormal="100" workbookViewId="0">
      <selection activeCell="S60" sqref="S60"/>
    </sheetView>
  </sheetViews>
  <sheetFormatPr baseColWidth="10" defaultRowHeight="13" x14ac:dyDescent="0.15"/>
  <cols>
    <col min="1" max="1" width="10.83203125" style="8"/>
    <col min="2" max="4" width="11" style="8" bestFit="1" customWidth="1"/>
    <col min="5" max="15" width="12.83203125" style="8" bestFit="1" customWidth="1"/>
    <col min="16" max="16" width="10.83203125" style="8"/>
    <col min="17" max="17" width="30" style="8" customWidth="1"/>
    <col min="18" max="22" width="11.1640625" style="8" bestFit="1" customWidth="1"/>
    <col min="23" max="16384" width="10.83203125" style="8"/>
  </cols>
  <sheetData>
    <row r="1" spans="2:17" x14ac:dyDescent="0.15">
      <c r="B1" s="14" t="s">
        <v>0</v>
      </c>
    </row>
    <row r="2" spans="2:17" x14ac:dyDescent="0.15">
      <c r="B2" s="468" t="s">
        <v>1</v>
      </c>
      <c r="C2" s="468"/>
    </row>
    <row r="3" spans="2:17" x14ac:dyDescent="0.15">
      <c r="B3" s="6">
        <v>1</v>
      </c>
      <c r="C3" s="469">
        <v>2</v>
      </c>
    </row>
    <row r="4" spans="2:17" x14ac:dyDescent="0.15">
      <c r="B4" s="6">
        <v>2</v>
      </c>
    </row>
    <row r="5" spans="2:17" x14ac:dyDescent="0.15">
      <c r="B5" s="6">
        <v>3</v>
      </c>
    </row>
    <row r="7" spans="2:17" x14ac:dyDescent="0.15">
      <c r="L7" s="78" t="s">
        <v>2</v>
      </c>
      <c r="M7" s="78" t="s">
        <v>3</v>
      </c>
      <c r="N7" s="78" t="s">
        <v>4</v>
      </c>
      <c r="O7" s="78" t="s">
        <v>5</v>
      </c>
      <c r="P7" s="78" t="s">
        <v>6</v>
      </c>
      <c r="Q7" s="78" t="s">
        <v>7</v>
      </c>
    </row>
    <row r="8" spans="2:17" x14ac:dyDescent="0.15">
      <c r="B8" s="407" t="s">
        <v>8</v>
      </c>
      <c r="C8" s="407"/>
      <c r="D8" s="407"/>
      <c r="E8" s="407"/>
      <c r="F8" s="407"/>
      <c r="G8" s="407"/>
      <c r="H8" s="407"/>
      <c r="L8" s="349">
        <v>2021</v>
      </c>
      <c r="M8" s="349" t="s">
        <v>9</v>
      </c>
      <c r="N8" s="349" t="s">
        <v>10</v>
      </c>
      <c r="O8" s="349" t="s">
        <v>11</v>
      </c>
      <c r="P8" s="349" t="s">
        <v>12</v>
      </c>
      <c r="Q8" s="349" t="s">
        <v>13</v>
      </c>
    </row>
    <row r="9" spans="2:17" x14ac:dyDescent="0.15">
      <c r="B9" s="470" t="s">
        <v>14</v>
      </c>
      <c r="C9" s="470"/>
      <c r="D9" s="471" t="s">
        <v>15</v>
      </c>
      <c r="E9" s="471" t="s">
        <v>16</v>
      </c>
      <c r="F9" s="471" t="s">
        <v>17</v>
      </c>
      <c r="G9" s="471" t="s">
        <v>18</v>
      </c>
      <c r="H9" s="471" t="s">
        <v>19</v>
      </c>
      <c r="L9" s="349">
        <v>2022</v>
      </c>
      <c r="M9" s="349" t="s">
        <v>20</v>
      </c>
      <c r="N9" s="349" t="s">
        <v>21</v>
      </c>
      <c r="O9" s="349" t="s">
        <v>22</v>
      </c>
      <c r="P9" s="349" t="s">
        <v>23</v>
      </c>
      <c r="Q9" s="349" t="s">
        <v>24</v>
      </c>
    </row>
    <row r="10" spans="2:17" x14ac:dyDescent="0.15">
      <c r="B10" s="472" t="s">
        <v>25</v>
      </c>
      <c r="C10" s="46"/>
      <c r="D10" s="251">
        <f>CHOOSE($C$3,D11,D12,D13)</f>
        <v>0.01</v>
      </c>
      <c r="E10" s="251">
        <f>CHOOSE($C$3,E11,E12,E13)</f>
        <v>0.01</v>
      </c>
      <c r="F10" s="251">
        <f>CHOOSE($C$3,F11,F12,F13)</f>
        <v>5.0000000000000001E-3</v>
      </c>
      <c r="G10" s="251">
        <f>CHOOSE($C$3,G11,G12,G13)</f>
        <v>5.0000000000000001E-3</v>
      </c>
      <c r="H10" s="251">
        <f>CHOOSE($C$3,H11,H12,H13)</f>
        <v>0</v>
      </c>
      <c r="L10" s="349">
        <v>2023</v>
      </c>
      <c r="M10" s="349" t="s">
        <v>26</v>
      </c>
      <c r="N10" s="349" t="s">
        <v>27</v>
      </c>
      <c r="O10" s="349" t="s">
        <v>28</v>
      </c>
      <c r="P10" s="349" t="s">
        <v>23</v>
      </c>
      <c r="Q10" s="349" t="s">
        <v>29</v>
      </c>
    </row>
    <row r="11" spans="2:17" x14ac:dyDescent="0.15">
      <c r="B11" s="472" t="s">
        <v>30</v>
      </c>
      <c r="C11" s="46"/>
      <c r="D11" s="473">
        <v>7.0000000000000007E-2</v>
      </c>
      <c r="E11" s="473">
        <v>7.0000000000000007E-2</v>
      </c>
      <c r="F11" s="473">
        <v>6.5000000000000002E-2</v>
      </c>
      <c r="G11" s="473">
        <v>6.5000000000000002E-2</v>
      </c>
      <c r="H11" s="473">
        <v>0.06</v>
      </c>
      <c r="L11" s="349">
        <v>2024</v>
      </c>
      <c r="M11" s="349" t="s">
        <v>31</v>
      </c>
      <c r="N11" s="349" t="s">
        <v>32</v>
      </c>
      <c r="O11" s="349" t="s">
        <v>33</v>
      </c>
      <c r="P11" s="349" t="s">
        <v>34</v>
      </c>
      <c r="Q11" s="349" t="s">
        <v>35</v>
      </c>
    </row>
    <row r="12" spans="2:17" x14ac:dyDescent="0.15">
      <c r="B12" s="472" t="s">
        <v>36</v>
      </c>
      <c r="C12" s="46"/>
      <c r="D12" s="473">
        <v>0.01</v>
      </c>
      <c r="E12" s="473">
        <v>0.01</v>
      </c>
      <c r="F12" s="473">
        <v>5.0000000000000001E-3</v>
      </c>
      <c r="G12" s="473">
        <v>5.0000000000000001E-3</v>
      </c>
      <c r="H12" s="473">
        <v>0</v>
      </c>
      <c r="L12" s="349">
        <v>2025</v>
      </c>
      <c r="M12" s="349" t="s">
        <v>37</v>
      </c>
      <c r="N12" s="349" t="s">
        <v>38</v>
      </c>
      <c r="O12" s="349" t="s">
        <v>39</v>
      </c>
      <c r="P12" s="349" t="s">
        <v>34</v>
      </c>
      <c r="Q12" s="349" t="s">
        <v>40</v>
      </c>
    </row>
    <row r="13" spans="2:17" x14ac:dyDescent="0.15">
      <c r="B13" s="472" t="s">
        <v>41</v>
      </c>
      <c r="C13" s="46"/>
      <c r="D13" s="473">
        <v>0.09</v>
      </c>
      <c r="E13" s="473">
        <v>8.5000000000000006E-2</v>
      </c>
      <c r="F13" s="473">
        <v>0.08</v>
      </c>
      <c r="G13" s="473">
        <v>7.4999999999999997E-2</v>
      </c>
      <c r="H13" s="474">
        <v>7.0000000000000007E-2</v>
      </c>
      <c r="L13" s="349"/>
      <c r="M13" s="349"/>
      <c r="N13" s="349"/>
      <c r="O13" s="349"/>
      <c r="P13" s="349"/>
      <c r="Q13" s="349"/>
    </row>
    <row r="14" spans="2:17" x14ac:dyDescent="0.15">
      <c r="B14" s="407" t="s">
        <v>42</v>
      </c>
      <c r="C14" s="407"/>
      <c r="D14" s="407"/>
      <c r="E14" s="407"/>
      <c r="F14" s="407"/>
      <c r="G14" s="407"/>
      <c r="H14" s="407"/>
    </row>
    <row r="15" spans="2:17" x14ac:dyDescent="0.15">
      <c r="B15" s="470" t="s">
        <v>14</v>
      </c>
      <c r="C15" s="470"/>
      <c r="D15" s="471" t="s">
        <v>15</v>
      </c>
      <c r="E15" s="471" t="s">
        <v>16</v>
      </c>
      <c r="F15" s="471" t="s">
        <v>17</v>
      </c>
      <c r="G15" s="471" t="s">
        <v>18</v>
      </c>
      <c r="H15" s="471" t="s">
        <v>19</v>
      </c>
    </row>
    <row r="16" spans="2:17" x14ac:dyDescent="0.15">
      <c r="B16" s="472" t="s">
        <v>25</v>
      </c>
      <c r="C16" s="46"/>
      <c r="D16" s="251">
        <f>CHOOSE($C$3,D17,D18,D19)</f>
        <v>2.5000000000000001E-2</v>
      </c>
      <c r="E16" s="251">
        <f>CHOOSE($C$3,E17,E18,E19)</f>
        <v>2.5000000000000001E-2</v>
      </c>
      <c r="F16" s="251">
        <f>CHOOSE($C$3,F17,F18,F19)</f>
        <v>0.02</v>
      </c>
      <c r="G16" s="251">
        <f>CHOOSE($C$3,G17,G18,G19)</f>
        <v>0.02</v>
      </c>
      <c r="H16" s="251">
        <f>CHOOSE($C$3,H17,H18,H19)</f>
        <v>0.02</v>
      </c>
    </row>
    <row r="17" spans="2:14" x14ac:dyDescent="0.15">
      <c r="B17" s="472" t="s">
        <v>30</v>
      </c>
      <c r="C17" s="46"/>
      <c r="D17" s="473">
        <v>7.4999999999999997E-2</v>
      </c>
      <c r="E17" s="473">
        <v>7.0000000000000007E-2</v>
      </c>
      <c r="F17" s="473">
        <v>6.5000000000000002E-2</v>
      </c>
      <c r="G17" s="473">
        <v>0.06</v>
      </c>
      <c r="H17" s="474">
        <v>5.5E-2</v>
      </c>
    </row>
    <row r="18" spans="2:14" x14ac:dyDescent="0.15">
      <c r="B18" s="472" t="s">
        <v>36</v>
      </c>
      <c r="C18" s="46"/>
      <c r="D18" s="473">
        <v>2.5000000000000001E-2</v>
      </c>
      <c r="E18" s="473">
        <v>2.5000000000000001E-2</v>
      </c>
      <c r="F18" s="473">
        <v>0.02</v>
      </c>
      <c r="G18" s="473">
        <v>0.02</v>
      </c>
      <c r="H18" s="473">
        <v>0.02</v>
      </c>
    </row>
    <row r="19" spans="2:14" x14ac:dyDescent="0.15">
      <c r="B19" s="472" t="s">
        <v>41</v>
      </c>
      <c r="C19" s="46"/>
      <c r="D19" s="473">
        <v>0.09</v>
      </c>
      <c r="E19" s="473">
        <v>0.09</v>
      </c>
      <c r="F19" s="473">
        <v>0.08</v>
      </c>
      <c r="G19" s="473">
        <v>0.08</v>
      </c>
      <c r="H19" s="473">
        <v>7.0000000000000007E-2</v>
      </c>
    </row>
    <row r="21" spans="2:14" x14ac:dyDescent="0.15">
      <c r="B21" s="407" t="s">
        <v>43</v>
      </c>
      <c r="C21" s="407"/>
      <c r="D21" s="407"/>
      <c r="E21" s="407"/>
      <c r="F21" s="407"/>
      <c r="G21" s="407"/>
      <c r="H21" s="407"/>
    </row>
    <row r="22" spans="2:14" x14ac:dyDescent="0.15">
      <c r="B22" s="470" t="s">
        <v>14</v>
      </c>
      <c r="C22" s="470"/>
      <c r="D22" s="471" t="s">
        <v>15</v>
      </c>
      <c r="E22" s="471" t="s">
        <v>16</v>
      </c>
      <c r="F22" s="471" t="s">
        <v>17</v>
      </c>
      <c r="G22" s="471" t="s">
        <v>18</v>
      </c>
      <c r="H22" s="471" t="s">
        <v>19</v>
      </c>
    </row>
    <row r="23" spans="2:14" x14ac:dyDescent="0.15">
      <c r="B23" s="472" t="s">
        <v>25</v>
      </c>
      <c r="C23" s="46"/>
      <c r="D23" s="251">
        <f>CHOOSE($C$3,D24,D25,D26)</f>
        <v>0.03</v>
      </c>
      <c r="E23" s="251">
        <f>CHOOSE($C$3,E24,E25,E26)</f>
        <v>2.5000000000000001E-2</v>
      </c>
      <c r="F23" s="251">
        <f>CHOOSE($C$3,F24,F25,F26)</f>
        <v>0.02</v>
      </c>
      <c r="G23" s="251">
        <f>CHOOSE($C$3,G24,G25,G26)</f>
        <v>0.01</v>
      </c>
      <c r="H23" s="251">
        <f>CHOOSE($C$3,H24,H25,H26)</f>
        <v>0</v>
      </c>
    </row>
    <row r="24" spans="2:14" x14ac:dyDescent="0.15">
      <c r="B24" s="472" t="s">
        <v>30</v>
      </c>
      <c r="C24" s="46"/>
      <c r="D24" s="473">
        <v>0.1</v>
      </c>
      <c r="E24" s="473">
        <v>0.09</v>
      </c>
      <c r="F24" s="473">
        <v>0.08</v>
      </c>
      <c r="G24" s="473">
        <v>7.0000000000000007E-2</v>
      </c>
      <c r="H24" s="473">
        <v>0.06</v>
      </c>
    </row>
    <row r="25" spans="2:14" x14ac:dyDescent="0.15">
      <c r="B25" s="472" t="s">
        <v>36</v>
      </c>
      <c r="C25" s="46"/>
      <c r="D25" s="473">
        <v>0.03</v>
      </c>
      <c r="E25" s="473">
        <v>2.5000000000000001E-2</v>
      </c>
      <c r="F25" s="473">
        <v>0.02</v>
      </c>
      <c r="G25" s="473">
        <v>0.01</v>
      </c>
      <c r="H25" s="473">
        <v>0</v>
      </c>
    </row>
    <row r="26" spans="2:14" x14ac:dyDescent="0.15">
      <c r="B26" s="472" t="s">
        <v>41</v>
      </c>
      <c r="C26" s="46"/>
      <c r="D26" s="473">
        <v>0.15</v>
      </c>
      <c r="E26" s="473">
        <v>0.14000000000000001</v>
      </c>
      <c r="F26" s="473">
        <v>0.13</v>
      </c>
      <c r="G26" s="473">
        <v>0.12</v>
      </c>
      <c r="H26" s="473">
        <v>0.11</v>
      </c>
    </row>
    <row r="28" spans="2:14" x14ac:dyDescent="0.15">
      <c r="K28" s="8">
        <f>I38/I41</f>
        <v>0.10660991550289002</v>
      </c>
    </row>
    <row r="32" spans="2:14" x14ac:dyDescent="0.15">
      <c r="B32" s="463" t="s">
        <v>44</v>
      </c>
      <c r="C32" s="463"/>
      <c r="D32" s="463"/>
      <c r="E32" s="463"/>
      <c r="F32" s="463"/>
      <c r="G32" s="463"/>
      <c r="H32" s="463"/>
      <c r="I32" s="463"/>
      <c r="J32" s="463"/>
      <c r="K32" s="463"/>
      <c r="L32" s="463"/>
      <c r="M32" s="463"/>
      <c r="N32" s="463"/>
    </row>
    <row r="33" spans="2:22" x14ac:dyDescent="0.15">
      <c r="B33" s="463" t="s">
        <v>45</v>
      </c>
      <c r="C33" s="463"/>
      <c r="D33" s="463"/>
      <c r="E33" s="475" t="s">
        <v>46</v>
      </c>
      <c r="F33" s="475" t="s">
        <v>47</v>
      </c>
      <c r="G33" s="475" t="s">
        <v>48</v>
      </c>
      <c r="H33" s="475" t="s">
        <v>49</v>
      </c>
      <c r="I33" s="475" t="s">
        <v>50</v>
      </c>
      <c r="J33" s="476" t="s">
        <v>51</v>
      </c>
      <c r="K33" s="476" t="s">
        <v>52</v>
      </c>
      <c r="L33" s="476" t="s">
        <v>53</v>
      </c>
      <c r="M33" s="476" t="s">
        <v>54</v>
      </c>
      <c r="N33" s="476" t="s">
        <v>55</v>
      </c>
    </row>
    <row r="34" spans="2:22" ht="14" x14ac:dyDescent="0.15">
      <c r="B34" s="477" t="s">
        <v>56</v>
      </c>
      <c r="C34" s="478" t="s">
        <v>57</v>
      </c>
      <c r="D34" s="479"/>
      <c r="E34" s="480">
        <v>4000.7</v>
      </c>
      <c r="F34" s="480">
        <v>4731.1000000000004</v>
      </c>
      <c r="G34" s="480">
        <v>5391.9</v>
      </c>
      <c r="H34" s="480">
        <v>5518.5</v>
      </c>
      <c r="I34" s="480">
        <v>5800.1</v>
      </c>
      <c r="J34" s="481">
        <f>I34*(1+J35)</f>
        <v>5945.1025</v>
      </c>
      <c r="K34" s="481">
        <f>J34*(1+K35)</f>
        <v>6093.7300624999998</v>
      </c>
      <c r="L34" s="481">
        <f>K34*(1+L35)</f>
        <v>6215.6046637500003</v>
      </c>
      <c r="M34" s="481">
        <f>L34*(1+M35)</f>
        <v>6339.9167570250002</v>
      </c>
      <c r="N34" s="481">
        <f>M34*(1+N35)</f>
        <v>6466.7150921655002</v>
      </c>
      <c r="Q34" s="414" t="s">
        <v>2</v>
      </c>
      <c r="R34" s="415">
        <v>2021</v>
      </c>
      <c r="S34" s="415">
        <v>2022</v>
      </c>
      <c r="T34" s="415">
        <v>2023</v>
      </c>
      <c r="U34" s="415">
        <v>2024</v>
      </c>
      <c r="V34" s="415">
        <v>2025</v>
      </c>
    </row>
    <row r="35" spans="2:22" x14ac:dyDescent="0.15">
      <c r="B35" s="482" t="s">
        <v>58</v>
      </c>
      <c r="C35" s="483" t="s">
        <v>59</v>
      </c>
      <c r="D35" s="484"/>
      <c r="E35" s="485"/>
      <c r="F35" s="485">
        <f>F34/E34-1</f>
        <v>0.18256805059114667</v>
      </c>
      <c r="G35" s="485">
        <f>G34/F34-1</f>
        <v>0.1396715351609561</v>
      </c>
      <c r="H35" s="485">
        <f>H34/G34-1</f>
        <v>2.3479663940354945E-2</v>
      </c>
      <c r="I35" s="485">
        <f>I34/H34-1</f>
        <v>5.1028359155567804E-2</v>
      </c>
      <c r="J35" s="486">
        <f>D16</f>
        <v>2.5000000000000001E-2</v>
      </c>
      <c r="K35" s="486">
        <f>E16</f>
        <v>2.5000000000000001E-2</v>
      </c>
      <c r="L35" s="486">
        <f>F16</f>
        <v>0.02</v>
      </c>
      <c r="M35" s="486">
        <f>G16</f>
        <v>0.02</v>
      </c>
      <c r="N35" s="486">
        <f>H16</f>
        <v>0.02</v>
      </c>
      <c r="Q35" s="416" t="s">
        <v>60</v>
      </c>
      <c r="R35" s="418"/>
      <c r="S35" s="418"/>
      <c r="T35" s="418"/>
      <c r="U35" s="418"/>
      <c r="V35" s="418"/>
    </row>
    <row r="36" spans="2:22" x14ac:dyDescent="0.15">
      <c r="B36" s="477" t="s">
        <v>61</v>
      </c>
      <c r="C36" s="478" t="s">
        <v>62</v>
      </c>
      <c r="D36" s="479"/>
      <c r="E36" s="480">
        <v>777.8</v>
      </c>
      <c r="F36" s="480">
        <v>990.2</v>
      </c>
      <c r="G36" s="480">
        <v>1140.7</v>
      </c>
      <c r="H36" s="480">
        <v>1245.5999999999999</v>
      </c>
      <c r="I36" s="480">
        <v>1294.4000000000001</v>
      </c>
      <c r="J36" s="481">
        <f>I36*(1+J37)</f>
        <v>1307.3440000000001</v>
      </c>
      <c r="K36" s="481">
        <f>J36*(1+K37)</f>
        <v>1320.4174400000002</v>
      </c>
      <c r="L36" s="481">
        <f>K36*(1+L37)</f>
        <v>1327.0195272000001</v>
      </c>
      <c r="M36" s="481">
        <f>L36*(1+M37)</f>
        <v>1333.654624836</v>
      </c>
      <c r="N36" s="481">
        <f>M36*(1+N37)</f>
        <v>1333.654624836</v>
      </c>
      <c r="Q36" s="419" t="s">
        <v>63</v>
      </c>
      <c r="R36" s="420">
        <v>5552.2</v>
      </c>
      <c r="S36" s="420">
        <v>7315.2</v>
      </c>
      <c r="T36" s="420">
        <v>7781.9</v>
      </c>
      <c r="U36" s="420">
        <v>7417.7</v>
      </c>
      <c r="V36" s="420">
        <v>7941.1</v>
      </c>
    </row>
    <row r="37" spans="2:22" x14ac:dyDescent="0.15">
      <c r="B37" s="482" t="s">
        <v>58</v>
      </c>
      <c r="C37" s="483" t="s">
        <v>64</v>
      </c>
      <c r="D37" s="484"/>
      <c r="E37" s="485"/>
      <c r="F37" s="485">
        <f>F36/E36-1</f>
        <v>0.27307791205965559</v>
      </c>
      <c r="G37" s="485">
        <f>G36/F36-1</f>
        <v>0.15198949707129872</v>
      </c>
      <c r="H37" s="485">
        <f>H36/G36-1</f>
        <v>9.1961076531953845E-2</v>
      </c>
      <c r="I37" s="485">
        <f>I36/H36-1</f>
        <v>3.917790622992956E-2</v>
      </c>
      <c r="J37" s="486">
        <f>D10</f>
        <v>0.01</v>
      </c>
      <c r="K37" s="486">
        <f>E10</f>
        <v>0.01</v>
      </c>
      <c r="L37" s="486">
        <f>F10</f>
        <v>5.0000000000000001E-3</v>
      </c>
      <c r="M37" s="486">
        <f>G10</f>
        <v>5.0000000000000001E-3</v>
      </c>
      <c r="N37" s="486">
        <f>H10</f>
        <v>0</v>
      </c>
      <c r="Q37" s="419" t="s">
        <v>65</v>
      </c>
      <c r="R37" s="420">
        <v>4178.8</v>
      </c>
      <c r="S37" s="420">
        <v>5757.5</v>
      </c>
      <c r="T37" s="420">
        <v>5833.4</v>
      </c>
      <c r="U37" s="420">
        <v>5418.1</v>
      </c>
      <c r="V37" s="420">
        <v>5766.5</v>
      </c>
    </row>
    <row r="38" spans="2:22" x14ac:dyDescent="0.15">
      <c r="B38" s="477" t="s">
        <v>66</v>
      </c>
      <c r="C38" s="478" t="s">
        <v>67</v>
      </c>
      <c r="D38" s="479"/>
      <c r="E38" s="480">
        <v>766.8</v>
      </c>
      <c r="F38" s="480">
        <v>1593.9</v>
      </c>
      <c r="G38" s="480">
        <v>1249.3</v>
      </c>
      <c r="H38" s="480">
        <v>653.5</v>
      </c>
      <c r="I38" s="480">
        <v>846.6</v>
      </c>
      <c r="J38" s="487">
        <f>I38*(1+J39)</f>
        <v>871.99800000000005</v>
      </c>
      <c r="K38" s="487">
        <f>J38*(1+K39)</f>
        <v>893.79795000000001</v>
      </c>
      <c r="L38" s="487">
        <f>K38*(1+L39)</f>
        <v>911.67390899999998</v>
      </c>
      <c r="M38" s="487">
        <f>L38*(1+M39)</f>
        <v>920.79064808999999</v>
      </c>
      <c r="N38" s="487">
        <f>M38*(1+N39)</f>
        <v>920.79064808999999</v>
      </c>
      <c r="Q38" s="421" t="s">
        <v>68</v>
      </c>
      <c r="R38" s="422">
        <v>1373.4</v>
      </c>
      <c r="S38" s="422">
        <v>1557.7</v>
      </c>
      <c r="T38" s="422">
        <v>1948.5</v>
      </c>
      <c r="U38" s="422">
        <v>1999.6</v>
      </c>
      <c r="V38" s="422">
        <v>2174.6</v>
      </c>
    </row>
    <row r="39" spans="2:22" x14ac:dyDescent="0.15">
      <c r="B39" s="482" t="s">
        <v>58</v>
      </c>
      <c r="C39" s="483"/>
      <c r="D39" s="484"/>
      <c r="E39" s="481"/>
      <c r="F39" s="464">
        <f>(F38-E38)/E38</f>
        <v>1.0786384976525825</v>
      </c>
      <c r="G39" s="464">
        <f>(G38-F38)/F38</f>
        <v>-0.21619925967752063</v>
      </c>
      <c r="H39" s="464">
        <f>(H38-G38)/G38</f>
        <v>-0.47690706795805649</v>
      </c>
      <c r="I39" s="464">
        <f>(I38-H38)/H38</f>
        <v>0.29548584544758993</v>
      </c>
      <c r="J39" s="464">
        <f>D23</f>
        <v>0.03</v>
      </c>
      <c r="K39" s="464">
        <f>E23</f>
        <v>2.5000000000000001E-2</v>
      </c>
      <c r="L39" s="464">
        <f>F23</f>
        <v>0.02</v>
      </c>
      <c r="M39" s="464">
        <f>G23</f>
        <v>0.01</v>
      </c>
      <c r="N39" s="464">
        <f>H23</f>
        <v>0</v>
      </c>
      <c r="O39" s="393"/>
      <c r="Q39" s="419" t="s">
        <v>69</v>
      </c>
      <c r="R39" s="420">
        <v>417.6</v>
      </c>
      <c r="S39" s="420">
        <v>515.1</v>
      </c>
      <c r="T39" s="420">
        <v>542.79999999999995</v>
      </c>
      <c r="U39" s="420">
        <v>531.1</v>
      </c>
      <c r="V39" s="420">
        <v>564.1</v>
      </c>
    </row>
    <row r="40" spans="2:22" x14ac:dyDescent="0.15">
      <c r="B40" s="488"/>
      <c r="C40" s="483"/>
      <c r="D40" s="48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Q40" s="419" t="s">
        <v>70</v>
      </c>
      <c r="R40" s="420">
        <v>-15.9</v>
      </c>
      <c r="S40" s="420">
        <v>13.1</v>
      </c>
      <c r="T40" s="420">
        <v>83.5</v>
      </c>
      <c r="U40" s="420">
        <v>72.400000000000006</v>
      </c>
      <c r="V40" s="420">
        <v>83.1</v>
      </c>
    </row>
    <row r="41" spans="2:22" x14ac:dyDescent="0.15">
      <c r="B41" s="489" t="s">
        <v>7</v>
      </c>
      <c r="C41" s="490"/>
      <c r="D41" s="491"/>
      <c r="E41" s="492">
        <f t="shared" ref="E41:N41" si="0">E34+E36+E38</f>
        <v>5545.3</v>
      </c>
      <c r="F41" s="492">
        <f t="shared" si="0"/>
        <v>7315.2000000000007</v>
      </c>
      <c r="G41" s="492">
        <f t="shared" si="0"/>
        <v>7781.9</v>
      </c>
      <c r="H41" s="492">
        <f t="shared" si="0"/>
        <v>7417.6</v>
      </c>
      <c r="I41" s="492">
        <f t="shared" si="0"/>
        <v>7941.1</v>
      </c>
      <c r="J41" s="492">
        <f t="shared" si="0"/>
        <v>8124.4444999999996</v>
      </c>
      <c r="K41" s="492">
        <f t="shared" si="0"/>
        <v>8307.9454525000001</v>
      </c>
      <c r="L41" s="492">
        <f t="shared" si="0"/>
        <v>8454.2980999499996</v>
      </c>
      <c r="M41" s="492">
        <f t="shared" si="0"/>
        <v>8594.3620299510003</v>
      </c>
      <c r="N41" s="492">
        <f t="shared" si="0"/>
        <v>8721.1603650915004</v>
      </c>
      <c r="Q41" s="421" t="s">
        <v>71</v>
      </c>
      <c r="R41" s="423">
        <v>1434.7</v>
      </c>
      <c r="S41" s="423">
        <v>1617</v>
      </c>
      <c r="T41" s="423">
        <v>1939.2</v>
      </c>
      <c r="U41" s="423">
        <v>2028.3</v>
      </c>
      <c r="V41" s="423">
        <v>2275.9</v>
      </c>
    </row>
    <row r="42" spans="2:22" x14ac:dyDescent="0.15">
      <c r="B42" s="482" t="s">
        <v>58</v>
      </c>
      <c r="C42" s="483"/>
      <c r="D42" s="484"/>
      <c r="E42" s="485">
        <v>8.5561570428696498E-2</v>
      </c>
      <c r="F42" s="485">
        <f t="shared" ref="F42:N42" si="1">F41/E41-1</f>
        <v>0.31917119001677108</v>
      </c>
      <c r="G42" s="485">
        <f t="shared" si="1"/>
        <v>6.3798665791775955E-2</v>
      </c>
      <c r="H42" s="485">
        <f t="shared" si="1"/>
        <v>-4.6813760135699378E-2</v>
      </c>
      <c r="I42" s="485">
        <f t="shared" si="1"/>
        <v>7.0575388265746275E-2</v>
      </c>
      <c r="J42" s="486">
        <f t="shared" si="1"/>
        <v>2.3088048255279325E-2</v>
      </c>
      <c r="K42" s="486">
        <f t="shared" si="1"/>
        <v>2.2586276821756845E-2</v>
      </c>
      <c r="L42" s="486">
        <f t="shared" si="1"/>
        <v>1.761598559917843E-2</v>
      </c>
      <c r="M42" s="486">
        <f t="shared" si="1"/>
        <v>1.6567186104051501E-2</v>
      </c>
      <c r="N42" s="486">
        <f t="shared" si="1"/>
        <v>1.4753664634863384E-2</v>
      </c>
      <c r="Q42" s="421" t="s">
        <v>72</v>
      </c>
      <c r="R42" s="422">
        <v>971.7</v>
      </c>
      <c r="S42" s="422">
        <v>1029.5</v>
      </c>
      <c r="T42" s="422">
        <v>1322.2</v>
      </c>
      <c r="U42" s="422">
        <v>1396.1</v>
      </c>
      <c r="V42" s="422">
        <v>1527.4</v>
      </c>
    </row>
    <row r="43" spans="2:22" x14ac:dyDescent="0.15">
      <c r="Q43" s="421" t="s">
        <v>73</v>
      </c>
      <c r="R43" s="423">
        <v>670.8</v>
      </c>
      <c r="S43" s="423">
        <v>575.6</v>
      </c>
      <c r="T43" s="423">
        <v>933.2</v>
      </c>
      <c r="U43" s="423">
        <v>911.9</v>
      </c>
      <c r="V43" s="423">
        <v>1076.7</v>
      </c>
    </row>
    <row r="44" spans="2:22" x14ac:dyDescent="0.15">
      <c r="Q44" s="424"/>
      <c r="R44" s="425"/>
      <c r="S44" s="425"/>
      <c r="T44" s="425"/>
      <c r="U44" s="425"/>
      <c r="V44" s="425"/>
    </row>
    <row r="45" spans="2:22" x14ac:dyDescent="0.15">
      <c r="B45" s="463" t="s">
        <v>74</v>
      </c>
      <c r="C45" s="463"/>
      <c r="D45" s="463"/>
      <c r="E45" s="463"/>
      <c r="F45" s="463"/>
      <c r="G45" s="463"/>
      <c r="H45" s="463"/>
      <c r="I45" s="463"/>
      <c r="J45" s="463"/>
      <c r="K45" s="463"/>
      <c r="L45" s="463"/>
      <c r="M45" s="463"/>
      <c r="N45" s="463"/>
      <c r="O45" s="493">
        <f>1-K49</f>
        <v>0.26459715377244442</v>
      </c>
      <c r="P45" s="670" t="s">
        <v>75</v>
      </c>
      <c r="Q45" s="661"/>
      <c r="R45" s="661"/>
      <c r="S45" s="661"/>
      <c r="T45" s="661"/>
      <c r="U45" s="661"/>
      <c r="V45" s="661"/>
    </row>
    <row r="46" spans="2:22" x14ac:dyDescent="0.15">
      <c r="E46" s="8" t="s">
        <v>76</v>
      </c>
      <c r="F46" s="8" t="s">
        <v>77</v>
      </c>
      <c r="G46" s="8" t="s">
        <v>78</v>
      </c>
      <c r="H46" s="8" t="s">
        <v>79</v>
      </c>
      <c r="I46" s="8" t="s">
        <v>80</v>
      </c>
      <c r="J46" s="8" t="s">
        <v>51</v>
      </c>
      <c r="K46" s="8" t="s">
        <v>52</v>
      </c>
      <c r="L46" s="8" t="s">
        <v>53</v>
      </c>
      <c r="M46" s="8" t="s">
        <v>54</v>
      </c>
      <c r="N46" s="8" t="s">
        <v>55</v>
      </c>
      <c r="P46" s="24"/>
      <c r="Q46" s="494" t="s">
        <v>81</v>
      </c>
      <c r="R46" s="74" t="s">
        <v>82</v>
      </c>
      <c r="S46" s="74" t="s">
        <v>83</v>
      </c>
      <c r="T46" s="1"/>
      <c r="U46" s="1"/>
      <c r="V46" s="1"/>
    </row>
    <row r="47" spans="2:22" x14ac:dyDescent="0.15">
      <c r="B47" s="419" t="s">
        <v>63</v>
      </c>
      <c r="E47" s="495">
        <f t="shared" ref="E47:N47" si="2">E41</f>
        <v>5545.3</v>
      </c>
      <c r="F47" s="495">
        <f t="shared" si="2"/>
        <v>7315.2000000000007</v>
      </c>
      <c r="G47" s="495">
        <f t="shared" si="2"/>
        <v>7781.9</v>
      </c>
      <c r="H47" s="495">
        <f t="shared" si="2"/>
        <v>7417.6</v>
      </c>
      <c r="I47" s="495">
        <f t="shared" si="2"/>
        <v>7941.1</v>
      </c>
      <c r="J47" s="495">
        <f t="shared" si="2"/>
        <v>8124.4444999999996</v>
      </c>
      <c r="K47" s="495">
        <f t="shared" si="2"/>
        <v>8307.9454525000001</v>
      </c>
      <c r="L47" s="495">
        <f t="shared" si="2"/>
        <v>8454.2980999499996</v>
      </c>
      <c r="M47" s="495">
        <f t="shared" si="2"/>
        <v>8594.3620299510003</v>
      </c>
      <c r="N47" s="495">
        <f t="shared" si="2"/>
        <v>8721.1603650915004</v>
      </c>
      <c r="P47" s="24"/>
      <c r="Q47" s="433" t="s">
        <v>84</v>
      </c>
      <c r="R47" s="103">
        <f>AVERAGE($E$67:$I$67)</f>
        <v>0.2177403643129722</v>
      </c>
      <c r="S47" s="1" t="s">
        <v>85</v>
      </c>
      <c r="T47" s="1"/>
      <c r="U47" s="1"/>
      <c r="V47" s="1"/>
    </row>
    <row r="48" spans="2:22" x14ac:dyDescent="0.15">
      <c r="B48" s="419" t="s">
        <v>65</v>
      </c>
      <c r="E48" s="495">
        <f>Sheet10!G228</f>
        <v>4178.8</v>
      </c>
      <c r="F48" s="495">
        <f>Sheet10!F228</f>
        <v>5757.5</v>
      </c>
      <c r="G48" s="495">
        <f>Sheet10!E228</f>
        <v>5833.4</v>
      </c>
      <c r="H48" s="495">
        <f>Sheet10!D228</f>
        <v>5418.1</v>
      </c>
      <c r="I48" s="495">
        <f>Sheet10!C228</f>
        <v>5766.5</v>
      </c>
      <c r="J48" s="495">
        <f>J47*AVERAGE($G$49:$I$49)</f>
        <v>5974.7396093178095</v>
      </c>
      <c r="K48" s="495">
        <f>K47*AVERAGE($G$49:$I$49)</f>
        <v>6109.6867320717774</v>
      </c>
      <c r="L48" s="495">
        <f>L47*AVERAGE($G$49:$I$49)</f>
        <v>6217.3148855594445</v>
      </c>
      <c r="M48" s="495">
        <f>M47*AVERAGE($G$49:$I$49)</f>
        <v>6320.3182983359975</v>
      </c>
      <c r="N48" s="495">
        <f>N47*AVERAGE($G$49:$I$49)</f>
        <v>6413.5661548952376</v>
      </c>
      <c r="P48" s="24"/>
      <c r="Q48" s="433" t="s">
        <v>86</v>
      </c>
      <c r="R48" s="103">
        <f>AVERAGE($E$59:$I$59)</f>
        <v>8.4515818685712979E-2</v>
      </c>
      <c r="S48" s="1" t="s">
        <v>87</v>
      </c>
      <c r="T48" s="1"/>
      <c r="U48" s="1"/>
      <c r="V48" s="1"/>
    </row>
    <row r="49" spans="2:22" x14ac:dyDescent="0.15">
      <c r="B49" s="426" t="s">
        <v>88</v>
      </c>
      <c r="E49" s="54">
        <f t="shared" ref="E49:N49" si="3">E48/E47</f>
        <v>0.75357509963392422</v>
      </c>
      <c r="F49" s="54">
        <f t="shared" si="3"/>
        <v>0.78705982064741897</v>
      </c>
      <c r="G49" s="54">
        <f t="shared" si="3"/>
        <v>0.74961127745152212</v>
      </c>
      <c r="H49" s="54">
        <f t="shared" si="3"/>
        <v>0.7304384167385678</v>
      </c>
      <c r="I49" s="54">
        <f t="shared" si="3"/>
        <v>0.72615884449257662</v>
      </c>
      <c r="J49" s="54">
        <f t="shared" si="3"/>
        <v>0.73540284622755558</v>
      </c>
      <c r="K49" s="54">
        <f t="shared" si="3"/>
        <v>0.73540284622755558</v>
      </c>
      <c r="L49" s="54">
        <f t="shared" si="3"/>
        <v>0.73540284622755558</v>
      </c>
      <c r="M49" s="54">
        <f t="shared" si="3"/>
        <v>0.73540284622755558</v>
      </c>
      <c r="N49" s="54">
        <f t="shared" si="3"/>
        <v>0.73540284622755558</v>
      </c>
      <c r="O49" s="493">
        <f>AVERAGE(E49:J49)</f>
        <v>0.74704105086526085</v>
      </c>
      <c r="P49" s="24"/>
      <c r="Q49" s="433" t="s">
        <v>89</v>
      </c>
      <c r="R49" s="103">
        <f>AVERAGE($E$53:$I$53)</f>
        <v>7.1621824673724951E-2</v>
      </c>
      <c r="S49" s="1" t="s">
        <v>85</v>
      </c>
      <c r="T49" s="1"/>
      <c r="U49" s="1"/>
      <c r="V49" s="1"/>
    </row>
    <row r="50" spans="2:22" x14ac:dyDescent="0.15">
      <c r="B50" s="421" t="s">
        <v>68</v>
      </c>
      <c r="E50" s="496">
        <f t="shared" ref="E50:N50" si="4">E47-E48</f>
        <v>1366.5</v>
      </c>
      <c r="F50" s="496">
        <f t="shared" si="4"/>
        <v>1557.7000000000007</v>
      </c>
      <c r="G50" s="496">
        <f t="shared" si="4"/>
        <v>1948.5</v>
      </c>
      <c r="H50" s="496">
        <f t="shared" si="4"/>
        <v>1999.5</v>
      </c>
      <c r="I50" s="496">
        <f t="shared" si="4"/>
        <v>2174.6000000000004</v>
      </c>
      <c r="J50" s="496">
        <f t="shared" si="4"/>
        <v>2149.7048906821901</v>
      </c>
      <c r="K50" s="496">
        <f t="shared" si="4"/>
        <v>2198.2587204282227</v>
      </c>
      <c r="L50" s="496">
        <f t="shared" si="4"/>
        <v>2236.9832143905551</v>
      </c>
      <c r="M50" s="496">
        <f t="shared" si="4"/>
        <v>2274.0437316150028</v>
      </c>
      <c r="N50" s="496">
        <f t="shared" si="4"/>
        <v>2307.5942101962628</v>
      </c>
      <c r="P50" s="24"/>
      <c r="Q50" s="494" t="s">
        <v>90</v>
      </c>
      <c r="R50" s="497">
        <f>AVERAGE($E$160:$I$160)</f>
        <v>8.8792208383469962E-2</v>
      </c>
      <c r="S50" s="74" t="s">
        <v>85</v>
      </c>
      <c r="T50" s="74"/>
      <c r="U50" s="74"/>
      <c r="V50" s="74"/>
    </row>
    <row r="51" spans="2:22" x14ac:dyDescent="0.15">
      <c r="B51" s="419" t="s">
        <v>88</v>
      </c>
      <c r="E51" s="498">
        <f t="shared" ref="E51:N51" si="5">1-E49</f>
        <v>0.24642490036607578</v>
      </c>
      <c r="F51" s="498">
        <f t="shared" si="5"/>
        <v>0.21294017935258103</v>
      </c>
      <c r="G51" s="498">
        <f t="shared" si="5"/>
        <v>0.25038872254847788</v>
      </c>
      <c r="H51" s="498">
        <f t="shared" si="5"/>
        <v>0.2695615832614322</v>
      </c>
      <c r="I51" s="498">
        <f t="shared" si="5"/>
        <v>0.27384115550742338</v>
      </c>
      <c r="J51" s="498">
        <f t="shared" si="5"/>
        <v>0.26459715377244442</v>
      </c>
      <c r="K51" s="498">
        <f t="shared" si="5"/>
        <v>0.26459715377244442</v>
      </c>
      <c r="L51" s="498">
        <f t="shared" si="5"/>
        <v>0.26459715377244442</v>
      </c>
      <c r="M51" s="498">
        <f t="shared" si="5"/>
        <v>0.26459715377244442</v>
      </c>
      <c r="N51" s="498">
        <f t="shared" si="5"/>
        <v>0.26459715377244442</v>
      </c>
      <c r="P51" s="24"/>
      <c r="Q51" s="494" t="s">
        <v>91</v>
      </c>
      <c r="R51" s="497">
        <f>AVERAGE($F$63/$F$166,$G$63/$G$166,$H$63/$H$166,$I$63/$I$166)</f>
        <v>4.6278037765907457E-2</v>
      </c>
      <c r="S51" s="74" t="s">
        <v>92</v>
      </c>
      <c r="T51" s="74"/>
      <c r="U51" s="74"/>
      <c r="V51" s="74"/>
    </row>
    <row r="52" spans="2:22" x14ac:dyDescent="0.15">
      <c r="B52" s="419" t="s">
        <v>69</v>
      </c>
      <c r="E52" s="499">
        <f>Sheet10!G230</f>
        <v>417.6</v>
      </c>
      <c r="F52" s="499">
        <f>Sheet10!F230</f>
        <v>515.1</v>
      </c>
      <c r="G52" s="499">
        <f>Sheet10!E230</f>
        <v>542.79999999999995</v>
      </c>
      <c r="H52" s="499">
        <f>Sheet10!D230</f>
        <v>531.1</v>
      </c>
      <c r="I52" s="499">
        <f>Sheet10!C230</f>
        <v>564.1</v>
      </c>
      <c r="J52" s="499">
        <f>J47*$R$49</f>
        <v>581.88753955040897</v>
      </c>
      <c r="K52" s="499">
        <f>K47*$R$49</f>
        <v>595.03021259782554</v>
      </c>
      <c r="L52" s="499">
        <f>L47*$R$49</f>
        <v>605.51225625402481</v>
      </c>
      <c r="M52" s="499">
        <f>M47*$R$49</f>
        <v>615.54389049166946</v>
      </c>
      <c r="N52" s="499">
        <f>N47*$R$49</f>
        <v>624.62541862002251</v>
      </c>
      <c r="P52" s="24"/>
      <c r="Q52" s="433" t="s">
        <v>93</v>
      </c>
      <c r="R52" s="500">
        <f>I168</f>
        <v>4372.8999999999996</v>
      </c>
      <c r="S52" s="1" t="s">
        <v>94</v>
      </c>
      <c r="T52" s="1"/>
      <c r="U52" s="1"/>
      <c r="V52" s="1"/>
    </row>
    <row r="53" spans="2:22" x14ac:dyDescent="0.15">
      <c r="B53" s="426" t="s">
        <v>88</v>
      </c>
      <c r="E53" s="54">
        <f t="shared" ref="E53:N53" si="6">E52/E47</f>
        <v>7.5307016752925907E-2</v>
      </c>
      <c r="F53" s="54">
        <f t="shared" si="6"/>
        <v>7.0415026246719151E-2</v>
      </c>
      <c r="G53" s="54">
        <f t="shared" si="6"/>
        <v>6.9751603078939586E-2</v>
      </c>
      <c r="H53" s="54">
        <f t="shared" si="6"/>
        <v>7.1599978429680758E-2</v>
      </c>
      <c r="I53" s="54">
        <f t="shared" si="6"/>
        <v>7.1035498860359397E-2</v>
      </c>
      <c r="J53" s="493">
        <f t="shared" si="6"/>
        <v>7.1621824673724951E-2</v>
      </c>
      <c r="K53" s="493">
        <f t="shared" si="6"/>
        <v>7.1621824673724951E-2</v>
      </c>
      <c r="L53" s="493">
        <f t="shared" si="6"/>
        <v>7.1621824673724951E-2</v>
      </c>
      <c r="M53" s="493">
        <f t="shared" si="6"/>
        <v>7.1621824673724951E-2</v>
      </c>
      <c r="N53" s="493">
        <f t="shared" si="6"/>
        <v>7.1621824673724951E-2</v>
      </c>
      <c r="P53" s="24"/>
      <c r="Q53" s="494" t="s">
        <v>95</v>
      </c>
      <c r="R53" s="501">
        <f>AVERAGE($E$140:$I$140)</f>
        <v>46.760102306113538</v>
      </c>
      <c r="S53" s="74" t="s">
        <v>85</v>
      </c>
      <c r="T53" s="74"/>
      <c r="U53" s="74"/>
      <c r="V53" s="74"/>
    </row>
    <row r="54" spans="2:22" x14ac:dyDescent="0.15">
      <c r="B54" s="419" t="s">
        <v>70</v>
      </c>
      <c r="E54" s="8">
        <f>Sheet10!G231</f>
        <v>-15.9</v>
      </c>
      <c r="F54" s="8">
        <f>Sheet10!F231</f>
        <v>13.1</v>
      </c>
      <c r="G54" s="8">
        <f>Sheet10!E231</f>
        <v>83.5</v>
      </c>
      <c r="H54" s="8">
        <f>Sheet10!D231</f>
        <v>72.400000000000006</v>
      </c>
      <c r="I54" s="8">
        <f>Sheet10!C231</f>
        <v>83.1</v>
      </c>
      <c r="J54" s="366">
        <f>J47*AVERAGE($G$55:$I$55)</f>
        <v>83.831111169338129</v>
      </c>
      <c r="K54" s="366">
        <f>K47*AVERAGE($G$55:$I$55)</f>
        <v>85.724543852484288</v>
      </c>
      <c r="L54" s="366">
        <f>L47*AVERAGE($G$55:$I$55)</f>
        <v>87.234666182485782</v>
      </c>
      <c r="M54" s="366">
        <f>M47*AVERAGE($G$55:$I$55)</f>
        <v>88.679899131855834</v>
      </c>
      <c r="N54" s="366">
        <f>N47*AVERAGE($G$55:$I$55)</f>
        <v>89.988252623500742</v>
      </c>
      <c r="P54" s="24"/>
      <c r="Q54" s="433" t="s">
        <v>96</v>
      </c>
      <c r="R54" s="102">
        <f>AVERAGE($E$141:$I$141)</f>
        <v>41.956180817726157</v>
      </c>
      <c r="S54" s="1" t="s">
        <v>85</v>
      </c>
      <c r="T54" s="1"/>
      <c r="U54" s="1"/>
      <c r="V54" s="1"/>
    </row>
    <row r="55" spans="2:22" x14ac:dyDescent="0.15">
      <c r="B55" s="426" t="s">
        <v>88</v>
      </c>
      <c r="E55" s="54">
        <f t="shared" ref="E55:N55" si="7">E54/E47</f>
        <v>-2.867293022920311E-3</v>
      </c>
      <c r="F55" s="54">
        <f t="shared" si="7"/>
        <v>1.7907917760279963E-3</v>
      </c>
      <c r="G55" s="54">
        <f t="shared" si="7"/>
        <v>1.0730027371207547E-2</v>
      </c>
      <c r="H55" s="54">
        <f t="shared" si="7"/>
        <v>9.7605694564279546E-3</v>
      </c>
      <c r="I55" s="54">
        <f t="shared" si="7"/>
        <v>1.0464545214139098E-2</v>
      </c>
      <c r="J55" s="393">
        <f t="shared" si="7"/>
        <v>1.0318380680591533E-2</v>
      </c>
      <c r="K55" s="393">
        <f t="shared" si="7"/>
        <v>1.0318380680591533E-2</v>
      </c>
      <c r="L55" s="393">
        <f t="shared" si="7"/>
        <v>1.0318380680591533E-2</v>
      </c>
      <c r="M55" s="393">
        <f t="shared" si="7"/>
        <v>1.0318380680591533E-2</v>
      </c>
      <c r="N55" s="393">
        <f t="shared" si="7"/>
        <v>1.0318380680591533E-2</v>
      </c>
      <c r="P55" s="24"/>
      <c r="Q55" s="494" t="s">
        <v>97</v>
      </c>
      <c r="R55" s="501">
        <f>AVERAGE($E$142:$I$142)</f>
        <v>28.067916514330864</v>
      </c>
      <c r="S55" s="74" t="s">
        <v>85</v>
      </c>
      <c r="T55" s="74"/>
      <c r="U55" s="74"/>
      <c r="V55" s="74"/>
    </row>
    <row r="56" spans="2:22" x14ac:dyDescent="0.15">
      <c r="B56" s="421" t="s">
        <v>72</v>
      </c>
      <c r="E56" s="502">
        <f t="shared" ref="E56:N56" si="8">E50-E52-E54</f>
        <v>964.8</v>
      </c>
      <c r="F56" s="502">
        <f t="shared" si="8"/>
        <v>1029.5000000000009</v>
      </c>
      <c r="G56" s="502">
        <f t="shared" si="8"/>
        <v>1322.2</v>
      </c>
      <c r="H56" s="502">
        <f t="shared" si="8"/>
        <v>1396</v>
      </c>
      <c r="I56" s="502">
        <f t="shared" si="8"/>
        <v>1527.4000000000005</v>
      </c>
      <c r="J56" s="502">
        <f t="shared" si="8"/>
        <v>1483.9862399624431</v>
      </c>
      <c r="K56" s="502">
        <f t="shared" si="8"/>
        <v>1517.5039639779129</v>
      </c>
      <c r="L56" s="502">
        <f t="shared" si="8"/>
        <v>1544.2362919540444</v>
      </c>
      <c r="M56" s="502">
        <f t="shared" si="8"/>
        <v>1569.8199419914774</v>
      </c>
      <c r="N56" s="502">
        <f t="shared" si="8"/>
        <v>1592.9805389527394</v>
      </c>
      <c r="P56" s="24"/>
      <c r="Q56" s="494" t="s">
        <v>98</v>
      </c>
      <c r="R56" s="503">
        <v>0.03</v>
      </c>
      <c r="S56" s="74" t="s">
        <v>99</v>
      </c>
      <c r="T56" s="74"/>
      <c r="U56" s="74"/>
      <c r="V56" s="74"/>
    </row>
    <row r="57" spans="2:22" x14ac:dyDescent="0.15">
      <c r="B57" s="419" t="s">
        <v>88</v>
      </c>
      <c r="E57" s="54">
        <f t="shared" ref="E57:N57" si="9">E56/E47</f>
        <v>0.17398517663607016</v>
      </c>
      <c r="F57" s="54">
        <f t="shared" si="9"/>
        <v>0.14073436132983388</v>
      </c>
      <c r="G57" s="54">
        <f t="shared" si="9"/>
        <v>0.16990709209833074</v>
      </c>
      <c r="H57" s="54">
        <f t="shared" si="9"/>
        <v>0.18820103537532354</v>
      </c>
      <c r="I57" s="54">
        <f t="shared" si="9"/>
        <v>0.19234111143292498</v>
      </c>
      <c r="J57" s="54">
        <f t="shared" si="9"/>
        <v>0.18265694841812793</v>
      </c>
      <c r="K57" s="54">
        <f t="shared" si="9"/>
        <v>0.18265694841812791</v>
      </c>
      <c r="L57" s="54">
        <f t="shared" si="9"/>
        <v>0.18265694841812796</v>
      </c>
      <c r="M57" s="54">
        <f t="shared" si="9"/>
        <v>0.18265694841812796</v>
      </c>
      <c r="N57" s="54">
        <f t="shared" si="9"/>
        <v>0.18265694841812788</v>
      </c>
      <c r="P57" s="24"/>
      <c r="Q57" s="494" t="s">
        <v>100</v>
      </c>
      <c r="R57" s="503">
        <f>'DCF-WACC '!C15</f>
        <v>7.1418943952732572E-2</v>
      </c>
      <c r="S57" s="74" t="s">
        <v>101</v>
      </c>
      <c r="T57" s="74"/>
      <c r="U57" s="74"/>
      <c r="V57" s="74"/>
    </row>
    <row r="58" spans="2:22" x14ac:dyDescent="0.15">
      <c r="B58" s="46" t="s">
        <v>102</v>
      </c>
      <c r="C58" s="46"/>
      <c r="D58" s="46"/>
      <c r="E58" s="504">
        <f>Sheet10!G333</f>
        <v>463</v>
      </c>
      <c r="F58" s="504">
        <f>Sheet10!F333</f>
        <v>587.5</v>
      </c>
      <c r="G58" s="504">
        <f>Sheet10!E333</f>
        <v>617</v>
      </c>
      <c r="H58" s="504">
        <f>Sheet10!D333</f>
        <v>632.20000000000005</v>
      </c>
      <c r="I58" s="504">
        <f>Sheet10!C333</f>
        <v>748.5</v>
      </c>
      <c r="J58" s="504">
        <f>J157</f>
        <v>790.17112555069536</v>
      </c>
      <c r="K58" s="504">
        <f>K157</f>
        <v>783.90234684012091</v>
      </c>
      <c r="L58" s="504">
        <f>L157</f>
        <v>779.68983339271733</v>
      </c>
      <c r="M58" s="504">
        <f>M157</f>
        <v>777.04556717804815</v>
      </c>
      <c r="N58" s="504">
        <f>N157</f>
        <v>775.77573190417547</v>
      </c>
      <c r="P58" s="24"/>
      <c r="Q58" s="494" t="s">
        <v>103</v>
      </c>
      <c r="R58" s="503">
        <f>'DCF-WACC '!C3</f>
        <v>8.5650000000000004E-2</v>
      </c>
      <c r="S58" s="74" t="s">
        <v>101</v>
      </c>
      <c r="T58" s="74"/>
      <c r="U58" s="74"/>
      <c r="V58" s="74"/>
    </row>
    <row r="59" spans="2:22" x14ac:dyDescent="0.15">
      <c r="B59" s="46" t="s">
        <v>88</v>
      </c>
      <c r="C59" s="46"/>
      <c r="D59" s="46"/>
      <c r="E59" s="505">
        <f t="shared" ref="E59:N59" si="10">E58/E47</f>
        <v>8.3494130164283267E-2</v>
      </c>
      <c r="F59" s="505">
        <f t="shared" si="10"/>
        <v>8.0312226596675404E-2</v>
      </c>
      <c r="G59" s="505">
        <f t="shared" si="10"/>
        <v>7.928654955730606E-2</v>
      </c>
      <c r="H59" s="505">
        <f t="shared" si="10"/>
        <v>8.522972389991372E-2</v>
      </c>
      <c r="I59" s="505">
        <f t="shared" si="10"/>
        <v>9.4256463210386471E-2</v>
      </c>
      <c r="J59" s="504">
        <f t="shared" si="10"/>
        <v>9.7258480324494231E-2</v>
      </c>
      <c r="K59" s="504">
        <f t="shared" si="10"/>
        <v>9.4355740696904986E-2</v>
      </c>
      <c r="L59" s="504">
        <f t="shared" si="10"/>
        <v>9.2224076342579939E-2</v>
      </c>
      <c r="M59" s="504">
        <f t="shared" si="10"/>
        <v>9.0413408752165206E-2</v>
      </c>
      <c r="N59" s="504">
        <f t="shared" si="10"/>
        <v>8.8953269912270011E-2</v>
      </c>
      <c r="O59" s="398">
        <f>AVERAGE(E59:J59)</f>
        <v>8.6639595625509866E-2</v>
      </c>
      <c r="P59" s="24"/>
      <c r="Q59" s="494"/>
      <c r="R59" s="503"/>
      <c r="S59" s="74"/>
      <c r="T59" s="74"/>
      <c r="U59" s="74"/>
      <c r="V59" s="74"/>
    </row>
    <row r="60" spans="2:22" x14ac:dyDescent="0.15">
      <c r="B60" s="417" t="s">
        <v>71</v>
      </c>
      <c r="C60" s="417"/>
      <c r="D60" s="417"/>
      <c r="E60" s="506">
        <f t="shared" ref="E60:N60" si="11">E56+E58</f>
        <v>1427.8</v>
      </c>
      <c r="F60" s="506">
        <f t="shared" si="11"/>
        <v>1617.0000000000009</v>
      </c>
      <c r="G60" s="506">
        <f t="shared" si="11"/>
        <v>1939.2</v>
      </c>
      <c r="H60" s="506">
        <f t="shared" si="11"/>
        <v>2028.2</v>
      </c>
      <c r="I60" s="506">
        <f t="shared" si="11"/>
        <v>2275.9000000000005</v>
      </c>
      <c r="J60" s="506">
        <f t="shared" si="11"/>
        <v>2274.1573655131383</v>
      </c>
      <c r="K60" s="506">
        <f t="shared" si="11"/>
        <v>2301.4063108180339</v>
      </c>
      <c r="L60" s="506">
        <f t="shared" si="11"/>
        <v>2323.9261253467616</v>
      </c>
      <c r="M60" s="506">
        <f t="shared" si="11"/>
        <v>2346.8655091695255</v>
      </c>
      <c r="N60" s="506">
        <f t="shared" si="11"/>
        <v>2368.7562708569149</v>
      </c>
      <c r="O60" s="493">
        <f>AVERAGE(E60:I60)</f>
        <v>1857.6200000000003</v>
      </c>
      <c r="P60" s="24"/>
      <c r="Q60" s="494" t="s">
        <v>104</v>
      </c>
      <c r="R60" s="503">
        <v>0.04</v>
      </c>
      <c r="S60" s="74" t="s">
        <v>105</v>
      </c>
      <c r="T60" s="74"/>
      <c r="U60" s="74"/>
      <c r="V60" s="74"/>
    </row>
    <row r="61" spans="2:22" x14ac:dyDescent="0.15">
      <c r="B61" s="46" t="s">
        <v>106</v>
      </c>
      <c r="C61" s="46"/>
      <c r="D61" s="46"/>
      <c r="E61" s="507">
        <f t="shared" ref="E61:N61" si="12">E60/E47</f>
        <v>0.25747930680035341</v>
      </c>
      <c r="F61" s="507">
        <f t="shared" si="12"/>
        <v>0.2210465879265093</v>
      </c>
      <c r="G61" s="507">
        <f t="shared" si="12"/>
        <v>0.24919364165563682</v>
      </c>
      <c r="H61" s="507">
        <f t="shared" si="12"/>
        <v>0.27343075927523725</v>
      </c>
      <c r="I61" s="507">
        <f t="shared" si="12"/>
        <v>0.28659757464331143</v>
      </c>
      <c r="J61" s="507">
        <f t="shared" si="12"/>
        <v>0.27991542874262215</v>
      </c>
      <c r="K61" s="507">
        <f t="shared" si="12"/>
        <v>0.27701268911503291</v>
      </c>
      <c r="L61" s="507">
        <f t="shared" si="12"/>
        <v>0.27488102476070791</v>
      </c>
      <c r="M61" s="507">
        <f t="shared" si="12"/>
        <v>0.27307035717029315</v>
      </c>
      <c r="N61" s="507">
        <f t="shared" si="12"/>
        <v>0.27161021833039789</v>
      </c>
      <c r="P61" s="24"/>
      <c r="Q61" s="494" t="s">
        <v>107</v>
      </c>
      <c r="R61" s="508">
        <v>0.82769999999999999</v>
      </c>
      <c r="S61" s="74" t="s">
        <v>108</v>
      </c>
      <c r="T61" s="74"/>
      <c r="U61" s="74"/>
      <c r="V61" s="74"/>
    </row>
    <row r="62" spans="2:22" x14ac:dyDescent="0.15">
      <c r="P62" s="24"/>
      <c r="Q62" s="494" t="s">
        <v>109</v>
      </c>
      <c r="R62" s="497">
        <v>5.5E-2</v>
      </c>
      <c r="S62" s="74" t="s">
        <v>110</v>
      </c>
      <c r="T62" s="74"/>
      <c r="U62" s="74"/>
      <c r="V62" s="74"/>
    </row>
    <row r="63" spans="2:22" x14ac:dyDescent="0.15">
      <c r="B63" s="46" t="s">
        <v>111</v>
      </c>
      <c r="C63" s="46"/>
      <c r="D63" s="46"/>
      <c r="E63" s="504">
        <f>Sheet10!G367</f>
        <v>149.30000000000001</v>
      </c>
      <c r="F63" s="504">
        <f>Sheet10!F367</f>
        <v>169.2</v>
      </c>
      <c r="G63" s="504">
        <f>Sheet10!E367</f>
        <v>196.1</v>
      </c>
      <c r="H63" s="504">
        <f>Sheet10!D367</f>
        <v>191.2</v>
      </c>
      <c r="I63" s="504">
        <f>Sheet10!C367</f>
        <v>239.7</v>
      </c>
      <c r="J63" s="504">
        <f>J166*$R$51</f>
        <v>202.36923134653671</v>
      </c>
      <c r="K63" s="504">
        <f>K166*$R$51</f>
        <v>202.36923134653671</v>
      </c>
      <c r="L63" s="504">
        <f>L166*$R$51</f>
        <v>202.36923134653671</v>
      </c>
      <c r="M63" s="504">
        <f>M166*$R$51</f>
        <v>202.36923134653671</v>
      </c>
      <c r="N63" s="504">
        <f>N166*$R$51</f>
        <v>202.36923134653671</v>
      </c>
      <c r="P63" s="24"/>
      <c r="Q63" s="494" t="s">
        <v>112</v>
      </c>
      <c r="R63" s="503">
        <v>4.9399999999999999E-2</v>
      </c>
      <c r="S63" s="74" t="s">
        <v>113</v>
      </c>
      <c r="T63" s="74"/>
      <c r="U63" s="74"/>
      <c r="V63" s="74"/>
    </row>
    <row r="64" spans="2:22" x14ac:dyDescent="0.15">
      <c r="B64" s="46" t="s">
        <v>114</v>
      </c>
      <c r="C64" s="46"/>
      <c r="D64" s="46"/>
      <c r="E64" s="509">
        <f>SUM(Sheet10!G245,Sheet10!G246)</f>
        <v>130.79999999999998</v>
      </c>
      <c r="F64" s="509">
        <f>SUM(Sheet10!F245,Sheet10!F246)</f>
        <v>15.799999999999999</v>
      </c>
      <c r="G64" s="509">
        <f>SUM(Sheet10!E245,Sheet10!E246)</f>
        <v>140.80000000000001</v>
      </c>
      <c r="H64" s="509">
        <f>SUM(Sheet10!D245,Sheet10!D246)</f>
        <v>66.900000000000006</v>
      </c>
      <c r="I64" s="509">
        <f>SUM(Sheet10!C245,Sheet10!C246)</f>
        <v>91.6</v>
      </c>
      <c r="J64" s="509">
        <f>0</f>
        <v>0</v>
      </c>
      <c r="K64" s="509">
        <f>0</f>
        <v>0</v>
      </c>
      <c r="L64" s="509">
        <f>0</f>
        <v>0</v>
      </c>
      <c r="M64" s="509">
        <f>0</f>
        <v>0</v>
      </c>
      <c r="N64" s="509">
        <f>0</f>
        <v>0</v>
      </c>
      <c r="P64" s="24"/>
      <c r="Q64" s="494" t="s">
        <v>115</v>
      </c>
      <c r="R64" s="510">
        <v>4190</v>
      </c>
      <c r="S64" s="74" t="s">
        <v>116</v>
      </c>
      <c r="T64" s="74"/>
      <c r="U64" s="74"/>
      <c r="V64" s="74"/>
    </row>
    <row r="65" spans="2:22" x14ac:dyDescent="0.15">
      <c r="B65" s="417" t="s">
        <v>117</v>
      </c>
      <c r="C65" s="417"/>
      <c r="D65" s="417"/>
      <c r="E65" s="506">
        <f t="shared" ref="E65:N65" si="13">E56-E63+E64</f>
        <v>946.3</v>
      </c>
      <c r="F65" s="506">
        <f t="shared" si="13"/>
        <v>876.10000000000082</v>
      </c>
      <c r="G65" s="506">
        <f t="shared" si="13"/>
        <v>1266.9000000000001</v>
      </c>
      <c r="H65" s="506">
        <f t="shared" si="13"/>
        <v>1271.7</v>
      </c>
      <c r="I65" s="506">
        <f t="shared" si="13"/>
        <v>1379.3000000000004</v>
      </c>
      <c r="J65" s="506">
        <f t="shared" si="13"/>
        <v>1281.6170086159063</v>
      </c>
      <c r="K65" s="506">
        <f t="shared" si="13"/>
        <v>1315.1347326313762</v>
      </c>
      <c r="L65" s="506">
        <f t="shared" si="13"/>
        <v>1341.8670606075077</v>
      </c>
      <c r="M65" s="506">
        <f t="shared" si="13"/>
        <v>1367.4507106449407</v>
      </c>
      <c r="N65" s="506">
        <f t="shared" si="13"/>
        <v>1390.6113076062027</v>
      </c>
      <c r="P65" s="24"/>
      <c r="Q65" s="494" t="s">
        <v>118</v>
      </c>
      <c r="R65" s="511">
        <v>130.58000000000001</v>
      </c>
      <c r="S65" s="74" t="s">
        <v>116</v>
      </c>
      <c r="T65" s="74"/>
      <c r="U65" s="74"/>
      <c r="V65" s="74"/>
    </row>
    <row r="66" spans="2:22" x14ac:dyDescent="0.15">
      <c r="B66" s="46" t="s">
        <v>119</v>
      </c>
      <c r="C66" s="46"/>
      <c r="D66" s="46"/>
      <c r="E66" s="504">
        <f>Sheet10!G260</f>
        <v>200.1</v>
      </c>
      <c r="F66" s="504">
        <f>Sheet10!F260</f>
        <v>193</v>
      </c>
      <c r="G66" s="504">
        <f>Sheet10!E260</f>
        <v>299.39999999999998</v>
      </c>
      <c r="H66" s="504">
        <f>Sheet10!D260</f>
        <v>251.4</v>
      </c>
      <c r="I66" s="504">
        <f>Sheet10!C260</f>
        <v>307.5</v>
      </c>
      <c r="J66" s="504">
        <f>J65*$R$47</f>
        <v>279.05975436572908</v>
      </c>
      <c r="K66" s="504">
        <f>K65*$R$47</f>
        <v>286.35791580379913</v>
      </c>
      <c r="L66" s="504">
        <f>L65*$R$47</f>
        <v>292.17862263625585</v>
      </c>
      <c r="M66" s="504">
        <f>M65*$R$47</f>
        <v>297.74921591586212</v>
      </c>
      <c r="N66" s="504">
        <f>N65*$R$47</f>
        <v>302.79221273591321</v>
      </c>
      <c r="P66" s="24"/>
      <c r="Q66" s="494" t="s">
        <v>120</v>
      </c>
      <c r="R66" s="512">
        <v>295.98</v>
      </c>
      <c r="S66" s="74" t="s">
        <v>116</v>
      </c>
      <c r="T66" s="74"/>
      <c r="U66" s="74"/>
      <c r="V66" s="74"/>
    </row>
    <row r="67" spans="2:22" x14ac:dyDescent="0.15">
      <c r="B67" s="46" t="s">
        <v>121</v>
      </c>
      <c r="C67" s="46"/>
      <c r="D67" s="46"/>
      <c r="E67" s="507">
        <f t="shared" ref="E67:N67" si="14">E66/E65</f>
        <v>0.21145514107576879</v>
      </c>
      <c r="F67" s="507">
        <f t="shared" si="14"/>
        <v>0.22029448693071546</v>
      </c>
      <c r="G67" s="507">
        <f t="shared" si="14"/>
        <v>0.23632488752071984</v>
      </c>
      <c r="H67" s="507">
        <f t="shared" si="14"/>
        <v>0.19768813399386648</v>
      </c>
      <c r="I67" s="507">
        <f t="shared" si="14"/>
        <v>0.22293917204379027</v>
      </c>
      <c r="J67" s="507">
        <f t="shared" si="14"/>
        <v>0.2177403643129722</v>
      </c>
      <c r="K67" s="507">
        <f t="shared" si="14"/>
        <v>0.2177403643129722</v>
      </c>
      <c r="L67" s="507">
        <f t="shared" si="14"/>
        <v>0.2177403643129722</v>
      </c>
      <c r="M67" s="507">
        <f t="shared" si="14"/>
        <v>0.2177403643129722</v>
      </c>
      <c r="N67" s="507">
        <f t="shared" si="14"/>
        <v>0.2177403643129722</v>
      </c>
      <c r="Q67" s="421"/>
      <c r="R67" s="423"/>
      <c r="S67" s="423"/>
      <c r="T67" s="423"/>
      <c r="U67" s="423"/>
      <c r="V67" s="423"/>
    </row>
    <row r="68" spans="2:22" ht="17" customHeight="1" thickBot="1" x14ac:dyDescent="0.2">
      <c r="B68" s="432" t="s">
        <v>73</v>
      </c>
      <c r="C68" s="432"/>
      <c r="D68" s="432"/>
      <c r="E68" s="513">
        <f t="shared" ref="E68:N68" si="15">E65-E66</f>
        <v>746.19999999999993</v>
      </c>
      <c r="F68" s="513">
        <f t="shared" si="15"/>
        <v>683.10000000000082</v>
      </c>
      <c r="G68" s="513">
        <f t="shared" si="15"/>
        <v>967.50000000000011</v>
      </c>
      <c r="H68" s="513">
        <f t="shared" si="15"/>
        <v>1020.3000000000001</v>
      </c>
      <c r="I68" s="513">
        <f t="shared" si="15"/>
        <v>1071.8000000000004</v>
      </c>
      <c r="J68" s="513">
        <f t="shared" si="15"/>
        <v>1002.5572542501773</v>
      </c>
      <c r="K68" s="513">
        <f t="shared" si="15"/>
        <v>1028.776816827577</v>
      </c>
      <c r="L68" s="513">
        <f t="shared" si="15"/>
        <v>1049.6884379712519</v>
      </c>
      <c r="M68" s="513">
        <f t="shared" si="15"/>
        <v>1069.7014947290786</v>
      </c>
      <c r="N68" s="513">
        <f t="shared" si="15"/>
        <v>1087.8190948702895</v>
      </c>
      <c r="Q68" s="421"/>
      <c r="R68" s="423"/>
      <c r="S68" s="423"/>
      <c r="T68" s="423"/>
      <c r="U68" s="423"/>
      <c r="V68" s="423"/>
    </row>
    <row r="69" spans="2:22" ht="17" customHeight="1" thickTop="1" x14ac:dyDescent="0.15">
      <c r="B69" s="46" t="s">
        <v>122</v>
      </c>
      <c r="C69" s="46"/>
      <c r="D69" s="46"/>
      <c r="E69" s="507">
        <f t="shared" ref="E69:N69" si="16">E68/E47</f>
        <v>0.13456440589327898</v>
      </c>
      <c r="F69" s="507">
        <f t="shared" si="16"/>
        <v>9.3380905511811121E-2</v>
      </c>
      <c r="G69" s="507">
        <f t="shared" si="16"/>
        <v>0.1243269638520156</v>
      </c>
      <c r="H69" s="507">
        <f t="shared" si="16"/>
        <v>0.13755122950819673</v>
      </c>
      <c r="I69" s="507">
        <f t="shared" si="16"/>
        <v>0.13496870710606848</v>
      </c>
      <c r="J69" s="507">
        <f t="shared" si="16"/>
        <v>0.12340009883139423</v>
      </c>
      <c r="K69" s="507">
        <f t="shared" si="16"/>
        <v>0.12383047321501139</v>
      </c>
      <c r="L69" s="507">
        <f t="shared" si="16"/>
        <v>0.12416032952250169</v>
      </c>
      <c r="M69" s="507">
        <f t="shared" si="16"/>
        <v>0.1244654915630983</v>
      </c>
      <c r="N69" s="507">
        <f t="shared" si="16"/>
        <v>0.12473329801668845</v>
      </c>
      <c r="Q69" s="421"/>
      <c r="R69" s="423"/>
      <c r="S69" s="423"/>
      <c r="T69" s="423"/>
      <c r="U69" s="423"/>
      <c r="V69" s="423"/>
    </row>
    <row r="70" spans="2:22" x14ac:dyDescent="0.15">
      <c r="Q70" s="438"/>
      <c r="R70" s="439"/>
      <c r="S70" s="439"/>
      <c r="T70" s="439"/>
      <c r="U70" s="439"/>
      <c r="V70" s="439"/>
    </row>
    <row r="71" spans="2:22" x14ac:dyDescent="0.15">
      <c r="B71" s="670" t="s">
        <v>123</v>
      </c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Q71" s="424"/>
      <c r="R71" s="425"/>
      <c r="S71" s="425"/>
      <c r="T71" s="425"/>
      <c r="U71" s="425"/>
      <c r="V71" s="425"/>
    </row>
    <row r="72" spans="2:22" x14ac:dyDescent="0.15">
      <c r="B72" s="494" t="s">
        <v>45</v>
      </c>
      <c r="C72" s="221"/>
      <c r="D72" s="221"/>
      <c r="E72" s="221" t="s">
        <v>76</v>
      </c>
      <c r="F72" s="221" t="s">
        <v>77</v>
      </c>
      <c r="G72" s="221" t="s">
        <v>78</v>
      </c>
      <c r="H72" s="221" t="s">
        <v>79</v>
      </c>
      <c r="I72" s="221" t="s">
        <v>80</v>
      </c>
      <c r="J72" s="221" t="s">
        <v>51</v>
      </c>
      <c r="K72" s="221" t="s">
        <v>52</v>
      </c>
      <c r="L72" s="221" t="s">
        <v>53</v>
      </c>
      <c r="M72" s="221" t="s">
        <v>54</v>
      </c>
      <c r="N72" s="221" t="s">
        <v>55</v>
      </c>
      <c r="Q72" s="438"/>
      <c r="R72" s="440"/>
      <c r="S72" s="440"/>
      <c r="T72" s="440"/>
      <c r="U72" s="440"/>
      <c r="V72" s="440"/>
    </row>
    <row r="73" spans="2:22" x14ac:dyDescent="0.15">
      <c r="B73" s="433" t="s">
        <v>124</v>
      </c>
      <c r="E73" s="495">
        <f>Sheet10!G8</f>
        <v>235</v>
      </c>
      <c r="F73" s="495">
        <f>Sheet10!F8</f>
        <v>161.4</v>
      </c>
      <c r="G73" s="495">
        <f>Sheet10!E8</f>
        <v>931.1</v>
      </c>
      <c r="H73" s="495">
        <f>Sheet10!D8</f>
        <v>559.70000000000005</v>
      </c>
      <c r="I73" s="495">
        <f>Sheet10!C8</f>
        <v>183.3</v>
      </c>
      <c r="J73" s="495">
        <f>J130</f>
        <v>794.35816639936911</v>
      </c>
      <c r="K73" s="495">
        <f>K130</f>
        <v>1493.1454554701331</v>
      </c>
      <c r="L73" s="495">
        <f>L130</f>
        <v>2180.5813483612715</v>
      </c>
      <c r="M73" s="495">
        <f>M130</f>
        <v>2851.8257381210328</v>
      </c>
      <c r="N73" s="495">
        <f>N130</f>
        <v>3507.2981955403397</v>
      </c>
      <c r="Q73" s="424"/>
      <c r="R73" s="441"/>
      <c r="S73" s="441"/>
      <c r="T73" s="441"/>
      <c r="U73" s="441"/>
      <c r="V73" s="441"/>
    </row>
    <row r="74" spans="2:22" x14ac:dyDescent="0.15">
      <c r="B74" s="221" t="s">
        <v>125</v>
      </c>
      <c r="E74" s="495">
        <f>SUM(Sheet10!G11,Sheet10!G14)</f>
        <v>838.7</v>
      </c>
      <c r="F74" s="495">
        <f>SUM(Sheet10!F11,Sheet10!F14)</f>
        <v>1045.3</v>
      </c>
      <c r="G74" s="495">
        <f>SUM(Sheet10!E11,Sheet10!E14)</f>
        <v>889.7</v>
      </c>
      <c r="H74" s="495">
        <f>SUM(Sheet10!D11,Sheet10!D14)</f>
        <v>892.3</v>
      </c>
      <c r="I74" s="495">
        <f>SUM(Sheet10!C11,Sheet10!C14)</f>
        <v>887.7</v>
      </c>
      <c r="J74" s="495">
        <f>J47*$R$53/365</f>
        <v>1040.8215232886066</v>
      </c>
      <c r="K74" s="495">
        <f>K47*$R$53/365</f>
        <v>1064.3298063356458</v>
      </c>
      <c r="L74" s="495">
        <f>L47*$R$53/365</f>
        <v>1083.0790248768308</v>
      </c>
      <c r="M74" s="495">
        <f>M47*$R$53/365</f>
        <v>1101.0225966473599</v>
      </c>
      <c r="N74" s="495">
        <f>N47*$R$53/365</f>
        <v>1117.2667147937016</v>
      </c>
      <c r="Q74" s="424"/>
      <c r="R74" s="441"/>
      <c r="S74" s="441"/>
      <c r="T74" s="441"/>
      <c r="U74" s="441"/>
      <c r="V74" s="441"/>
    </row>
    <row r="75" spans="2:22" x14ac:dyDescent="0.15">
      <c r="B75" s="221" t="s">
        <v>126</v>
      </c>
      <c r="E75" s="495">
        <f>Sheet10!G15</f>
        <v>521.29999999999995</v>
      </c>
      <c r="F75" s="495">
        <f>Sheet10!F15</f>
        <v>579.29999999999995</v>
      </c>
      <c r="G75" s="495">
        <f>Sheet10!E15</f>
        <v>615.6</v>
      </c>
      <c r="H75" s="495">
        <f>Sheet10!D15</f>
        <v>681.8</v>
      </c>
      <c r="I75" s="495">
        <f>Sheet10!C15</f>
        <v>680.5</v>
      </c>
      <c r="J75" s="495">
        <f>J48*$R$54/365</f>
        <v>686.78700106128372</v>
      </c>
      <c r="K75" s="495">
        <f>K48*$R$54/365</f>
        <v>702.29896238483821</v>
      </c>
      <c r="L75" s="495">
        <f>L48*$R$54/365</f>
        <v>714.67065079252723</v>
      </c>
      <c r="M75" s="495">
        <f>M48*$R$54/365</f>
        <v>726.51073246731073</v>
      </c>
      <c r="N75" s="495">
        <f>N48*$R$54/365</f>
        <v>737.22942816776231</v>
      </c>
      <c r="Q75" s="438"/>
      <c r="R75" s="439"/>
      <c r="S75" s="439"/>
      <c r="T75" s="439"/>
      <c r="U75" s="439"/>
      <c r="V75" s="439"/>
    </row>
    <row r="76" spans="2:22" x14ac:dyDescent="0.15">
      <c r="B76" s="221" t="s">
        <v>127</v>
      </c>
      <c r="E76" s="495">
        <f>Sheet10!G20</f>
        <v>0</v>
      </c>
      <c r="F76" s="495">
        <f>Sheet10!F20</f>
        <v>0</v>
      </c>
      <c r="G76" s="495">
        <f>Sheet10!E20</f>
        <v>0</v>
      </c>
      <c r="H76" s="495">
        <f>Sheet10!D20</f>
        <v>0</v>
      </c>
      <c r="I76" s="514">
        <f>Sheet10!C20</f>
        <v>708.5</v>
      </c>
      <c r="J76" s="8">
        <f t="shared" ref="J76:N77" si="17">I76</f>
        <v>708.5</v>
      </c>
      <c r="K76" s="514">
        <f t="shared" si="17"/>
        <v>708.5</v>
      </c>
      <c r="L76" s="514">
        <f t="shared" si="17"/>
        <v>708.5</v>
      </c>
      <c r="M76" s="514">
        <f t="shared" si="17"/>
        <v>708.5</v>
      </c>
      <c r="N76" s="514">
        <f t="shared" si="17"/>
        <v>708.5</v>
      </c>
      <c r="O76" s="514" t="s">
        <v>128</v>
      </c>
      <c r="P76" s="46"/>
      <c r="Q76" s="438"/>
      <c r="R76" s="439"/>
      <c r="S76" s="439"/>
      <c r="T76" s="439"/>
      <c r="U76" s="439"/>
      <c r="V76" s="439"/>
    </row>
    <row r="77" spans="2:22" x14ac:dyDescent="0.15">
      <c r="B77" s="230" t="s">
        <v>129</v>
      </c>
      <c r="C77" s="417"/>
      <c r="D77" s="429"/>
      <c r="E77" s="515">
        <f>Sheet10!G21</f>
        <v>101.6</v>
      </c>
      <c r="F77" s="515">
        <f>Sheet10!F21</f>
        <v>116</v>
      </c>
      <c r="G77" s="515">
        <f>Sheet10!E21</f>
        <v>88.5</v>
      </c>
      <c r="H77" s="515">
        <f>Sheet10!D21</f>
        <v>131.9</v>
      </c>
      <c r="I77" s="495">
        <f>Sheet10!C21</f>
        <v>107.9</v>
      </c>
      <c r="J77" s="495">
        <f t="shared" si="17"/>
        <v>107.9</v>
      </c>
      <c r="K77" s="495">
        <f t="shared" si="17"/>
        <v>107.9</v>
      </c>
      <c r="L77" s="495">
        <f t="shared" si="17"/>
        <v>107.9</v>
      </c>
      <c r="M77" s="495">
        <f t="shared" si="17"/>
        <v>107.9</v>
      </c>
      <c r="N77" s="495">
        <f t="shared" si="17"/>
        <v>107.9</v>
      </c>
    </row>
    <row r="78" spans="2:22" x14ac:dyDescent="0.15">
      <c r="B78" s="434" t="s">
        <v>130</v>
      </c>
      <c r="C78" s="46"/>
      <c r="D78" s="247"/>
      <c r="E78" s="516">
        <f t="shared" ref="E78:N78" si="18">SUM(E73:E77)</f>
        <v>1696.6</v>
      </c>
      <c r="F78" s="516">
        <f t="shared" si="18"/>
        <v>1902</v>
      </c>
      <c r="G78" s="516">
        <f t="shared" si="18"/>
        <v>2524.9</v>
      </c>
      <c r="H78" s="516">
        <f t="shared" si="18"/>
        <v>2265.7000000000003</v>
      </c>
      <c r="I78" s="517">
        <f t="shared" si="18"/>
        <v>2567.9</v>
      </c>
      <c r="J78" s="517">
        <f t="shared" si="18"/>
        <v>3338.3666907492593</v>
      </c>
      <c r="K78" s="517">
        <f t="shared" si="18"/>
        <v>4076.1742241906172</v>
      </c>
      <c r="L78" s="517">
        <f t="shared" si="18"/>
        <v>4794.7310240306288</v>
      </c>
      <c r="M78" s="517">
        <f t="shared" si="18"/>
        <v>5495.7590672357028</v>
      </c>
      <c r="N78" s="517">
        <f t="shared" si="18"/>
        <v>6178.194338501803</v>
      </c>
    </row>
    <row r="79" spans="2:22" x14ac:dyDescent="0.15">
      <c r="B79" s="231"/>
      <c r="C79" s="46"/>
      <c r="D79" s="431"/>
      <c r="E79" s="431"/>
      <c r="F79" s="431"/>
      <c r="G79" s="431"/>
      <c r="H79" s="431"/>
    </row>
    <row r="80" spans="2:22" x14ac:dyDescent="0.15">
      <c r="B80" s="231" t="s">
        <v>131</v>
      </c>
      <c r="C80" s="46"/>
      <c r="D80" s="247"/>
      <c r="E80" s="247">
        <f>Sheet10!G26</f>
        <v>34.1</v>
      </c>
      <c r="F80" s="247">
        <f>Sheet10!F26</f>
        <v>31.8</v>
      </c>
      <c r="G80" s="247">
        <f>Sheet10!E26</f>
        <v>31.3</v>
      </c>
      <c r="H80" s="247">
        <f>Sheet10!D26</f>
        <v>31.3</v>
      </c>
      <c r="I80" s="247">
        <f>Sheet10!C26</f>
        <v>33.700000000000003</v>
      </c>
      <c r="J80" s="8">
        <f>I80</f>
        <v>33.700000000000003</v>
      </c>
      <c r="K80" s="8">
        <f>J80</f>
        <v>33.700000000000003</v>
      </c>
      <c r="L80" s="8">
        <f>K80</f>
        <v>33.700000000000003</v>
      </c>
      <c r="M80" s="8">
        <f>L80</f>
        <v>33.700000000000003</v>
      </c>
      <c r="N80" s="8">
        <f>M80</f>
        <v>33.700000000000003</v>
      </c>
    </row>
    <row r="81" spans="2:15" x14ac:dyDescent="0.15">
      <c r="B81" s="221" t="s">
        <v>132</v>
      </c>
      <c r="E81" s="495">
        <f t="shared" ref="E81:N81" si="19">E159</f>
        <v>6238.2</v>
      </c>
      <c r="F81" s="495">
        <f t="shared" si="19"/>
        <v>6623.9</v>
      </c>
      <c r="G81" s="495">
        <f t="shared" si="19"/>
        <v>6729.4</v>
      </c>
      <c r="H81" s="495">
        <f t="shared" si="19"/>
        <v>8987.9</v>
      </c>
      <c r="I81" s="495">
        <f t="shared" si="19"/>
        <v>8670.1</v>
      </c>
      <c r="J81" s="495">
        <f t="shared" si="19"/>
        <v>8601.3162434932401</v>
      </c>
      <c r="K81" s="495">
        <f t="shared" si="19"/>
        <v>8555.0947205100001</v>
      </c>
      <c r="L81" s="495">
        <f t="shared" si="19"/>
        <v>8526.0806857440184</v>
      </c>
      <c r="M81" s="495">
        <f t="shared" si="19"/>
        <v>8512.1475028523619</v>
      </c>
      <c r="N81" s="495">
        <f t="shared" si="19"/>
        <v>8510.7428594310495</v>
      </c>
    </row>
    <row r="82" spans="2:15" x14ac:dyDescent="0.15">
      <c r="B82" s="221" t="s">
        <v>133</v>
      </c>
      <c r="E82" s="495">
        <f>Sheet10!G58</f>
        <v>3696.7</v>
      </c>
      <c r="F82" s="495">
        <f>Sheet10!F58</f>
        <v>3689.6</v>
      </c>
      <c r="G82" s="495">
        <f>Sheet10!E58</f>
        <v>3531.7</v>
      </c>
      <c r="H82" s="495">
        <f>Sheet10!D58</f>
        <v>3788.1</v>
      </c>
      <c r="I82" s="495">
        <f>Sheet10!C58</f>
        <v>3780.9</v>
      </c>
      <c r="J82" s="495">
        <f t="shared" ref="J82:N84" si="20">I82</f>
        <v>3780.9</v>
      </c>
      <c r="K82" s="495">
        <f t="shared" si="20"/>
        <v>3780.9</v>
      </c>
      <c r="L82" s="495">
        <f t="shared" si="20"/>
        <v>3780.9</v>
      </c>
      <c r="M82" s="495">
        <f t="shared" si="20"/>
        <v>3780.9</v>
      </c>
      <c r="N82" s="495">
        <f t="shared" si="20"/>
        <v>3780.9</v>
      </c>
    </row>
    <row r="83" spans="2:15" x14ac:dyDescent="0.15">
      <c r="B83" s="221" t="s">
        <v>134</v>
      </c>
      <c r="E83" s="495">
        <f>Sheet10!G59</f>
        <v>1749</v>
      </c>
      <c r="F83" s="495">
        <f>Sheet10!F59</f>
        <v>1702.1</v>
      </c>
      <c r="G83" s="495">
        <f>Sheet10!E59</f>
        <v>1460.7</v>
      </c>
      <c r="H83" s="495">
        <f>Sheet10!D59</f>
        <v>1714.7</v>
      </c>
      <c r="I83" s="495">
        <f>Sheet10!C59</f>
        <v>1489</v>
      </c>
      <c r="J83" s="495">
        <f t="shared" si="20"/>
        <v>1489</v>
      </c>
      <c r="K83" s="495">
        <f t="shared" si="20"/>
        <v>1489</v>
      </c>
      <c r="L83" s="495">
        <f t="shared" si="20"/>
        <v>1489</v>
      </c>
      <c r="M83" s="495">
        <f t="shared" si="20"/>
        <v>1489</v>
      </c>
      <c r="N83" s="495">
        <f t="shared" si="20"/>
        <v>1489</v>
      </c>
    </row>
    <row r="84" spans="2:15" x14ac:dyDescent="0.15">
      <c r="B84" s="221" t="s">
        <v>135</v>
      </c>
      <c r="E84" s="495">
        <f>Sheet10!G55</f>
        <v>268</v>
      </c>
      <c r="F84" s="495">
        <f>Sheet10!F55</f>
        <v>285.2</v>
      </c>
      <c r="G84" s="495">
        <f>Sheet10!E55</f>
        <v>267.7</v>
      </c>
      <c r="H84" s="495">
        <f>Sheet10!D55</f>
        <v>317.10000000000002</v>
      </c>
      <c r="I84" s="495">
        <f>Sheet10!C55</f>
        <v>158.80000000000001</v>
      </c>
      <c r="J84" s="495">
        <f t="shared" si="20"/>
        <v>158.80000000000001</v>
      </c>
      <c r="K84" s="495">
        <f t="shared" si="20"/>
        <v>158.80000000000001</v>
      </c>
      <c r="L84" s="495">
        <f t="shared" si="20"/>
        <v>158.80000000000001</v>
      </c>
      <c r="M84" s="495">
        <f t="shared" si="20"/>
        <v>158.80000000000001</v>
      </c>
      <c r="N84" s="495">
        <f t="shared" si="20"/>
        <v>158.80000000000001</v>
      </c>
    </row>
    <row r="85" spans="2:15" ht="17" customHeight="1" thickBot="1" x14ac:dyDescent="0.2">
      <c r="B85" s="435" t="s">
        <v>136</v>
      </c>
      <c r="E85" s="518">
        <f t="shared" ref="E85:N85" si="21">SUM(E78,E80:E84)</f>
        <v>13682.599999999999</v>
      </c>
      <c r="F85" s="518">
        <f t="shared" si="21"/>
        <v>14234.6</v>
      </c>
      <c r="G85" s="518">
        <f t="shared" si="21"/>
        <v>14545.7</v>
      </c>
      <c r="H85" s="518">
        <f t="shared" si="21"/>
        <v>17104.8</v>
      </c>
      <c r="I85" s="518">
        <f t="shared" si="21"/>
        <v>16700.399999999998</v>
      </c>
      <c r="J85" s="518">
        <f t="shared" si="21"/>
        <v>17402.082934242499</v>
      </c>
      <c r="K85" s="518">
        <f t="shared" si="21"/>
        <v>18093.668944700617</v>
      </c>
      <c r="L85" s="518">
        <f t="shared" si="21"/>
        <v>18783.211709774649</v>
      </c>
      <c r="M85" s="518">
        <f t="shared" si="21"/>
        <v>19470.306570088065</v>
      </c>
      <c r="N85" s="518">
        <f t="shared" si="21"/>
        <v>20151.337197932851</v>
      </c>
    </row>
    <row r="86" spans="2:15" ht="17" customHeight="1" thickTop="1" x14ac:dyDescent="0.15"/>
    <row r="87" spans="2:15" x14ac:dyDescent="0.15">
      <c r="B87" s="221" t="s">
        <v>137</v>
      </c>
      <c r="E87" s="495">
        <f>Sheet10!G67</f>
        <v>365.5</v>
      </c>
      <c r="F87" s="495">
        <f>Sheet10!F67</f>
        <v>454.5</v>
      </c>
      <c r="G87" s="495">
        <f>Sheet10!E67</f>
        <v>390.4</v>
      </c>
      <c r="H87" s="495">
        <f>Sheet10!D67</f>
        <v>407</v>
      </c>
      <c r="I87" s="495">
        <f>Sheet10!C67</f>
        <v>438.5</v>
      </c>
      <c r="J87" s="495">
        <f>J48*$R$55/365</f>
        <v>459.44792479232348</v>
      </c>
      <c r="K87" s="495">
        <f>K48*$R$55/365</f>
        <v>469.82514280686468</v>
      </c>
      <c r="L87" s="495">
        <f>L48*$R$55/365</f>
        <v>478.10157575668234</v>
      </c>
      <c r="M87" s="495">
        <f>M48*$R$55/365</f>
        <v>486.02237353888358</v>
      </c>
      <c r="N87" s="495">
        <f>N48*$R$55/365</f>
        <v>493.19298464311652</v>
      </c>
    </row>
    <row r="88" spans="2:15" x14ac:dyDescent="0.15">
      <c r="B88" s="221" t="s">
        <v>138</v>
      </c>
      <c r="E88" s="495">
        <f>Sheet10!G68</f>
        <v>120.5</v>
      </c>
      <c r="F88" s="495">
        <f>Sheet10!F68</f>
        <v>112.7</v>
      </c>
      <c r="G88" s="495">
        <f>Sheet10!E68</f>
        <v>135.80000000000001</v>
      </c>
      <c r="H88" s="495">
        <f>Sheet10!D68</f>
        <v>124</v>
      </c>
      <c r="I88" s="495">
        <f>Sheet10!C68</f>
        <v>130.69999999999999</v>
      </c>
      <c r="J88" s="495">
        <f>I88</f>
        <v>130.69999999999999</v>
      </c>
      <c r="K88" s="495">
        <f>J88</f>
        <v>130.69999999999999</v>
      </c>
      <c r="L88" s="495">
        <f>K88</f>
        <v>130.69999999999999</v>
      </c>
      <c r="M88" s="495">
        <f>L88</f>
        <v>130.69999999999999</v>
      </c>
      <c r="N88" s="495">
        <f>M88</f>
        <v>130.69999999999999</v>
      </c>
    </row>
    <row r="89" spans="2:15" x14ac:dyDescent="0.15">
      <c r="B89" s="221" t="s">
        <v>139</v>
      </c>
      <c r="E89" s="495">
        <f t="shared" ref="E89:N89" si="22">E170</f>
        <v>40.6</v>
      </c>
      <c r="F89" s="495">
        <f t="shared" si="22"/>
        <v>122.8</v>
      </c>
      <c r="G89" s="495">
        <f t="shared" si="22"/>
        <v>13</v>
      </c>
      <c r="H89" s="495">
        <f t="shared" si="22"/>
        <v>411.2</v>
      </c>
      <c r="I89" s="495">
        <f t="shared" si="22"/>
        <v>6.2</v>
      </c>
      <c r="J89" s="495">
        <f t="shared" si="22"/>
        <v>6.2</v>
      </c>
      <c r="K89" s="495">
        <f t="shared" si="22"/>
        <v>6.2</v>
      </c>
      <c r="L89" s="495">
        <f t="shared" si="22"/>
        <v>6.2</v>
      </c>
      <c r="M89" s="495">
        <f t="shared" si="22"/>
        <v>6.2</v>
      </c>
      <c r="N89" s="495">
        <f t="shared" si="22"/>
        <v>6.2</v>
      </c>
    </row>
    <row r="90" spans="2:15" x14ac:dyDescent="0.15">
      <c r="B90" s="221" t="s">
        <v>140</v>
      </c>
      <c r="E90" s="495">
        <f>SUM(Sheet10!G74,Sheet10!G76)</f>
        <v>193.5</v>
      </c>
      <c r="F90" s="495">
        <f>SUM(Sheet10!F74,Sheet10!F76)</f>
        <v>218.5</v>
      </c>
      <c r="G90" s="495">
        <f>SUM(Sheet10!E74,Sheet10!E76)</f>
        <v>211.1</v>
      </c>
      <c r="H90" s="495">
        <f>SUM(Sheet10!D74,Sheet10!D76)</f>
        <v>247.6</v>
      </c>
      <c r="I90" s="495">
        <f>SUM(Sheet10!C74,Sheet10!C76)</f>
        <v>336.2</v>
      </c>
      <c r="J90" s="495">
        <f t="shared" ref="J90:N91" si="23">I90</f>
        <v>336.2</v>
      </c>
      <c r="K90" s="495">
        <f t="shared" si="23"/>
        <v>336.2</v>
      </c>
      <c r="L90" s="495">
        <f t="shared" si="23"/>
        <v>336.2</v>
      </c>
      <c r="M90" s="495">
        <f t="shared" si="23"/>
        <v>336.2</v>
      </c>
      <c r="N90" s="495">
        <f t="shared" si="23"/>
        <v>336.2</v>
      </c>
      <c r="O90" s="496">
        <f>AVERAGE(E90:I90)</f>
        <v>241.38000000000002</v>
      </c>
    </row>
    <row r="91" spans="2:15" x14ac:dyDescent="0.15">
      <c r="B91" s="221" t="s">
        <v>141</v>
      </c>
      <c r="E91" s="495">
        <f>Sheet10!G75</f>
        <v>49.2</v>
      </c>
      <c r="F91" s="495">
        <f>Sheet10!F75</f>
        <v>48.1</v>
      </c>
      <c r="G91" s="495">
        <f>Sheet10!E75</f>
        <v>47.3</v>
      </c>
      <c r="H91" s="495">
        <f>Sheet10!D75</f>
        <v>49.3</v>
      </c>
      <c r="I91" s="495">
        <f>Sheet10!C75</f>
        <v>44.5</v>
      </c>
      <c r="J91" s="495">
        <f t="shared" si="23"/>
        <v>44.5</v>
      </c>
      <c r="K91" s="495">
        <f t="shared" si="23"/>
        <v>44.5</v>
      </c>
      <c r="L91" s="495">
        <f t="shared" si="23"/>
        <v>44.5</v>
      </c>
      <c r="M91" s="495">
        <f t="shared" si="23"/>
        <v>44.5</v>
      </c>
      <c r="N91" s="495">
        <f t="shared" si="23"/>
        <v>44.5</v>
      </c>
      <c r="O91" s="496"/>
    </row>
    <row r="92" spans="2:15" x14ac:dyDescent="0.15">
      <c r="B92" s="435" t="s">
        <v>142</v>
      </c>
      <c r="E92" s="517">
        <f t="shared" ref="E92:N92" si="24">SUM(E87:E91)</f>
        <v>769.30000000000007</v>
      </c>
      <c r="F92" s="517">
        <f t="shared" si="24"/>
        <v>956.6</v>
      </c>
      <c r="G92" s="517">
        <f t="shared" si="24"/>
        <v>797.6</v>
      </c>
      <c r="H92" s="517">
        <f t="shared" si="24"/>
        <v>1239.0999999999999</v>
      </c>
      <c r="I92" s="517">
        <f t="shared" si="24"/>
        <v>956.10000000000014</v>
      </c>
      <c r="J92" s="517">
        <f t="shared" si="24"/>
        <v>977.04792479232356</v>
      </c>
      <c r="K92" s="517">
        <f t="shared" si="24"/>
        <v>987.42514280686464</v>
      </c>
      <c r="L92" s="517">
        <f t="shared" si="24"/>
        <v>995.70157575668236</v>
      </c>
      <c r="M92" s="517">
        <f t="shared" si="24"/>
        <v>1003.6223735388837</v>
      </c>
      <c r="N92" s="517">
        <f t="shared" si="24"/>
        <v>1010.7929846431166</v>
      </c>
    </row>
    <row r="94" spans="2:15" x14ac:dyDescent="0.15">
      <c r="B94" s="221" t="s">
        <v>143</v>
      </c>
      <c r="E94" s="495">
        <f t="shared" ref="E94:N94" si="25">E171</f>
        <v>3935.3</v>
      </c>
      <c r="F94" s="495">
        <f t="shared" si="25"/>
        <v>3910</v>
      </c>
      <c r="G94" s="495">
        <f t="shared" si="25"/>
        <v>3893.9</v>
      </c>
      <c r="H94" s="495">
        <f t="shared" si="25"/>
        <v>4916.6000000000004</v>
      </c>
      <c r="I94" s="495">
        <f t="shared" si="25"/>
        <v>4366.7</v>
      </c>
      <c r="J94" s="495">
        <f t="shared" si="25"/>
        <v>4366.7</v>
      </c>
      <c r="K94" s="495">
        <f t="shared" si="25"/>
        <v>4366.7</v>
      </c>
      <c r="L94" s="495">
        <f t="shared" si="25"/>
        <v>4366.7</v>
      </c>
      <c r="M94" s="495">
        <f t="shared" si="25"/>
        <v>4366.7</v>
      </c>
      <c r="N94" s="495">
        <f t="shared" si="25"/>
        <v>4366.7</v>
      </c>
    </row>
    <row r="95" spans="2:15" x14ac:dyDescent="0.15">
      <c r="B95" s="221" t="s">
        <v>144</v>
      </c>
      <c r="E95" s="495">
        <f>Sheet10!G84</f>
        <v>1005.9</v>
      </c>
      <c r="F95" s="495">
        <f>Sheet10!F84</f>
        <v>1072.8</v>
      </c>
      <c r="G95" s="495">
        <f>Sheet10!E84</f>
        <v>1028.9000000000001</v>
      </c>
      <c r="H95" s="495">
        <f>Sheet10!D84</f>
        <v>1336.5</v>
      </c>
      <c r="I95" s="495">
        <f>Sheet10!C84</f>
        <v>1358.3</v>
      </c>
      <c r="J95" s="495">
        <f t="shared" ref="J95:N96" si="26">I95</f>
        <v>1358.3</v>
      </c>
      <c r="K95" s="495">
        <f t="shared" si="26"/>
        <v>1358.3</v>
      </c>
      <c r="L95" s="495">
        <f t="shared" si="26"/>
        <v>1358.3</v>
      </c>
      <c r="M95" s="495">
        <f t="shared" si="26"/>
        <v>1358.3</v>
      </c>
      <c r="N95" s="495">
        <f t="shared" si="26"/>
        <v>1358.3</v>
      </c>
    </row>
    <row r="96" spans="2:15" x14ac:dyDescent="0.15">
      <c r="B96" s="221" t="s">
        <v>145</v>
      </c>
      <c r="E96" s="495">
        <f>SUM(Sheet10!G86,Sheet10!G87)</f>
        <v>1404.4</v>
      </c>
      <c r="F96" s="495">
        <f>SUM(Sheet10!F86,Sheet10!F87)</f>
        <v>1343</v>
      </c>
      <c r="G96" s="495">
        <f>SUM(Sheet10!E86,Sheet10!E87)</f>
        <v>1317.4</v>
      </c>
      <c r="H96" s="495">
        <f>SUM(Sheet10!D86,Sheet10!D87)</f>
        <v>1470.1</v>
      </c>
      <c r="I96" s="495">
        <f>SUM(Sheet10!C86,Sheet10!C87)</f>
        <v>1470.4</v>
      </c>
      <c r="J96" s="495">
        <f t="shared" si="26"/>
        <v>1470.4</v>
      </c>
      <c r="K96" s="495">
        <f t="shared" si="26"/>
        <v>1470.4</v>
      </c>
      <c r="L96" s="495">
        <f t="shared" si="26"/>
        <v>1470.4</v>
      </c>
      <c r="M96" s="495">
        <f t="shared" si="26"/>
        <v>1470.4</v>
      </c>
      <c r="N96" s="495">
        <f t="shared" si="26"/>
        <v>1470.4</v>
      </c>
    </row>
    <row r="97" spans="2:17" x14ac:dyDescent="0.15">
      <c r="B97" s="435" t="s">
        <v>146</v>
      </c>
      <c r="E97" s="517">
        <f t="shared" ref="E97:N97" si="27">SUM(E94:E96)</f>
        <v>6345.6</v>
      </c>
      <c r="F97" s="517">
        <f t="shared" si="27"/>
        <v>6325.8</v>
      </c>
      <c r="G97" s="517">
        <f t="shared" si="27"/>
        <v>6240.2000000000007</v>
      </c>
      <c r="H97" s="517">
        <f t="shared" si="27"/>
        <v>7723.2000000000007</v>
      </c>
      <c r="I97" s="517">
        <f t="shared" si="27"/>
        <v>7195.4</v>
      </c>
      <c r="J97" s="517">
        <f t="shared" si="27"/>
        <v>7195.4</v>
      </c>
      <c r="K97" s="517">
        <f t="shared" si="27"/>
        <v>7195.4</v>
      </c>
      <c r="L97" s="517">
        <f t="shared" si="27"/>
        <v>7195.4</v>
      </c>
      <c r="M97" s="517">
        <f t="shared" si="27"/>
        <v>7195.4</v>
      </c>
      <c r="N97" s="517">
        <f t="shared" si="27"/>
        <v>7195.4</v>
      </c>
    </row>
    <row r="98" spans="2:17" x14ac:dyDescent="0.15">
      <c r="B98" s="435" t="s">
        <v>147</v>
      </c>
      <c r="E98" s="517">
        <f t="shared" ref="E98:N98" si="28">E92+E97</f>
        <v>7114.9000000000005</v>
      </c>
      <c r="F98" s="517">
        <f t="shared" si="28"/>
        <v>7282.4000000000005</v>
      </c>
      <c r="G98" s="517">
        <f t="shared" si="28"/>
        <v>7037.8000000000011</v>
      </c>
      <c r="H98" s="517">
        <f t="shared" si="28"/>
        <v>8962.3000000000011</v>
      </c>
      <c r="I98" s="517">
        <f t="shared" si="28"/>
        <v>8151.5</v>
      </c>
      <c r="J98" s="517">
        <f t="shared" si="28"/>
        <v>8172.4479247923227</v>
      </c>
      <c r="K98" s="517">
        <f t="shared" si="28"/>
        <v>8182.8251428068643</v>
      </c>
      <c r="L98" s="517">
        <f t="shared" si="28"/>
        <v>8191.101575756682</v>
      </c>
      <c r="M98" s="517">
        <f t="shared" si="28"/>
        <v>8199.0223735388827</v>
      </c>
      <c r="N98" s="517">
        <f t="shared" si="28"/>
        <v>8206.1929846431158</v>
      </c>
    </row>
    <row r="99" spans="2:17" x14ac:dyDescent="0.15">
      <c r="B99" s="435"/>
      <c r="E99" s="517"/>
      <c r="F99" s="517"/>
      <c r="G99" s="517"/>
      <c r="H99" s="517"/>
      <c r="I99" s="517"/>
      <c r="J99" s="517"/>
      <c r="K99" s="517"/>
      <c r="L99" s="517"/>
      <c r="M99" s="517"/>
      <c r="N99" s="517"/>
      <c r="Q99" s="502">
        <v>8548.9</v>
      </c>
    </row>
    <row r="100" spans="2:17" x14ac:dyDescent="0.15">
      <c r="B100" s="221" t="s">
        <v>148</v>
      </c>
      <c r="E100" s="8">
        <f>Sheet10!G98</f>
        <v>6545</v>
      </c>
      <c r="F100" s="8">
        <f>Sheet10!F98</f>
        <v>6928.6</v>
      </c>
      <c r="G100" s="8">
        <f>Sheet10!E98</f>
        <v>7483.4</v>
      </c>
      <c r="H100" s="8">
        <f>Sheet10!D98</f>
        <v>8118.6</v>
      </c>
      <c r="I100" s="8">
        <f>Sheet10!C98</f>
        <v>8525.1</v>
      </c>
      <c r="J100" s="8">
        <f>I100+J68+J123+J125</f>
        <v>9205.8350094501784</v>
      </c>
      <c r="K100" s="8">
        <f>J100+K68+K123+K125</f>
        <v>9887.0438018937566</v>
      </c>
      <c r="L100" s="8">
        <f>K100+L68+L123+L125</f>
        <v>10568.310134017969</v>
      </c>
      <c r="M100" s="8">
        <f>L100+M68+M123+M125</f>
        <v>11247.484196549185</v>
      </c>
      <c r="N100" s="8">
        <f>M100+N68+N123+N125</f>
        <v>11921.34421328974</v>
      </c>
      <c r="Q100" s="502">
        <v>8142.5</v>
      </c>
    </row>
    <row r="101" spans="2:17" x14ac:dyDescent="0.15">
      <c r="B101" s="221" t="s">
        <v>149</v>
      </c>
      <c r="Q101" s="502"/>
    </row>
    <row r="102" spans="2:17" x14ac:dyDescent="0.15">
      <c r="B102" s="221" t="s">
        <v>150</v>
      </c>
      <c r="E102" s="8">
        <f>Sheet10!G108</f>
        <v>22.7</v>
      </c>
      <c r="F102" s="8">
        <f>Sheet10!F108</f>
        <v>23.6</v>
      </c>
      <c r="G102" s="8">
        <f>Sheet10!E108</f>
        <v>24.5</v>
      </c>
      <c r="H102" s="8">
        <f>Sheet10!D108</f>
        <v>23.9</v>
      </c>
      <c r="I102" s="8">
        <f>Sheet10!C108</f>
        <v>23.8</v>
      </c>
      <c r="J102" s="8">
        <f>I102</f>
        <v>23.8</v>
      </c>
      <c r="K102" s="8">
        <f>J102</f>
        <v>23.8</v>
      </c>
      <c r="L102" s="8">
        <f>K102</f>
        <v>23.8</v>
      </c>
      <c r="M102" s="8">
        <f>L102</f>
        <v>23.8</v>
      </c>
      <c r="N102" s="8">
        <f>M102</f>
        <v>23.8</v>
      </c>
      <c r="Q102" s="502"/>
    </row>
    <row r="103" spans="2:17" x14ac:dyDescent="0.15">
      <c r="B103" s="221" t="s">
        <v>149</v>
      </c>
      <c r="Q103" s="502"/>
    </row>
    <row r="104" spans="2:17" x14ac:dyDescent="0.15">
      <c r="B104" s="435" t="s">
        <v>151</v>
      </c>
      <c r="E104" s="517">
        <f t="shared" ref="E104:N104" si="29">E100+E102</f>
        <v>6567.7</v>
      </c>
      <c r="F104" s="517">
        <f t="shared" si="29"/>
        <v>6952.2000000000007</v>
      </c>
      <c r="G104" s="517">
        <f t="shared" si="29"/>
        <v>7507.9</v>
      </c>
      <c r="H104" s="517">
        <f t="shared" si="29"/>
        <v>8142.5</v>
      </c>
      <c r="I104" s="517">
        <f t="shared" si="29"/>
        <v>8548.9</v>
      </c>
      <c r="J104" s="517">
        <f t="shared" si="29"/>
        <v>9229.6350094501777</v>
      </c>
      <c r="K104" s="517">
        <f t="shared" si="29"/>
        <v>9910.8438018937559</v>
      </c>
      <c r="L104" s="517">
        <f t="shared" si="29"/>
        <v>10592.110134017968</v>
      </c>
      <c r="M104" s="517">
        <f t="shared" si="29"/>
        <v>11271.284196549184</v>
      </c>
      <c r="N104" s="517">
        <f t="shared" si="29"/>
        <v>11945.144213289739</v>
      </c>
      <c r="Q104" s="502">
        <v>7507.9</v>
      </c>
    </row>
    <row r="105" spans="2:17" ht="17" customHeight="1" thickBot="1" x14ac:dyDescent="0.2">
      <c r="B105" s="435" t="s">
        <v>152</v>
      </c>
      <c r="E105" s="518">
        <f t="shared" ref="E105:N105" si="30">E98+E104</f>
        <v>13682.6</v>
      </c>
      <c r="F105" s="518">
        <f t="shared" si="30"/>
        <v>14234.600000000002</v>
      </c>
      <c r="G105" s="518">
        <f t="shared" si="30"/>
        <v>14545.7</v>
      </c>
      <c r="H105" s="518">
        <f t="shared" si="30"/>
        <v>17104.800000000003</v>
      </c>
      <c r="I105" s="518">
        <f t="shared" si="30"/>
        <v>16700.400000000001</v>
      </c>
      <c r="J105" s="518">
        <f t="shared" si="30"/>
        <v>17402.082934242499</v>
      </c>
      <c r="K105" s="518">
        <f t="shared" si="30"/>
        <v>18093.668944700621</v>
      </c>
      <c r="L105" s="518">
        <f t="shared" si="30"/>
        <v>18783.211709774652</v>
      </c>
      <c r="M105" s="518">
        <f t="shared" si="30"/>
        <v>19470.306570088069</v>
      </c>
      <c r="N105" s="518">
        <f t="shared" si="30"/>
        <v>20151.337197932855</v>
      </c>
      <c r="Q105" s="502">
        <v>6952.2</v>
      </c>
    </row>
    <row r="106" spans="2:17" ht="17" customHeight="1" thickTop="1" x14ac:dyDescent="0.15">
      <c r="B106" s="221" t="s">
        <v>153</v>
      </c>
      <c r="E106" s="519">
        <f t="shared" ref="E106:N106" si="31">E85-E105</f>
        <v>0</v>
      </c>
      <c r="F106" s="519">
        <f t="shared" si="31"/>
        <v>0</v>
      </c>
      <c r="G106" s="519">
        <f t="shared" si="31"/>
        <v>0</v>
      </c>
      <c r="H106" s="519">
        <f t="shared" si="31"/>
        <v>0</v>
      </c>
      <c r="I106" s="519">
        <f t="shared" si="31"/>
        <v>0</v>
      </c>
      <c r="J106" s="519">
        <f t="shared" si="31"/>
        <v>0</v>
      </c>
      <c r="K106" s="519">
        <f t="shared" si="31"/>
        <v>0</v>
      </c>
      <c r="L106" s="519">
        <f t="shared" si="31"/>
        <v>0</v>
      </c>
      <c r="M106" s="519">
        <f t="shared" si="31"/>
        <v>0</v>
      </c>
      <c r="N106" s="519">
        <f t="shared" si="31"/>
        <v>0</v>
      </c>
      <c r="Q106" s="502">
        <v>6567.7</v>
      </c>
    </row>
    <row r="107" spans="2:17" x14ac:dyDescent="0.15">
      <c r="B107" s="436" t="s">
        <v>154</v>
      </c>
      <c r="E107" s="520">
        <f t="shared" ref="E107:N107" si="32">(E89+E94)/E104</f>
        <v>0.60537174353274359</v>
      </c>
      <c r="F107" s="520">
        <f t="shared" si="32"/>
        <v>0.58007537182474611</v>
      </c>
      <c r="G107" s="520">
        <f t="shared" si="32"/>
        <v>0.52037187495837722</v>
      </c>
      <c r="H107" s="520">
        <f t="shared" si="32"/>
        <v>0.65431992631255764</v>
      </c>
      <c r="I107" s="520">
        <f t="shared" si="32"/>
        <v>0.51151610148674098</v>
      </c>
      <c r="J107" s="520">
        <f t="shared" si="32"/>
        <v>0.47378904967776181</v>
      </c>
      <c r="K107" s="520">
        <f t="shared" si="32"/>
        <v>0.44122378350513702</v>
      </c>
      <c r="L107" s="520">
        <f t="shared" si="32"/>
        <v>0.41284502754138203</v>
      </c>
      <c r="M107" s="520">
        <f t="shared" si="32"/>
        <v>0.38796821406905935</v>
      </c>
      <c r="N107" s="520">
        <f t="shared" si="32"/>
        <v>0.36608180880184499</v>
      </c>
    </row>
    <row r="109" spans="2:17" x14ac:dyDescent="0.15">
      <c r="B109" s="670" t="s">
        <v>155</v>
      </c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</row>
    <row r="110" spans="2:17" x14ac:dyDescent="0.15">
      <c r="B110" s="24" t="s">
        <v>45</v>
      </c>
      <c r="C110" s="24"/>
      <c r="D110" s="24"/>
      <c r="E110" s="24" t="s">
        <v>76</v>
      </c>
      <c r="F110" s="24" t="s">
        <v>77</v>
      </c>
      <c r="G110" s="24" t="s">
        <v>78</v>
      </c>
      <c r="H110" s="24" t="s">
        <v>79</v>
      </c>
      <c r="I110" s="24" t="s">
        <v>80</v>
      </c>
      <c r="J110" s="24" t="s">
        <v>51</v>
      </c>
      <c r="K110" s="24" t="s">
        <v>52</v>
      </c>
      <c r="L110" s="24" t="s">
        <v>53</v>
      </c>
      <c r="M110" s="24" t="s">
        <v>54</v>
      </c>
      <c r="N110" s="24" t="s">
        <v>55</v>
      </c>
    </row>
    <row r="111" spans="2:17" x14ac:dyDescent="0.15">
      <c r="B111" s="437" t="s">
        <v>156</v>
      </c>
    </row>
    <row r="112" spans="2:17" x14ac:dyDescent="0.15">
      <c r="B112" s="221" t="s">
        <v>73</v>
      </c>
      <c r="E112" s="521">
        <f t="shared" ref="E112:N112" si="33">E68</f>
        <v>746.19999999999993</v>
      </c>
      <c r="F112" s="521">
        <f t="shared" si="33"/>
        <v>683.10000000000082</v>
      </c>
      <c r="G112" s="521">
        <f t="shared" si="33"/>
        <v>967.50000000000011</v>
      </c>
      <c r="H112" s="521">
        <f t="shared" si="33"/>
        <v>1020.3000000000001</v>
      </c>
      <c r="I112" s="521">
        <f t="shared" si="33"/>
        <v>1071.8000000000004</v>
      </c>
      <c r="J112" s="521">
        <f t="shared" si="33"/>
        <v>1002.5572542501773</v>
      </c>
      <c r="K112" s="521">
        <f t="shared" si="33"/>
        <v>1028.776816827577</v>
      </c>
      <c r="L112" s="521">
        <f t="shared" si="33"/>
        <v>1049.6884379712519</v>
      </c>
      <c r="M112" s="521">
        <f t="shared" si="33"/>
        <v>1069.7014947290786</v>
      </c>
      <c r="N112" s="521">
        <f t="shared" si="33"/>
        <v>1087.8190948702895</v>
      </c>
    </row>
    <row r="113" spans="2:14" x14ac:dyDescent="0.15">
      <c r="B113" s="221" t="s">
        <v>157</v>
      </c>
      <c r="E113" s="521">
        <f t="shared" ref="E113:N113" si="34">E58</f>
        <v>463</v>
      </c>
      <c r="F113" s="521">
        <f t="shared" si="34"/>
        <v>587.5</v>
      </c>
      <c r="G113" s="521">
        <f t="shared" si="34"/>
        <v>617</v>
      </c>
      <c r="H113" s="521">
        <f t="shared" si="34"/>
        <v>632.20000000000005</v>
      </c>
      <c r="I113" s="521">
        <f t="shared" si="34"/>
        <v>748.5</v>
      </c>
      <c r="J113" s="521">
        <f t="shared" si="34"/>
        <v>790.17112555069536</v>
      </c>
      <c r="K113" s="521">
        <f t="shared" si="34"/>
        <v>783.90234684012091</v>
      </c>
      <c r="L113" s="521">
        <f t="shared" si="34"/>
        <v>779.68983339271733</v>
      </c>
      <c r="M113" s="521">
        <f t="shared" si="34"/>
        <v>777.04556717804815</v>
      </c>
      <c r="N113" s="521">
        <f t="shared" si="34"/>
        <v>775.77573190417547</v>
      </c>
    </row>
    <row r="114" spans="2:14" x14ac:dyDescent="0.15">
      <c r="B114" s="221" t="s">
        <v>158</v>
      </c>
      <c r="E114" s="521">
        <f t="shared" ref="E114:N114" si="35">E150</f>
        <v>0</v>
      </c>
      <c r="F114" s="521">
        <f t="shared" si="35"/>
        <v>175.59999999999991</v>
      </c>
      <c r="G114" s="521">
        <f t="shared" si="35"/>
        <v>-55.199999999999818</v>
      </c>
      <c r="H114" s="521">
        <f t="shared" si="35"/>
        <v>52.199999999999818</v>
      </c>
      <c r="I114" s="521">
        <f t="shared" si="35"/>
        <v>-37.399999999999864</v>
      </c>
      <c r="J114" s="521">
        <f t="shared" si="35"/>
        <v>138.46059955756687</v>
      </c>
      <c r="K114" s="521">
        <f t="shared" si="35"/>
        <v>28.64302635605236</v>
      </c>
      <c r="L114" s="521">
        <f t="shared" si="35"/>
        <v>22.84447399905639</v>
      </c>
      <c r="M114" s="521">
        <f t="shared" si="35"/>
        <v>21.862855663111532</v>
      </c>
      <c r="N114" s="521">
        <f t="shared" si="35"/>
        <v>19.792202742560221</v>
      </c>
    </row>
    <row r="115" spans="2:14" x14ac:dyDescent="0.15">
      <c r="B115" s="435" t="s">
        <v>159</v>
      </c>
      <c r="E115" s="522">
        <f>Sheet10!G393</f>
        <v>1011.9</v>
      </c>
      <c r="F115" s="522">
        <f>Sheet10!F393</f>
        <v>1148.2</v>
      </c>
      <c r="G115" s="522">
        <f>Sheet10!E393</f>
        <v>1536.8</v>
      </c>
      <c r="H115" s="522">
        <f>Sheet10!D393</f>
        <v>1409.6</v>
      </c>
      <c r="I115" s="522">
        <f>Sheet10!C393</f>
        <v>1813</v>
      </c>
      <c r="J115" s="522">
        <f>J112+J113-J114</f>
        <v>1654.2677802433057</v>
      </c>
      <c r="K115" s="522">
        <f>K112+K113-K114</f>
        <v>1784.0361373116457</v>
      </c>
      <c r="L115" s="522">
        <f>L112+L113-L114</f>
        <v>1806.533797364913</v>
      </c>
      <c r="M115" s="522">
        <f>M112+M113-M114</f>
        <v>1824.8842062440153</v>
      </c>
      <c r="N115" s="522">
        <f>N112+N113-N114</f>
        <v>1843.8026240319048</v>
      </c>
    </row>
    <row r="117" spans="2:14" x14ac:dyDescent="0.15">
      <c r="B117" s="437" t="s">
        <v>160</v>
      </c>
    </row>
    <row r="118" spans="2:14" x14ac:dyDescent="0.15">
      <c r="B118" s="221" t="s">
        <v>161</v>
      </c>
      <c r="E118" s="521">
        <f t="shared" ref="E118:N118" si="36">-E156</f>
        <v>-451.3</v>
      </c>
      <c r="F118" s="521">
        <f t="shared" si="36"/>
        <v>-612.6</v>
      </c>
      <c r="G118" s="521">
        <f t="shared" si="36"/>
        <v>-872.6</v>
      </c>
      <c r="H118" s="521">
        <f t="shared" si="36"/>
        <v>-603.5</v>
      </c>
      <c r="I118" s="521">
        <f t="shared" si="36"/>
        <v>-677.7</v>
      </c>
      <c r="J118" s="521">
        <f t="shared" si="36"/>
        <v>-721.38736904393636</v>
      </c>
      <c r="K118" s="521">
        <f t="shared" si="36"/>
        <v>-737.6808238568816</v>
      </c>
      <c r="L118" s="521">
        <f t="shared" si="36"/>
        <v>-750.67579862673449</v>
      </c>
      <c r="M118" s="521">
        <f t="shared" si="36"/>
        <v>-763.11238428639115</v>
      </c>
      <c r="N118" s="521">
        <f t="shared" si="36"/>
        <v>-774.37108848286346</v>
      </c>
    </row>
    <row r="119" spans="2:14" x14ac:dyDescent="0.15">
      <c r="B119" s="221" t="s">
        <v>162</v>
      </c>
      <c r="E119" s="521">
        <f>Sheet10!G400</f>
        <v>-1639.4</v>
      </c>
      <c r="F119" s="521">
        <f>Sheet10!F400</f>
        <v>-479.2</v>
      </c>
      <c r="G119" s="521">
        <f>Sheet10!E400</f>
        <v>614.5</v>
      </c>
      <c r="H119" s="521">
        <f>Sheet10!D400</f>
        <v>-2266</v>
      </c>
      <c r="I119" s="521">
        <f>Sheet10!C400</f>
        <v>113.9</v>
      </c>
      <c r="J119" s="521">
        <f>0</f>
        <v>0</v>
      </c>
      <c r="K119" s="521">
        <f>0</f>
        <v>0</v>
      </c>
      <c r="L119" s="521">
        <f>0</f>
        <v>0</v>
      </c>
      <c r="M119" s="521">
        <f>0</f>
        <v>0</v>
      </c>
      <c r="N119" s="521">
        <f>0</f>
        <v>0</v>
      </c>
    </row>
    <row r="120" spans="2:14" x14ac:dyDescent="0.15">
      <c r="B120" s="435" t="s">
        <v>163</v>
      </c>
      <c r="E120" s="522">
        <f t="shared" ref="E120:N120" si="37">E118+E119</f>
        <v>-2090.7000000000003</v>
      </c>
      <c r="F120" s="522">
        <f t="shared" si="37"/>
        <v>-1091.8</v>
      </c>
      <c r="G120" s="522">
        <f t="shared" si="37"/>
        <v>-258.10000000000002</v>
      </c>
      <c r="H120" s="522">
        <f t="shared" si="37"/>
        <v>-2869.5</v>
      </c>
      <c r="I120" s="522">
        <f t="shared" si="37"/>
        <v>-563.80000000000007</v>
      </c>
      <c r="J120" s="522">
        <f t="shared" si="37"/>
        <v>-721.38736904393636</v>
      </c>
      <c r="K120" s="522">
        <f t="shared" si="37"/>
        <v>-737.6808238568816</v>
      </c>
      <c r="L120" s="522">
        <f t="shared" si="37"/>
        <v>-750.67579862673449</v>
      </c>
      <c r="M120" s="522">
        <f t="shared" si="37"/>
        <v>-763.11238428639115</v>
      </c>
      <c r="N120" s="522">
        <f t="shared" si="37"/>
        <v>-774.37108848286346</v>
      </c>
    </row>
    <row r="121" spans="2:14" x14ac:dyDescent="0.15">
      <c r="B121" s="8" t="s">
        <v>164</v>
      </c>
    </row>
    <row r="122" spans="2:14" x14ac:dyDescent="0.15">
      <c r="B122" s="437" t="s">
        <v>165</v>
      </c>
      <c r="E122" s="495">
        <f>Sheet10!G421</f>
        <v>-32.700000000000003</v>
      </c>
      <c r="F122" s="495">
        <f>Sheet10!F421</f>
        <v>-21.1</v>
      </c>
      <c r="G122" s="495">
        <f>Sheet10!E421</f>
        <v>-25.9</v>
      </c>
      <c r="H122" s="495">
        <f>Sheet10!D421</f>
        <v>-66.400000000000006</v>
      </c>
      <c r="I122" s="495">
        <f>Sheet10!C421</f>
        <v>-35.6</v>
      </c>
      <c r="J122" s="495">
        <f>0</f>
        <v>0</v>
      </c>
      <c r="K122" s="495">
        <f>0</f>
        <v>0</v>
      </c>
      <c r="L122" s="495">
        <f>0</f>
        <v>0</v>
      </c>
      <c r="M122" s="495">
        <f>0</f>
        <v>0</v>
      </c>
      <c r="N122" s="495">
        <f>0</f>
        <v>0</v>
      </c>
    </row>
    <row r="123" spans="2:14" x14ac:dyDescent="0.15">
      <c r="B123" s="221" t="s">
        <v>166</v>
      </c>
      <c r="E123" s="521">
        <f>-Sheet10!G406</f>
        <v>-196.4</v>
      </c>
      <c r="F123" s="521">
        <f>-Sheet10!F406</f>
        <v>-212.6</v>
      </c>
      <c r="G123" s="521">
        <f>-Sheet10!E406</f>
        <v>-228.4</v>
      </c>
      <c r="H123" s="521">
        <f>-Sheet10!D406</f>
        <v>-244.4</v>
      </c>
      <c r="I123" s="521">
        <f>-Sheet10!C406</f>
        <v>-259.8</v>
      </c>
      <c r="J123" s="521">
        <f>-'7. DDM_Valuation'!D76*'7. DDM_Valuation'!$C$62</f>
        <v>-321.82224480000008</v>
      </c>
      <c r="K123" s="521">
        <f>-'7. DDM_Valuation'!E76*'7. DDM_Valuation'!$C$62</f>
        <v>-347.56802438400007</v>
      </c>
      <c r="L123" s="521">
        <f>-'7. DDM_Valuation'!F76*'7. DDM_Valuation'!$C$62</f>
        <v>-368.42210584704014</v>
      </c>
      <c r="M123" s="521">
        <f>-'7. DDM_Valuation'!G76*'7. DDM_Valuation'!$C$62</f>
        <v>-390.52743219786259</v>
      </c>
      <c r="N123" s="521">
        <f>-'7. DDM_Valuation'!H76*'7. DDM_Valuation'!$C$62</f>
        <v>-413.95907812973439</v>
      </c>
    </row>
    <row r="124" spans="2:14" x14ac:dyDescent="0.15">
      <c r="B124" s="221" t="s">
        <v>167</v>
      </c>
      <c r="E124" s="498">
        <f t="shared" ref="E124:N124" si="38">IFERROR(E123/E68,0)</f>
        <v>-0.26320021441972663</v>
      </c>
      <c r="F124" s="498">
        <f t="shared" si="38"/>
        <v>-0.31122822427170216</v>
      </c>
      <c r="G124" s="498">
        <f t="shared" si="38"/>
        <v>-0.2360723514211886</v>
      </c>
      <c r="H124" s="498">
        <f t="shared" si="38"/>
        <v>-0.23953739096344212</v>
      </c>
      <c r="I124" s="498">
        <f t="shared" si="38"/>
        <v>-0.24239596939727553</v>
      </c>
      <c r="J124" s="498">
        <f t="shared" si="38"/>
        <v>-0.32100136270092045</v>
      </c>
      <c r="K124" s="498">
        <f t="shared" si="38"/>
        <v>-0.33784589494910094</v>
      </c>
      <c r="L124" s="498">
        <f t="shared" si="38"/>
        <v>-0.35098234154040497</v>
      </c>
      <c r="M124" s="498">
        <f t="shared" si="38"/>
        <v>-0.36508075769004211</v>
      </c>
      <c r="N124" s="498">
        <f t="shared" si="38"/>
        <v>-0.38054036749473907</v>
      </c>
    </row>
    <row r="125" spans="2:14" x14ac:dyDescent="0.15">
      <c r="B125" s="221" t="s">
        <v>168</v>
      </c>
      <c r="E125" s="521">
        <f>Sheet10!G408</f>
        <v>0</v>
      </c>
      <c r="F125" s="521">
        <f>Sheet10!F408</f>
        <v>0</v>
      </c>
      <c r="G125" s="521">
        <f>Sheet10!E408</f>
        <v>-200</v>
      </c>
      <c r="H125" s="521">
        <f>Sheet10!D408</f>
        <v>-68.8</v>
      </c>
      <c r="I125" s="521">
        <f>Sheet10!C408</f>
        <v>-438.4</v>
      </c>
      <c r="J125" s="521">
        <f>0</f>
        <v>0</v>
      </c>
      <c r="K125" s="521">
        <f>0</f>
        <v>0</v>
      </c>
      <c r="L125" s="521">
        <f>0</f>
        <v>0</v>
      </c>
      <c r="M125" s="521">
        <f>0</f>
        <v>0</v>
      </c>
      <c r="N125" s="521">
        <f>0</f>
        <v>0</v>
      </c>
    </row>
    <row r="126" spans="2:14" x14ac:dyDescent="0.15">
      <c r="B126" s="221" t="s">
        <v>169</v>
      </c>
      <c r="E126" s="521">
        <f>Sheet10!G412</f>
        <v>134.80000000000001</v>
      </c>
      <c r="F126" s="521">
        <f>Sheet10!F412</f>
        <v>58.5</v>
      </c>
      <c r="G126" s="521">
        <f>Sheet10!E412</f>
        <v>-131.30000000000001</v>
      </c>
      <c r="H126" s="521">
        <f>Sheet10!D412</f>
        <v>1436.5</v>
      </c>
      <c r="I126" s="521">
        <f>Sheet10!C412</f>
        <v>-961.4</v>
      </c>
      <c r="J126" s="521">
        <f>J167</f>
        <v>0</v>
      </c>
      <c r="K126" s="521">
        <f>K167</f>
        <v>0</v>
      </c>
      <c r="L126" s="521">
        <f>L167</f>
        <v>0</v>
      </c>
      <c r="M126" s="521">
        <f>M167</f>
        <v>0</v>
      </c>
      <c r="N126" s="521">
        <f>N167</f>
        <v>0</v>
      </c>
    </row>
    <row r="127" spans="2:14" x14ac:dyDescent="0.15">
      <c r="B127" s="221" t="s">
        <v>170</v>
      </c>
      <c r="E127" s="521">
        <f t="shared" ref="E127:N127" si="39">E122+E123+E125+E126</f>
        <v>-94.300000000000011</v>
      </c>
      <c r="F127" s="521">
        <f t="shared" si="39"/>
        <v>-175.2</v>
      </c>
      <c r="G127" s="521">
        <f t="shared" si="39"/>
        <v>-585.6</v>
      </c>
      <c r="H127" s="521">
        <f t="shared" si="39"/>
        <v>1056.9000000000001</v>
      </c>
      <c r="I127" s="521">
        <f t="shared" si="39"/>
        <v>-1695.1999999999998</v>
      </c>
      <c r="J127" s="521">
        <f t="shared" si="39"/>
        <v>-321.82224480000008</v>
      </c>
      <c r="K127" s="521">
        <f t="shared" si="39"/>
        <v>-347.56802438400007</v>
      </c>
      <c r="L127" s="521">
        <f t="shared" si="39"/>
        <v>-368.42210584704014</v>
      </c>
      <c r="M127" s="521">
        <f t="shared" si="39"/>
        <v>-390.52743219786259</v>
      </c>
      <c r="N127" s="521">
        <f t="shared" si="39"/>
        <v>-413.95907812973439</v>
      </c>
    </row>
    <row r="128" spans="2:14" x14ac:dyDescent="0.15">
      <c r="B128" s="435" t="s">
        <v>171</v>
      </c>
      <c r="E128" s="522">
        <f t="shared" ref="E128:N128" si="40">E115+E120+E127</f>
        <v>-1173.1000000000001</v>
      </c>
      <c r="F128" s="522">
        <f t="shared" si="40"/>
        <v>-118.7999999999999</v>
      </c>
      <c r="G128" s="522">
        <f t="shared" si="40"/>
        <v>693.0999999999998</v>
      </c>
      <c r="H128" s="522">
        <f t="shared" si="40"/>
        <v>-403</v>
      </c>
      <c r="I128" s="522">
        <f t="shared" si="40"/>
        <v>-446</v>
      </c>
      <c r="J128" s="522">
        <f t="shared" si="40"/>
        <v>611.05816639936916</v>
      </c>
      <c r="K128" s="522">
        <f t="shared" si="40"/>
        <v>698.78728907076413</v>
      </c>
      <c r="L128" s="522">
        <f t="shared" si="40"/>
        <v>687.43589289113845</v>
      </c>
      <c r="M128" s="522">
        <f t="shared" si="40"/>
        <v>671.24438975976148</v>
      </c>
      <c r="N128" s="522">
        <f t="shared" si="40"/>
        <v>655.47245741930681</v>
      </c>
    </row>
    <row r="129" spans="2:15" x14ac:dyDescent="0.15">
      <c r="B129" s="435" t="s">
        <v>172</v>
      </c>
      <c r="E129" s="522">
        <f>E130-E128</f>
        <v>1408.1000000000001</v>
      </c>
      <c r="F129" s="522">
        <f t="shared" ref="F129:N129" si="41">E130</f>
        <v>235</v>
      </c>
      <c r="G129" s="522">
        <f t="shared" si="41"/>
        <v>161.4</v>
      </c>
      <c r="H129" s="522">
        <f t="shared" si="41"/>
        <v>931.1</v>
      </c>
      <c r="I129" s="522">
        <f t="shared" si="41"/>
        <v>559.70000000000005</v>
      </c>
      <c r="J129" s="522">
        <f t="shared" si="41"/>
        <v>183.3</v>
      </c>
      <c r="K129" s="522">
        <f t="shared" si="41"/>
        <v>794.35816639936911</v>
      </c>
      <c r="L129" s="522">
        <f t="shared" si="41"/>
        <v>1493.1454554701331</v>
      </c>
      <c r="M129" s="522">
        <f t="shared" si="41"/>
        <v>2180.5813483612715</v>
      </c>
      <c r="N129" s="522">
        <f t="shared" si="41"/>
        <v>2851.8257381210328</v>
      </c>
    </row>
    <row r="130" spans="2:15" x14ac:dyDescent="0.15">
      <c r="B130" s="221" t="s">
        <v>173</v>
      </c>
      <c r="E130" s="523">
        <f>E73</f>
        <v>235</v>
      </c>
      <c r="F130" s="521">
        <f>F73</f>
        <v>161.4</v>
      </c>
      <c r="G130" s="521">
        <f>G73</f>
        <v>931.1</v>
      </c>
      <c r="H130" s="521">
        <f>H73</f>
        <v>559.70000000000005</v>
      </c>
      <c r="I130" s="521">
        <f>I73</f>
        <v>183.3</v>
      </c>
      <c r="J130" s="521">
        <f>J129+J128</f>
        <v>794.35816639936911</v>
      </c>
      <c r="K130" s="521">
        <f>K129+K128</f>
        <v>1493.1454554701331</v>
      </c>
      <c r="L130" s="521">
        <f>L129+L128</f>
        <v>2180.5813483612715</v>
      </c>
      <c r="M130" s="521">
        <f>M129+M128</f>
        <v>2851.8257381210328</v>
      </c>
      <c r="N130" s="521">
        <f>N129+N128</f>
        <v>3507.2981955403397</v>
      </c>
    </row>
    <row r="131" spans="2:15" ht="17" customHeight="1" thickBot="1" x14ac:dyDescent="0.2">
      <c r="B131" s="435"/>
      <c r="E131" s="524"/>
      <c r="F131" s="524"/>
      <c r="G131" s="524"/>
      <c r="H131" s="524"/>
      <c r="I131" s="524"/>
      <c r="J131" s="524"/>
      <c r="K131" s="524"/>
      <c r="L131" s="524"/>
      <c r="M131" s="524"/>
      <c r="N131" s="524"/>
    </row>
    <row r="132" spans="2:15" ht="17" customHeight="1" thickTop="1" x14ac:dyDescent="0.15"/>
    <row r="133" spans="2:15" x14ac:dyDescent="0.15">
      <c r="B133" s="437" t="s">
        <v>174</v>
      </c>
      <c r="E133" s="522">
        <f>E56*(1-E67)+E58+E118-E114</f>
        <v>772.48807989009833</v>
      </c>
      <c r="F133" s="522">
        <f>F56*(1-F67)+F58+F118-F114</f>
        <v>602.00682570482911</v>
      </c>
      <c r="G133" s="522">
        <f>G56*(1-G67)+G58+G118-G114</f>
        <v>809.33123372010402</v>
      </c>
      <c r="H133" s="522">
        <f>H56*(1-H67)+H58+H118-H114</f>
        <v>1096.5273649445626</v>
      </c>
      <c r="I133" s="522">
        <f>I56*(1-I67)+I58+I118-I114</f>
        <v>1295.0827086203149</v>
      </c>
      <c r="J133" s="522">
        <f>J56*(1-$R$47)+J58+J118-J114</f>
        <v>1091.1856923867751</v>
      </c>
      <c r="K133" s="522">
        <f>K56*(1-$R$47)+K58+K118-K114</f>
        <v>1204.6605946421701</v>
      </c>
      <c r="L133" s="522">
        <f>L56*(1-$R$47)+L58+L118-L114</f>
        <v>1214.163279925584</v>
      </c>
      <c r="M133" s="522">
        <f>M56*(1-$R$47)+M58+M118-M114</f>
        <v>1220.0771031450295</v>
      </c>
      <c r="N133" s="522">
        <f>N56*(1-$R$47)+N58+N118-N114</f>
        <v>1227.7368167364471</v>
      </c>
    </row>
    <row r="134" spans="2:15" x14ac:dyDescent="0.15">
      <c r="B134" s="436" t="s">
        <v>175</v>
      </c>
      <c r="E134" s="525">
        <f t="shared" ref="E134:N134" si="42">E133/E47</f>
        <v>0.1393050114313199</v>
      </c>
      <c r="F134" s="525">
        <f t="shared" si="42"/>
        <v>8.2295333785108962E-2</v>
      </c>
      <c r="G134" s="525">
        <f t="shared" si="42"/>
        <v>0.10400175197832201</v>
      </c>
      <c r="H134" s="525">
        <f t="shared" si="42"/>
        <v>0.14782778323778076</v>
      </c>
      <c r="I134" s="525">
        <f t="shared" si="42"/>
        <v>0.16308605969202186</v>
      </c>
      <c r="J134" s="525">
        <f t="shared" si="42"/>
        <v>0.13430896012481533</v>
      </c>
      <c r="K134" s="525">
        <f t="shared" si="42"/>
        <v>0.1450010236020107</v>
      </c>
      <c r="L134" s="525">
        <f t="shared" si="42"/>
        <v>0.14361491226962589</v>
      </c>
      <c r="M134" s="525">
        <f t="shared" si="42"/>
        <v>0.14196249807642622</v>
      </c>
      <c r="N134" s="525">
        <f t="shared" si="42"/>
        <v>0.14077677342693445</v>
      </c>
    </row>
    <row r="135" spans="2:15" x14ac:dyDescent="0.15">
      <c r="B135" s="437" t="s">
        <v>176</v>
      </c>
      <c r="E135" s="522">
        <f t="shared" ref="E135:N135" si="43">E68+E58+E118-E114+E126</f>
        <v>892.69999999999982</v>
      </c>
      <c r="F135" s="522">
        <f t="shared" si="43"/>
        <v>540.90000000000089</v>
      </c>
      <c r="G135" s="522">
        <f t="shared" si="43"/>
        <v>635.79999999999973</v>
      </c>
      <c r="H135" s="522">
        <f t="shared" si="43"/>
        <v>2433.3000000000002</v>
      </c>
      <c r="I135" s="522">
        <f t="shared" si="43"/>
        <v>218.60000000000025</v>
      </c>
      <c r="J135" s="522">
        <f t="shared" si="43"/>
        <v>932.88041119936929</v>
      </c>
      <c r="K135" s="522">
        <f t="shared" si="43"/>
        <v>1046.3553134547642</v>
      </c>
      <c r="L135" s="522">
        <f t="shared" si="43"/>
        <v>1055.8579987381786</v>
      </c>
      <c r="M135" s="522">
        <f t="shared" si="43"/>
        <v>1061.7718219576241</v>
      </c>
      <c r="N135" s="522">
        <f t="shared" si="43"/>
        <v>1069.4315355490412</v>
      </c>
    </row>
    <row r="136" spans="2:15" x14ac:dyDescent="0.15">
      <c r="B136" s="670" t="s">
        <v>177</v>
      </c>
      <c r="C136" s="661"/>
      <c r="D136" s="661"/>
      <c r="E136" s="661"/>
      <c r="F136" s="661"/>
      <c r="G136" s="661"/>
      <c r="H136" s="661"/>
      <c r="I136" s="661"/>
      <c r="J136" s="661"/>
      <c r="K136" s="661"/>
      <c r="L136" s="661"/>
      <c r="M136" s="661"/>
      <c r="N136" s="661"/>
    </row>
    <row r="138" spans="2:15" x14ac:dyDescent="0.15">
      <c r="B138" s="24" t="s">
        <v>45</v>
      </c>
      <c r="C138" s="24"/>
      <c r="D138" s="24"/>
      <c r="E138" s="24" t="s">
        <v>76</v>
      </c>
      <c r="F138" s="24" t="s">
        <v>77</v>
      </c>
      <c r="G138" s="24" t="s">
        <v>78</v>
      </c>
      <c r="H138" s="24" t="s">
        <v>79</v>
      </c>
      <c r="I138" s="24" t="s">
        <v>80</v>
      </c>
      <c r="J138" s="24" t="s">
        <v>51</v>
      </c>
      <c r="K138" s="24" t="s">
        <v>52</v>
      </c>
      <c r="L138" s="24" t="s">
        <v>53</v>
      </c>
      <c r="M138" s="24" t="s">
        <v>54</v>
      </c>
      <c r="N138" s="24" t="s">
        <v>55</v>
      </c>
    </row>
    <row r="139" spans="2:15" x14ac:dyDescent="0.15">
      <c r="B139" s="437" t="s">
        <v>178</v>
      </c>
    </row>
    <row r="140" spans="2:15" x14ac:dyDescent="0.15">
      <c r="B140" s="221" t="s">
        <v>179</v>
      </c>
      <c r="E140" s="526">
        <f t="shared" ref="E140:N140" si="44">E74/E47*365</f>
        <v>55.204497502389408</v>
      </c>
      <c r="F140" s="526">
        <f t="shared" si="44"/>
        <v>52.156400371828518</v>
      </c>
      <c r="G140" s="526">
        <f t="shared" si="44"/>
        <v>41.730232976522451</v>
      </c>
      <c r="H140" s="526">
        <f t="shared" si="44"/>
        <v>43.907665552200172</v>
      </c>
      <c r="I140" s="526">
        <f t="shared" si="44"/>
        <v>40.801715127627155</v>
      </c>
      <c r="J140" s="526">
        <f t="shared" si="44"/>
        <v>46.760102306113531</v>
      </c>
      <c r="K140" s="526">
        <f t="shared" si="44"/>
        <v>46.760102306113531</v>
      </c>
      <c r="L140" s="526">
        <f t="shared" si="44"/>
        <v>46.760102306113531</v>
      </c>
      <c r="M140" s="526">
        <f t="shared" si="44"/>
        <v>46.760102306113531</v>
      </c>
      <c r="N140" s="526">
        <f t="shared" si="44"/>
        <v>46.760102306113538</v>
      </c>
      <c r="O140" s="527">
        <f>AVERAGE(E140:I140)</f>
        <v>46.760102306113538</v>
      </c>
    </row>
    <row r="141" spans="2:15" x14ac:dyDescent="0.15">
      <c r="B141" s="221" t="s">
        <v>180</v>
      </c>
      <c r="E141" s="526">
        <f t="shared" ref="E141:N141" si="45">E75/E48*365</f>
        <v>45.53328706805781</v>
      </c>
      <c r="F141" s="526">
        <f t="shared" si="45"/>
        <v>36.725054277029955</v>
      </c>
      <c r="G141" s="526">
        <f t="shared" si="45"/>
        <v>38.518531216786101</v>
      </c>
      <c r="H141" s="526">
        <f t="shared" si="45"/>
        <v>45.930676805522218</v>
      </c>
      <c r="I141" s="526">
        <f t="shared" si="45"/>
        <v>43.073354721234715</v>
      </c>
      <c r="J141" s="526">
        <f t="shared" si="45"/>
        <v>41.956180817726157</v>
      </c>
      <c r="K141" s="526">
        <f t="shared" si="45"/>
        <v>41.956180817726164</v>
      </c>
      <c r="L141" s="526">
        <f t="shared" si="45"/>
        <v>41.95618081772615</v>
      </c>
      <c r="M141" s="526">
        <f t="shared" si="45"/>
        <v>41.956180817726157</v>
      </c>
      <c r="N141" s="526">
        <f t="shared" si="45"/>
        <v>41.95618081772615</v>
      </c>
      <c r="O141" s="527">
        <f>AVERAGE(E141:I141)</f>
        <v>41.956180817726157</v>
      </c>
    </row>
    <row r="142" spans="2:15" x14ac:dyDescent="0.15">
      <c r="B142" s="221" t="s">
        <v>181</v>
      </c>
      <c r="E142" s="526">
        <f t="shared" ref="E142:N142" si="46">E87/E48*365</f>
        <v>31.924834880827031</v>
      </c>
      <c r="F142" s="526">
        <f t="shared" si="46"/>
        <v>28.813287016934435</v>
      </c>
      <c r="G142" s="526">
        <f t="shared" si="46"/>
        <v>24.427606541639523</v>
      </c>
      <c r="H142" s="526">
        <f t="shared" si="46"/>
        <v>27.418283161994054</v>
      </c>
      <c r="I142" s="526">
        <f t="shared" si="46"/>
        <v>27.755570970259257</v>
      </c>
      <c r="J142" s="526">
        <f t="shared" si="46"/>
        <v>28.067916514330864</v>
      </c>
      <c r="K142" s="526">
        <f t="shared" si="46"/>
        <v>28.067916514330864</v>
      </c>
      <c r="L142" s="526">
        <f t="shared" si="46"/>
        <v>28.067916514330864</v>
      </c>
      <c r="M142" s="526">
        <f t="shared" si="46"/>
        <v>28.067916514330868</v>
      </c>
      <c r="N142" s="526">
        <f t="shared" si="46"/>
        <v>28.067916514330864</v>
      </c>
      <c r="O142" s="527">
        <f>AVERAGE(E142:I142)</f>
        <v>28.067916514330864</v>
      </c>
    </row>
    <row r="143" spans="2:15" x14ac:dyDescent="0.15">
      <c r="B143" s="435" t="s">
        <v>182</v>
      </c>
      <c r="E143" s="528">
        <f t="shared" ref="E143:N143" si="47">E140+E141-E142</f>
        <v>68.812949689620183</v>
      </c>
      <c r="F143" s="528">
        <f t="shared" si="47"/>
        <v>60.068167631924027</v>
      </c>
      <c r="G143" s="528">
        <f t="shared" si="47"/>
        <v>55.821157651669026</v>
      </c>
      <c r="H143" s="528">
        <f t="shared" si="47"/>
        <v>62.420059195728328</v>
      </c>
      <c r="I143" s="528">
        <f t="shared" si="47"/>
        <v>56.119498878602613</v>
      </c>
      <c r="J143" s="528">
        <f t="shared" si="47"/>
        <v>60.648366609508827</v>
      </c>
      <c r="K143" s="528">
        <f t="shared" si="47"/>
        <v>60.648366609508841</v>
      </c>
      <c r="L143" s="528">
        <f t="shared" si="47"/>
        <v>60.648366609508813</v>
      </c>
      <c r="M143" s="528">
        <f t="shared" si="47"/>
        <v>60.64836660950882</v>
      </c>
      <c r="N143" s="528">
        <f t="shared" si="47"/>
        <v>60.648366609508827</v>
      </c>
      <c r="O143" s="527">
        <f>AVERAGE(E143:I143)</f>
        <v>60.648366609508834</v>
      </c>
    </row>
    <row r="145" spans="2:14" x14ac:dyDescent="0.15">
      <c r="B145" s="437" t="s">
        <v>183</v>
      </c>
    </row>
    <row r="146" spans="2:14" x14ac:dyDescent="0.15">
      <c r="B146" s="221" t="s">
        <v>125</v>
      </c>
      <c r="E146" s="495">
        <f t="shared" ref="E146:N146" si="48">E74</f>
        <v>838.7</v>
      </c>
      <c r="F146" s="495">
        <f t="shared" si="48"/>
        <v>1045.3</v>
      </c>
      <c r="G146" s="495">
        <f t="shared" si="48"/>
        <v>889.7</v>
      </c>
      <c r="H146" s="495">
        <f t="shared" si="48"/>
        <v>892.3</v>
      </c>
      <c r="I146" s="495">
        <f t="shared" si="48"/>
        <v>887.7</v>
      </c>
      <c r="J146" s="495">
        <f t="shared" si="48"/>
        <v>1040.8215232886066</v>
      </c>
      <c r="K146" s="495">
        <f t="shared" si="48"/>
        <v>1064.3298063356458</v>
      </c>
      <c r="L146" s="495">
        <f t="shared" si="48"/>
        <v>1083.0790248768308</v>
      </c>
      <c r="M146" s="495">
        <f t="shared" si="48"/>
        <v>1101.0225966473599</v>
      </c>
      <c r="N146" s="495">
        <f t="shared" si="48"/>
        <v>1117.2667147937016</v>
      </c>
    </row>
    <row r="147" spans="2:14" x14ac:dyDescent="0.15">
      <c r="B147" s="221" t="s">
        <v>126</v>
      </c>
      <c r="E147" s="495">
        <f t="shared" ref="E147:N147" si="49">E75</f>
        <v>521.29999999999995</v>
      </c>
      <c r="F147" s="495">
        <f t="shared" si="49"/>
        <v>579.29999999999995</v>
      </c>
      <c r="G147" s="495">
        <f t="shared" si="49"/>
        <v>615.6</v>
      </c>
      <c r="H147" s="495">
        <f t="shared" si="49"/>
        <v>681.8</v>
      </c>
      <c r="I147" s="495">
        <f t="shared" si="49"/>
        <v>680.5</v>
      </c>
      <c r="J147" s="495">
        <f t="shared" si="49"/>
        <v>686.78700106128372</v>
      </c>
      <c r="K147" s="495">
        <f t="shared" si="49"/>
        <v>702.29896238483821</v>
      </c>
      <c r="L147" s="495">
        <f t="shared" si="49"/>
        <v>714.67065079252723</v>
      </c>
      <c r="M147" s="495">
        <f t="shared" si="49"/>
        <v>726.51073246731073</v>
      </c>
      <c r="N147" s="495">
        <f t="shared" si="49"/>
        <v>737.22942816776231</v>
      </c>
    </row>
    <row r="148" spans="2:14" x14ac:dyDescent="0.15">
      <c r="B148" s="221" t="s">
        <v>184</v>
      </c>
      <c r="E148" s="495">
        <f t="shared" ref="E148:N148" si="50">E87</f>
        <v>365.5</v>
      </c>
      <c r="F148" s="495">
        <f t="shared" si="50"/>
        <v>454.5</v>
      </c>
      <c r="G148" s="495">
        <f t="shared" si="50"/>
        <v>390.4</v>
      </c>
      <c r="H148" s="495">
        <f t="shared" si="50"/>
        <v>407</v>
      </c>
      <c r="I148" s="495">
        <f t="shared" si="50"/>
        <v>438.5</v>
      </c>
      <c r="J148" s="495">
        <f t="shared" si="50"/>
        <v>459.44792479232348</v>
      </c>
      <c r="K148" s="495">
        <f t="shared" si="50"/>
        <v>469.82514280686468</v>
      </c>
      <c r="L148" s="495">
        <f t="shared" si="50"/>
        <v>478.10157575668234</v>
      </c>
      <c r="M148" s="495">
        <f t="shared" si="50"/>
        <v>486.02237353888358</v>
      </c>
      <c r="N148" s="495">
        <f t="shared" si="50"/>
        <v>493.19298464311652</v>
      </c>
    </row>
    <row r="149" spans="2:14" x14ac:dyDescent="0.15">
      <c r="B149" s="435" t="s">
        <v>185</v>
      </c>
      <c r="E149" s="517">
        <f t="shared" ref="E149:N149" si="51">E146+E147-E148</f>
        <v>994.5</v>
      </c>
      <c r="F149" s="517">
        <f t="shared" si="51"/>
        <v>1170.0999999999999</v>
      </c>
      <c r="G149" s="517">
        <f t="shared" si="51"/>
        <v>1114.9000000000001</v>
      </c>
      <c r="H149" s="517">
        <f t="shared" si="51"/>
        <v>1167.0999999999999</v>
      </c>
      <c r="I149" s="517">
        <f t="shared" si="51"/>
        <v>1129.7</v>
      </c>
      <c r="J149" s="517">
        <f t="shared" si="51"/>
        <v>1268.1605995575669</v>
      </c>
      <c r="K149" s="517">
        <f t="shared" si="51"/>
        <v>1296.8036259136193</v>
      </c>
      <c r="L149" s="517">
        <f t="shared" si="51"/>
        <v>1319.6480999126757</v>
      </c>
      <c r="M149" s="517">
        <f t="shared" si="51"/>
        <v>1341.5109555757872</v>
      </c>
      <c r="N149" s="517">
        <f t="shared" si="51"/>
        <v>1361.3031583183474</v>
      </c>
    </row>
    <row r="150" spans="2:14" x14ac:dyDescent="0.15">
      <c r="B150" s="221" t="s">
        <v>186</v>
      </c>
      <c r="E150" s="521">
        <f>0</f>
        <v>0</v>
      </c>
      <c r="F150" s="521">
        <f t="shared" ref="F150:N150" si="52">F149-E149</f>
        <v>175.59999999999991</v>
      </c>
      <c r="G150" s="521">
        <f t="shared" si="52"/>
        <v>-55.199999999999818</v>
      </c>
      <c r="H150" s="521">
        <f t="shared" si="52"/>
        <v>52.199999999999818</v>
      </c>
      <c r="I150" s="521">
        <f t="shared" si="52"/>
        <v>-37.399999999999864</v>
      </c>
      <c r="J150" s="521">
        <f t="shared" si="52"/>
        <v>138.46059955756687</v>
      </c>
      <c r="K150" s="521">
        <f t="shared" si="52"/>
        <v>28.64302635605236</v>
      </c>
      <c r="L150" s="521">
        <f t="shared" si="52"/>
        <v>22.84447399905639</v>
      </c>
      <c r="M150" s="521">
        <f t="shared" si="52"/>
        <v>21.862855663111532</v>
      </c>
      <c r="N150" s="521">
        <f t="shared" si="52"/>
        <v>19.792202742560221</v>
      </c>
    </row>
    <row r="151" spans="2:14" x14ac:dyDescent="0.15">
      <c r="B151" s="436" t="s">
        <v>187</v>
      </c>
      <c r="E151" s="525">
        <f t="shared" ref="E151:N151" si="53">E149/E47</f>
        <v>0.1793410636034119</v>
      </c>
      <c r="F151" s="525">
        <f t="shared" si="53"/>
        <v>0.15995461504811895</v>
      </c>
      <c r="G151" s="525">
        <f t="shared" si="53"/>
        <v>0.14326835348693764</v>
      </c>
      <c r="H151" s="525">
        <f t="shared" si="53"/>
        <v>0.15734199741156168</v>
      </c>
      <c r="I151" s="525">
        <f t="shared" si="53"/>
        <v>0.14225988842855525</v>
      </c>
      <c r="J151" s="525">
        <f t="shared" si="53"/>
        <v>0.1560919764492904</v>
      </c>
      <c r="K151" s="525">
        <f t="shared" si="53"/>
        <v>0.1560919764492904</v>
      </c>
      <c r="L151" s="525">
        <f t="shared" si="53"/>
        <v>0.15609197644929038</v>
      </c>
      <c r="M151" s="525">
        <f t="shared" si="53"/>
        <v>0.1560919764492904</v>
      </c>
      <c r="N151" s="525">
        <f t="shared" si="53"/>
        <v>0.1560919764492904</v>
      </c>
    </row>
    <row r="153" spans="2:14" x14ac:dyDescent="0.15">
      <c r="B153" s="670" t="s">
        <v>188</v>
      </c>
      <c r="C153" s="661"/>
      <c r="D153" s="661"/>
      <c r="E153" s="661"/>
      <c r="F153" s="661"/>
      <c r="G153" s="661"/>
      <c r="H153" s="661"/>
      <c r="I153" s="661"/>
      <c r="J153" s="661"/>
      <c r="K153" s="661"/>
      <c r="L153" s="661"/>
      <c r="M153" s="661"/>
      <c r="N153" s="661"/>
    </row>
    <row r="154" spans="2:14" x14ac:dyDescent="0.15">
      <c r="B154" s="24" t="s">
        <v>45</v>
      </c>
      <c r="C154" s="24"/>
      <c r="D154" s="24"/>
      <c r="E154" s="24" t="s">
        <v>76</v>
      </c>
      <c r="F154" s="24" t="s">
        <v>77</v>
      </c>
      <c r="G154" s="24" t="s">
        <v>78</v>
      </c>
      <c r="H154" s="24" t="s">
        <v>79</v>
      </c>
      <c r="I154" s="24" t="s">
        <v>80</v>
      </c>
      <c r="J154" s="24" t="s">
        <v>51</v>
      </c>
      <c r="K154" s="24" t="s">
        <v>52</v>
      </c>
      <c r="L154" s="24" t="s">
        <v>53</v>
      </c>
      <c r="M154" s="24" t="s">
        <v>54</v>
      </c>
      <c r="N154" s="24" t="s">
        <v>55</v>
      </c>
    </row>
    <row r="155" spans="2:14" x14ac:dyDescent="0.15">
      <c r="B155" s="221" t="s">
        <v>189</v>
      </c>
      <c r="E155" s="529">
        <f>E159-E156+E157</f>
        <v>6249.9</v>
      </c>
      <c r="F155" s="495">
        <f t="shared" ref="F155:N155" si="54">E159</f>
        <v>6238.2</v>
      </c>
      <c r="G155" s="495">
        <f t="shared" si="54"/>
        <v>6623.9</v>
      </c>
      <c r="H155" s="495">
        <f t="shared" si="54"/>
        <v>6729.4</v>
      </c>
      <c r="I155" s="495">
        <f t="shared" si="54"/>
        <v>8987.9</v>
      </c>
      <c r="J155" s="495">
        <f t="shared" si="54"/>
        <v>8670.1</v>
      </c>
      <c r="K155" s="495">
        <f t="shared" si="54"/>
        <v>8601.3162434932401</v>
      </c>
      <c r="L155" s="495">
        <f t="shared" si="54"/>
        <v>8555.0947205100001</v>
      </c>
      <c r="M155" s="495">
        <f t="shared" si="54"/>
        <v>8526.0806857440184</v>
      </c>
      <c r="N155" s="495">
        <f t="shared" si="54"/>
        <v>8512.1475028523619</v>
      </c>
    </row>
    <row r="156" spans="2:14" x14ac:dyDescent="0.15">
      <c r="B156" s="221" t="s">
        <v>190</v>
      </c>
      <c r="E156" s="495">
        <f>Sheet10!G397</f>
        <v>451.3</v>
      </c>
      <c r="F156" s="495">
        <f>Sheet10!F397</f>
        <v>612.6</v>
      </c>
      <c r="G156" s="495">
        <f>Sheet10!E397</f>
        <v>872.6</v>
      </c>
      <c r="H156" s="495">
        <f>Sheet10!D397</f>
        <v>603.5</v>
      </c>
      <c r="I156" s="495">
        <f>Sheet10!C397</f>
        <v>677.7</v>
      </c>
      <c r="J156" s="495">
        <f>J47*$R$50</f>
        <v>721.38736904393636</v>
      </c>
      <c r="K156" s="495">
        <f>K47*$R$50</f>
        <v>737.6808238568816</v>
      </c>
      <c r="L156" s="495">
        <f>L47*$R$50</f>
        <v>750.67579862673449</v>
      </c>
      <c r="M156" s="495">
        <f>M47*$R$50</f>
        <v>763.11238428639115</v>
      </c>
      <c r="N156" s="495">
        <f>N47*$R$50</f>
        <v>774.37108848286346</v>
      </c>
    </row>
    <row r="157" spans="2:14" x14ac:dyDescent="0.15">
      <c r="B157" s="221" t="s">
        <v>191</v>
      </c>
      <c r="E157" s="495">
        <f>E58</f>
        <v>463</v>
      </c>
      <c r="F157" s="495">
        <f>F58</f>
        <v>587.5</v>
      </c>
      <c r="G157" s="495">
        <f>G58</f>
        <v>617</v>
      </c>
      <c r="H157" s="495">
        <f>H58</f>
        <v>632.20000000000005</v>
      </c>
      <c r="I157" s="495">
        <f>I58</f>
        <v>748.5</v>
      </c>
      <c r="J157" s="495">
        <f>J155*AVERAGE($F$157/$F$155,$G$157/$G$155,$H$157/$H$155,$I$157/$I$155)</f>
        <v>790.17112555069536</v>
      </c>
      <c r="K157" s="495">
        <f>K155*AVERAGE($F$157/$F$155,$G$157/$G$155,$H$157/$H$155,$I$157/$I$155)</f>
        <v>783.90234684012091</v>
      </c>
      <c r="L157" s="495">
        <f>L155*AVERAGE($F$157/$F$155,$G$157/$G$155,$H$157/$H$155,$I$157/$I$155)</f>
        <v>779.68983339271733</v>
      </c>
      <c r="M157" s="495">
        <f>M155*AVERAGE($F$157/$F$155,$G$157/$G$155,$H$157/$H$155,$I$157/$I$155)</f>
        <v>777.04556717804815</v>
      </c>
      <c r="N157" s="495">
        <f>N155*AVERAGE($F$157/$F$155,$G$157/$G$155,$H$157/$H$155,$I$157/$I$155)</f>
        <v>775.77573190417547</v>
      </c>
    </row>
    <row r="158" spans="2:14" ht="17" customHeight="1" thickBot="1" x14ac:dyDescent="0.2">
      <c r="B158" s="435" t="s">
        <v>192</v>
      </c>
      <c r="E158" s="518">
        <f>E159-E155-E156+E157</f>
        <v>0</v>
      </c>
      <c r="F158" s="518">
        <f>F159-F155-F156+F157</f>
        <v>360.5999999999998</v>
      </c>
      <c r="G158" s="518">
        <f>G159-G155-G156+G157</f>
        <v>-150.10000000000002</v>
      </c>
      <c r="H158" s="518">
        <f>H159-H155-H156+H157</f>
        <v>2287.1999999999998</v>
      </c>
      <c r="I158" s="518">
        <f>I159-I155-I156+I157</f>
        <v>-246.99999999999932</v>
      </c>
      <c r="J158" s="518">
        <f>0</f>
        <v>0</v>
      </c>
      <c r="K158" s="518">
        <f>0</f>
        <v>0</v>
      </c>
      <c r="L158" s="518">
        <f>0</f>
        <v>0</v>
      </c>
      <c r="M158" s="518">
        <f>0</f>
        <v>0</v>
      </c>
      <c r="N158" s="518">
        <f>0</f>
        <v>0</v>
      </c>
    </row>
    <row r="159" spans="2:14" ht="17" customHeight="1" thickTop="1" x14ac:dyDescent="0.15">
      <c r="B159" s="8" t="s">
        <v>193</v>
      </c>
      <c r="E159" s="366">
        <f>Sheet10!G28</f>
        <v>6238.2</v>
      </c>
      <c r="F159" s="366">
        <f>Sheet10!F28</f>
        <v>6623.9</v>
      </c>
      <c r="G159" s="366">
        <f>Sheet10!E28</f>
        <v>6729.4</v>
      </c>
      <c r="H159" s="366">
        <f>Sheet10!D28</f>
        <v>8987.9</v>
      </c>
      <c r="I159" s="366">
        <f>Sheet10!C28</f>
        <v>8670.1</v>
      </c>
      <c r="J159" s="366">
        <f>J155+J156-J157+J158</f>
        <v>8601.3162434932401</v>
      </c>
      <c r="K159" s="366">
        <f>K155+K156-K157+K158</f>
        <v>8555.0947205100001</v>
      </c>
      <c r="L159" s="366">
        <f>L155+L156-L157+L158</f>
        <v>8526.0806857440184</v>
      </c>
      <c r="M159" s="366">
        <f>M155+M156-M157+M158</f>
        <v>8512.1475028523619</v>
      </c>
      <c r="N159" s="366">
        <f>N155+N156-N157+N158</f>
        <v>8510.7428594310495</v>
      </c>
    </row>
    <row r="160" spans="2:14" x14ac:dyDescent="0.15">
      <c r="B160" s="436" t="s">
        <v>194</v>
      </c>
      <c r="E160" s="525">
        <f t="shared" ref="E160:N160" si="55">E156/E47</f>
        <v>8.138423529836078E-2</v>
      </c>
      <c r="F160" s="525">
        <f t="shared" si="55"/>
        <v>8.3743438320209973E-2</v>
      </c>
      <c r="G160" s="525">
        <f t="shared" si="55"/>
        <v>0.11213199861216414</v>
      </c>
      <c r="H160" s="525">
        <f t="shared" si="55"/>
        <v>8.1360547886108706E-2</v>
      </c>
      <c r="I160" s="525">
        <f t="shared" si="55"/>
        <v>8.5340821800506228E-2</v>
      </c>
      <c r="J160" s="525">
        <f t="shared" si="55"/>
        <v>8.8792208383469962E-2</v>
      </c>
      <c r="K160" s="525">
        <f t="shared" si="55"/>
        <v>8.8792208383469962E-2</v>
      </c>
      <c r="L160" s="525">
        <f t="shared" si="55"/>
        <v>8.8792208383469962E-2</v>
      </c>
      <c r="M160" s="525">
        <f t="shared" si="55"/>
        <v>8.8792208383469962E-2</v>
      </c>
      <c r="N160" s="525">
        <f t="shared" si="55"/>
        <v>8.8792208383469962E-2</v>
      </c>
    </row>
    <row r="161" spans="2:19" x14ac:dyDescent="0.15">
      <c r="B161" s="436" t="s">
        <v>195</v>
      </c>
      <c r="E161" s="525">
        <f t="shared" ref="E161:N161" si="56">E157/E47</f>
        <v>8.3494130164283267E-2</v>
      </c>
      <c r="F161" s="525">
        <f t="shared" si="56"/>
        <v>8.0312226596675404E-2</v>
      </c>
      <c r="G161" s="525">
        <f t="shared" si="56"/>
        <v>7.928654955730606E-2</v>
      </c>
      <c r="H161" s="525">
        <f t="shared" si="56"/>
        <v>8.522972389991372E-2</v>
      </c>
      <c r="I161" s="525">
        <f t="shared" si="56"/>
        <v>9.4256463210386471E-2</v>
      </c>
      <c r="J161" s="525">
        <f t="shared" si="56"/>
        <v>9.7258480324494231E-2</v>
      </c>
      <c r="K161" s="525">
        <f t="shared" si="56"/>
        <v>9.4355740696904986E-2</v>
      </c>
      <c r="L161" s="525">
        <f t="shared" si="56"/>
        <v>9.2224076342579939E-2</v>
      </c>
      <c r="M161" s="525">
        <f t="shared" si="56"/>
        <v>9.0413408752165206E-2</v>
      </c>
      <c r="N161" s="525">
        <f t="shared" si="56"/>
        <v>8.8953269912270011E-2</v>
      </c>
    </row>
    <row r="162" spans="2:19" x14ac:dyDescent="0.15">
      <c r="B162" s="436" t="s">
        <v>196</v>
      </c>
      <c r="E162" s="520">
        <f t="shared" ref="E162:N162" si="57">E156/E157</f>
        <v>0.97473002159827216</v>
      </c>
      <c r="F162" s="520">
        <f t="shared" si="57"/>
        <v>1.0427234042553193</v>
      </c>
      <c r="G162" s="520">
        <f t="shared" si="57"/>
        <v>1.414262560777958</v>
      </c>
      <c r="H162" s="520">
        <f t="shared" si="57"/>
        <v>0.95460297374248648</v>
      </c>
      <c r="I162" s="520">
        <f t="shared" si="57"/>
        <v>0.90541082164328668</v>
      </c>
      <c r="J162" s="520">
        <f t="shared" si="57"/>
        <v>0.91295080991624267</v>
      </c>
      <c r="K162" s="520">
        <f t="shared" si="57"/>
        <v>0.94103663145089889</v>
      </c>
      <c r="L162" s="520">
        <f t="shared" si="57"/>
        <v>0.96278772208721497</v>
      </c>
      <c r="M162" s="520">
        <f t="shared" si="57"/>
        <v>0.98206902724861123</v>
      </c>
      <c r="N162" s="520">
        <f t="shared" si="57"/>
        <v>0.99818936921645607</v>
      </c>
    </row>
    <row r="164" spans="2:19" x14ac:dyDescent="0.15">
      <c r="B164" s="670" t="s">
        <v>197</v>
      </c>
      <c r="C164" s="661"/>
      <c r="D164" s="661"/>
      <c r="E164" s="661"/>
      <c r="F164" s="661"/>
      <c r="G164" s="661"/>
      <c r="H164" s="661"/>
      <c r="I164" s="661"/>
      <c r="J164" s="661"/>
      <c r="K164" s="661"/>
      <c r="L164" s="661"/>
      <c r="M164" s="661"/>
      <c r="N164" s="661"/>
      <c r="Q164" s="8" t="s">
        <v>198</v>
      </c>
    </row>
    <row r="165" spans="2:19" x14ac:dyDescent="0.15">
      <c r="B165" s="466" t="s">
        <v>45</v>
      </c>
      <c r="E165" s="14" t="s">
        <v>76</v>
      </c>
      <c r="F165" s="14" t="s">
        <v>77</v>
      </c>
      <c r="G165" s="14" t="s">
        <v>78</v>
      </c>
      <c r="H165" s="14" t="s">
        <v>79</v>
      </c>
      <c r="I165" s="14" t="s">
        <v>80</v>
      </c>
      <c r="J165" s="14" t="s">
        <v>51</v>
      </c>
      <c r="K165" s="14" t="s">
        <v>52</v>
      </c>
      <c r="L165" s="14" t="s">
        <v>53</v>
      </c>
      <c r="M165" s="14" t="s">
        <v>54</v>
      </c>
      <c r="N165" s="14" t="s">
        <v>55</v>
      </c>
    </row>
    <row r="166" spans="2:19" x14ac:dyDescent="0.15">
      <c r="B166" s="15" t="s">
        <v>199</v>
      </c>
      <c r="E166" s="496">
        <f>E168-E167</f>
        <v>3841.1</v>
      </c>
      <c r="F166" s="496">
        <f t="shared" ref="F166:N166" si="58">E168</f>
        <v>3975.9</v>
      </c>
      <c r="G166" s="496">
        <f t="shared" si="58"/>
        <v>4032.8</v>
      </c>
      <c r="H166" s="496">
        <f t="shared" si="58"/>
        <v>3906.9</v>
      </c>
      <c r="I166" s="496">
        <f t="shared" si="58"/>
        <v>5327.8</v>
      </c>
      <c r="J166" s="496">
        <f t="shared" si="58"/>
        <v>4372.8999999999996</v>
      </c>
      <c r="K166" s="496">
        <f t="shared" si="58"/>
        <v>4372.8999999999996</v>
      </c>
      <c r="L166" s="496">
        <f t="shared" si="58"/>
        <v>4372.8999999999996</v>
      </c>
      <c r="M166" s="496">
        <f t="shared" si="58"/>
        <v>4372.8999999999996</v>
      </c>
      <c r="N166" s="496">
        <f t="shared" si="58"/>
        <v>4372.8999999999996</v>
      </c>
      <c r="Q166" s="8" t="s">
        <v>200</v>
      </c>
      <c r="R166" s="8">
        <v>0</v>
      </c>
      <c r="S166" s="8" t="s">
        <v>201</v>
      </c>
    </row>
    <row r="167" spans="2:19" x14ac:dyDescent="0.15">
      <c r="B167" s="467" t="s">
        <v>202</v>
      </c>
      <c r="E167" s="54">
        <f>E126</f>
        <v>134.80000000000001</v>
      </c>
      <c r="F167" s="54">
        <f>F126</f>
        <v>58.5</v>
      </c>
      <c r="G167" s="54">
        <f>G126</f>
        <v>-131.30000000000001</v>
      </c>
      <c r="H167" s="54">
        <f>H126</f>
        <v>1436.5</v>
      </c>
      <c r="I167" s="54">
        <f>I126</f>
        <v>-961.4</v>
      </c>
      <c r="J167" s="493">
        <f>0</f>
        <v>0</v>
      </c>
      <c r="K167" s="493">
        <f>0</f>
        <v>0</v>
      </c>
      <c r="L167" s="493">
        <f>0</f>
        <v>0</v>
      </c>
      <c r="M167" s="493">
        <f>0</f>
        <v>0</v>
      </c>
      <c r="N167" s="493">
        <f>0</f>
        <v>0</v>
      </c>
      <c r="Q167" s="493" t="s">
        <v>203</v>
      </c>
      <c r="R167" s="8" t="s">
        <v>204</v>
      </c>
      <c r="S167" s="8" t="s">
        <v>205</v>
      </c>
    </row>
    <row r="168" spans="2:19" x14ac:dyDescent="0.15">
      <c r="B168" s="8" t="s">
        <v>206</v>
      </c>
      <c r="E168" s="8">
        <f>E170+E171</f>
        <v>3975.9</v>
      </c>
      <c r="F168" s="8">
        <f>F170+F171</f>
        <v>4032.8</v>
      </c>
      <c r="G168" s="8">
        <f>G170+G171</f>
        <v>3906.9</v>
      </c>
      <c r="H168" s="8">
        <f>H170+H171</f>
        <v>5327.8</v>
      </c>
      <c r="I168" s="8">
        <f>I170+I171</f>
        <v>4372.8999999999996</v>
      </c>
      <c r="J168" s="8">
        <f>J166+J167</f>
        <v>4372.8999999999996</v>
      </c>
      <c r="K168" s="8">
        <f>K166+K167</f>
        <v>4372.8999999999996</v>
      </c>
      <c r="L168" s="8">
        <f>L166+L167</f>
        <v>4372.8999999999996</v>
      </c>
      <c r="M168" s="8">
        <f>M166+M167</f>
        <v>4372.8999999999996</v>
      </c>
      <c r="N168" s="8">
        <f>N166+N167</f>
        <v>4372.8999999999996</v>
      </c>
    </row>
    <row r="169" spans="2:19" x14ac:dyDescent="0.15">
      <c r="B169" s="466" t="s">
        <v>207</v>
      </c>
      <c r="E169" s="54">
        <f>E170/E168</f>
        <v>1.0211524434719184E-2</v>
      </c>
      <c r="F169" s="54">
        <f>F170/F168</f>
        <v>3.0450307478674863E-2</v>
      </c>
      <c r="G169" s="54">
        <f>G170/G168</f>
        <v>3.3274463129335276E-3</v>
      </c>
      <c r="H169" s="54">
        <f>H170/H168</f>
        <v>7.7180074327114379E-2</v>
      </c>
      <c r="I169" s="54">
        <f>I170/I168</f>
        <v>1.4178234123808E-3</v>
      </c>
      <c r="J169" s="54">
        <f>$I$169</f>
        <v>1.4178234123808E-3</v>
      </c>
      <c r="K169" s="54">
        <f>$I$169</f>
        <v>1.4178234123808E-3</v>
      </c>
      <c r="L169" s="54">
        <f>$I$169</f>
        <v>1.4178234123808E-3</v>
      </c>
      <c r="M169" s="54">
        <f>$I$169</f>
        <v>1.4178234123808E-3</v>
      </c>
      <c r="N169" s="54">
        <f>$I$169</f>
        <v>1.4178234123808E-3</v>
      </c>
    </row>
    <row r="170" spans="2:19" x14ac:dyDescent="0.15">
      <c r="B170" s="15" t="s">
        <v>208</v>
      </c>
      <c r="E170" s="502">
        <f>Sheet10!G69</f>
        <v>40.6</v>
      </c>
      <c r="F170" s="502">
        <f>Sheet10!F69</f>
        <v>122.8</v>
      </c>
      <c r="G170" s="502">
        <f>Sheet10!E69</f>
        <v>13</v>
      </c>
      <c r="H170" s="502">
        <f>Sheet10!D69</f>
        <v>411.2</v>
      </c>
      <c r="I170" s="502">
        <f>Sheet10!C69</f>
        <v>6.2</v>
      </c>
      <c r="J170" s="502">
        <f>J168*J169</f>
        <v>6.2</v>
      </c>
      <c r="K170" s="502">
        <f>K168*K169</f>
        <v>6.2</v>
      </c>
      <c r="L170" s="502">
        <f>L168*L169</f>
        <v>6.2</v>
      </c>
      <c r="M170" s="502">
        <f>M168*M169</f>
        <v>6.2</v>
      </c>
      <c r="N170" s="502">
        <f>N168*N169</f>
        <v>6.2</v>
      </c>
      <c r="Q170" s="54">
        <f>AVERAGE(E171:I171)</f>
        <v>4204.5000000000009</v>
      </c>
    </row>
    <row r="171" spans="2:19" x14ac:dyDescent="0.15">
      <c r="B171" s="467" t="s">
        <v>209</v>
      </c>
      <c r="E171" s="499">
        <f>Sheet10!G80</f>
        <v>3935.3</v>
      </c>
      <c r="F171" s="499">
        <f>Sheet10!F80</f>
        <v>3910</v>
      </c>
      <c r="G171" s="499">
        <f>Sheet10!E80</f>
        <v>3893.9</v>
      </c>
      <c r="H171" s="499">
        <f>Sheet10!D80</f>
        <v>4916.6000000000004</v>
      </c>
      <c r="I171" s="499">
        <f>Sheet10!C80</f>
        <v>4366.7</v>
      </c>
      <c r="J171" s="499">
        <f>J168-J170</f>
        <v>4366.7</v>
      </c>
      <c r="K171" s="499">
        <f>K168-K170</f>
        <v>4366.7</v>
      </c>
      <c r="L171" s="499">
        <f>L168-L170</f>
        <v>4366.7</v>
      </c>
      <c r="M171" s="499">
        <f>M168-M170</f>
        <v>4366.7</v>
      </c>
      <c r="N171" s="499">
        <f>N168-N170</f>
        <v>4366.7</v>
      </c>
    </row>
    <row r="404" spans="3:3" x14ac:dyDescent="0.15">
      <c r="C404" s="8" t="s">
        <v>210</v>
      </c>
    </row>
  </sheetData>
  <mergeCells count="6">
    <mergeCell ref="B164:N164"/>
    <mergeCell ref="B136:N136"/>
    <mergeCell ref="B71:N71"/>
    <mergeCell ref="P45:V45"/>
    <mergeCell ref="B153:N153"/>
    <mergeCell ref="B109:N10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15"/>
  <sheetViews>
    <sheetView showGridLines="0" workbookViewId="0">
      <selection activeCell="S60" sqref="S60"/>
    </sheetView>
  </sheetViews>
  <sheetFormatPr baseColWidth="10" defaultRowHeight="16" x14ac:dyDescent="0.2"/>
  <sheetData>
    <row r="3" spans="2:3" x14ac:dyDescent="0.2">
      <c r="B3" t="s">
        <v>970</v>
      </c>
      <c r="C3">
        <f>C4+C5*C6</f>
        <v>8.5650000000000004E-2</v>
      </c>
    </row>
    <row r="4" spans="2:3" x14ac:dyDescent="0.2">
      <c r="B4" t="s">
        <v>104</v>
      </c>
      <c r="C4">
        <v>0.04</v>
      </c>
    </row>
    <row r="5" spans="2:3" x14ac:dyDescent="0.2">
      <c r="B5" t="s">
        <v>977</v>
      </c>
      <c r="C5">
        <v>5.5E-2</v>
      </c>
    </row>
    <row r="6" spans="2:3" x14ac:dyDescent="0.2">
      <c r="B6" t="s">
        <v>981</v>
      </c>
      <c r="C6">
        <v>0.83</v>
      </c>
    </row>
    <row r="9" spans="2:3" x14ac:dyDescent="0.2">
      <c r="B9" t="s">
        <v>1671</v>
      </c>
      <c r="C9" t="s">
        <v>82</v>
      </c>
    </row>
    <row r="10" spans="2:3" x14ac:dyDescent="0.2">
      <c r="B10" t="s">
        <v>1672</v>
      </c>
      <c r="C10">
        <v>0.04</v>
      </c>
    </row>
    <row r="13" spans="2:3" x14ac:dyDescent="0.2">
      <c r="B13" t="s">
        <v>1673</v>
      </c>
      <c r="C13">
        <v>38649.068399999996</v>
      </c>
    </row>
    <row r="14" spans="2:3" x14ac:dyDescent="0.2">
      <c r="B14" t="s">
        <v>290</v>
      </c>
      <c r="C14">
        <v>4372.8999999999996</v>
      </c>
    </row>
    <row r="15" spans="2:3" x14ac:dyDescent="0.2">
      <c r="B15" t="s">
        <v>100</v>
      </c>
      <c r="C15" s="427">
        <f>(C13-C14)/(C13+C14)*C3+(C14/(C13+C14))*(1-'DCF_Forecast Revenue'!R47)*'DCF-WACC '!C10</f>
        <v>7.1418943952732572E-2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Y442"/>
  <sheetViews>
    <sheetView topLeftCell="A365" zoomScaleNormal="100" workbookViewId="0"/>
  </sheetViews>
  <sheetFormatPr baseColWidth="10" defaultRowHeight="16" x14ac:dyDescent="0.2"/>
  <cols>
    <col min="2" max="2" width="56.6640625" customWidth="1"/>
  </cols>
  <sheetData>
    <row r="4" spans="2:25" x14ac:dyDescent="0.2">
      <c r="B4" s="145" t="s">
        <v>1129</v>
      </c>
      <c r="C4" s="145"/>
      <c r="D4" s="145"/>
      <c r="E4" s="145"/>
      <c r="F4" s="145"/>
      <c r="G4" s="145"/>
      <c r="H4" s="148"/>
      <c r="I4" s="148"/>
      <c r="K4" s="146" t="s">
        <v>1130</v>
      </c>
      <c r="L4" s="149"/>
      <c r="M4" s="149"/>
      <c r="O4" s="146" t="s">
        <v>1131</v>
      </c>
      <c r="P4" s="149"/>
      <c r="R4" s="146" t="s">
        <v>273</v>
      </c>
      <c r="S4" s="150"/>
      <c r="U4" s="146" t="s">
        <v>1132</v>
      </c>
      <c r="V4" s="150"/>
      <c r="X4" s="146" t="s">
        <v>1133</v>
      </c>
      <c r="Y4" s="150"/>
    </row>
    <row r="5" spans="2:25" x14ac:dyDescent="0.2">
      <c r="B5" s="151" t="s">
        <v>1134</v>
      </c>
      <c r="C5" s="151"/>
      <c r="D5" s="151"/>
      <c r="E5" s="151"/>
      <c r="F5" s="151"/>
      <c r="G5" s="151"/>
      <c r="H5" s="152"/>
      <c r="I5" s="152"/>
      <c r="K5" s="147" t="s">
        <v>1135</v>
      </c>
      <c r="L5" s="147"/>
      <c r="M5" s="153"/>
      <c r="O5" s="147" t="s">
        <v>1136</v>
      </c>
      <c r="P5" s="147"/>
      <c r="R5" s="147" t="s">
        <v>1137</v>
      </c>
      <c r="S5" s="147"/>
      <c r="U5" s="147" t="s">
        <v>1138</v>
      </c>
      <c r="V5" s="147"/>
      <c r="X5" s="147" t="s">
        <v>1139</v>
      </c>
      <c r="Y5" s="147"/>
    </row>
    <row r="6" spans="2:25" x14ac:dyDescent="0.2">
      <c r="B6" s="151" t="s">
        <v>1140</v>
      </c>
      <c r="C6" s="154" t="s">
        <v>1141</v>
      </c>
      <c r="D6" s="154" t="s">
        <v>1142</v>
      </c>
      <c r="E6" s="154" t="s">
        <v>1143</v>
      </c>
      <c r="F6" s="154" t="s">
        <v>1144</v>
      </c>
      <c r="G6" s="154" t="s">
        <v>1145</v>
      </c>
      <c r="H6" s="155"/>
      <c r="I6" s="155"/>
      <c r="K6" s="147" t="s">
        <v>1140</v>
      </c>
      <c r="L6" s="156" t="s">
        <v>1141</v>
      </c>
      <c r="M6" s="157"/>
      <c r="O6" s="147" t="s">
        <v>1140</v>
      </c>
      <c r="P6" s="158" t="s">
        <v>1141</v>
      </c>
      <c r="R6" s="147" t="s">
        <v>1140</v>
      </c>
      <c r="S6" s="158" t="s">
        <v>1141</v>
      </c>
      <c r="U6" s="147" t="s">
        <v>1140</v>
      </c>
      <c r="V6" s="158" t="s">
        <v>1141</v>
      </c>
      <c r="X6" s="147" t="s">
        <v>1140</v>
      </c>
      <c r="Y6" s="158" t="s">
        <v>1146</v>
      </c>
    </row>
    <row r="7" spans="2:25" x14ac:dyDescent="0.2">
      <c r="B7" s="159" t="s">
        <v>286</v>
      </c>
      <c r="C7" s="160"/>
      <c r="D7" s="160"/>
      <c r="E7" s="160"/>
      <c r="F7" s="160"/>
      <c r="G7" s="160"/>
      <c r="K7" s="161" t="s">
        <v>286</v>
      </c>
      <c r="L7" s="162"/>
      <c r="M7" s="162"/>
      <c r="O7" s="163" t="s">
        <v>286</v>
      </c>
      <c r="P7" s="164"/>
      <c r="R7" s="163" t="s">
        <v>286</v>
      </c>
      <c r="S7" s="164"/>
      <c r="U7" s="163" t="s">
        <v>286</v>
      </c>
      <c r="V7" s="164"/>
      <c r="X7" s="163" t="s">
        <v>286</v>
      </c>
      <c r="Y7" s="164"/>
    </row>
    <row r="8" spans="2:25" x14ac:dyDescent="0.2">
      <c r="B8" s="165" t="s">
        <v>1106</v>
      </c>
      <c r="C8" s="2">
        <v>183.3</v>
      </c>
      <c r="D8" s="2">
        <v>559.70000000000005</v>
      </c>
      <c r="E8" s="2">
        <v>931.1</v>
      </c>
      <c r="F8" s="2">
        <v>161.4</v>
      </c>
      <c r="G8" s="2">
        <v>235</v>
      </c>
      <c r="H8" s="166"/>
      <c r="I8" s="166"/>
      <c r="K8" s="167" t="s">
        <v>1106</v>
      </c>
      <c r="L8" s="168">
        <v>67</v>
      </c>
      <c r="M8" s="169"/>
      <c r="O8" s="167" t="s">
        <v>1106</v>
      </c>
      <c r="P8" s="170">
        <v>123.42</v>
      </c>
      <c r="R8" s="167" t="s">
        <v>1106</v>
      </c>
      <c r="S8" s="170">
        <v>4096</v>
      </c>
      <c r="U8" s="167" t="s">
        <v>1106</v>
      </c>
      <c r="V8" s="170">
        <v>1976.07</v>
      </c>
      <c r="X8" s="167" t="s">
        <v>1106</v>
      </c>
      <c r="Y8" s="171">
        <v>20.399999999999999</v>
      </c>
    </row>
    <row r="9" spans="2:25" x14ac:dyDescent="0.2">
      <c r="B9" s="172" t="s">
        <v>1147</v>
      </c>
      <c r="C9" s="2">
        <v>183.3</v>
      </c>
      <c r="D9" s="2">
        <v>559.70000000000005</v>
      </c>
      <c r="E9" s="2">
        <v>931.1</v>
      </c>
      <c r="F9" s="2">
        <v>161.4</v>
      </c>
      <c r="G9" s="2">
        <v>235</v>
      </c>
      <c r="H9" s="166"/>
      <c r="I9" s="166"/>
      <c r="K9" s="173" t="s">
        <v>1147</v>
      </c>
      <c r="L9" s="171">
        <v>67</v>
      </c>
      <c r="M9" s="169"/>
      <c r="O9" s="173" t="s">
        <v>1147</v>
      </c>
      <c r="P9" s="170">
        <v>123.42</v>
      </c>
      <c r="R9" s="173" t="s">
        <v>1147</v>
      </c>
      <c r="S9" s="170">
        <v>4096</v>
      </c>
      <c r="U9" s="173" t="s">
        <v>1147</v>
      </c>
      <c r="V9" s="170">
        <v>1822.36</v>
      </c>
      <c r="X9" s="173" t="s">
        <v>1147</v>
      </c>
      <c r="Y9" s="171">
        <v>20.399999999999999</v>
      </c>
    </row>
    <row r="10" spans="2:25" x14ac:dyDescent="0.2">
      <c r="B10" s="165" t="s">
        <v>1148</v>
      </c>
      <c r="C10" s="2">
        <v>887.7</v>
      </c>
      <c r="D10" s="2">
        <v>892.3</v>
      </c>
      <c r="E10" s="2">
        <v>889.7</v>
      </c>
      <c r="F10" s="2">
        <v>1045.3</v>
      </c>
      <c r="G10" s="2">
        <v>838.7</v>
      </c>
      <c r="H10" s="166"/>
      <c r="I10" s="166"/>
      <c r="K10" s="167" t="s">
        <v>1148</v>
      </c>
      <c r="L10" s="170">
        <v>723</v>
      </c>
      <c r="M10" s="174"/>
      <c r="O10" s="167" t="s">
        <v>1148</v>
      </c>
      <c r="P10" s="170">
        <v>355.56</v>
      </c>
      <c r="R10" s="167" t="s">
        <v>1148</v>
      </c>
      <c r="S10" s="170">
        <v>5452</v>
      </c>
      <c r="U10" s="173" t="s">
        <v>1149</v>
      </c>
      <c r="V10" s="170">
        <v>153.71</v>
      </c>
      <c r="X10" s="167" t="s">
        <v>1148</v>
      </c>
      <c r="Y10" s="170">
        <v>222.35</v>
      </c>
    </row>
    <row r="11" spans="2:25" x14ac:dyDescent="0.2">
      <c r="B11" s="172" t="s">
        <v>1150</v>
      </c>
      <c r="C11" s="2">
        <v>887.7</v>
      </c>
      <c r="D11" s="2">
        <v>892.3</v>
      </c>
      <c r="E11" s="2">
        <v>889.7</v>
      </c>
      <c r="F11" s="2">
        <v>845.6</v>
      </c>
      <c r="G11" s="2">
        <v>783.2</v>
      </c>
      <c r="H11" s="166"/>
      <c r="I11" s="166"/>
      <c r="K11" s="173" t="s">
        <v>1150</v>
      </c>
      <c r="L11" s="170">
        <v>708</v>
      </c>
      <c r="M11" s="174"/>
      <c r="O11" s="173" t="s">
        <v>1150</v>
      </c>
      <c r="P11" s="170">
        <v>150.65</v>
      </c>
      <c r="R11" s="173" t="s">
        <v>1150</v>
      </c>
      <c r="S11" s="170">
        <v>5178</v>
      </c>
      <c r="U11" s="173" t="s">
        <v>1151</v>
      </c>
      <c r="V11" s="170">
        <v>153.71</v>
      </c>
      <c r="X11" s="173" t="s">
        <v>1150</v>
      </c>
      <c r="Y11" s="170">
        <v>212.33</v>
      </c>
    </row>
    <row r="12" spans="2:25" x14ac:dyDescent="0.2">
      <c r="B12" s="172" t="s">
        <v>1152</v>
      </c>
      <c r="C12" s="2">
        <v>898.2</v>
      </c>
      <c r="D12" s="2">
        <v>905.5</v>
      </c>
      <c r="E12" s="2">
        <v>903.3</v>
      </c>
      <c r="F12" s="2">
        <v>856.5</v>
      </c>
      <c r="G12" s="2">
        <v>793.5</v>
      </c>
      <c r="H12" s="166"/>
      <c r="I12" s="166"/>
      <c r="K12" s="173" t="s">
        <v>1152</v>
      </c>
      <c r="L12" s="170">
        <v>715</v>
      </c>
      <c r="M12" s="174"/>
      <c r="O12" s="173" t="s">
        <v>1152</v>
      </c>
      <c r="P12" s="170">
        <v>155.84</v>
      </c>
      <c r="R12" s="173" t="s">
        <v>1152</v>
      </c>
      <c r="S12" s="170">
        <v>5315</v>
      </c>
      <c r="U12" s="167" t="s">
        <v>1148</v>
      </c>
      <c r="V12" s="170">
        <v>2556.6799999999998</v>
      </c>
      <c r="X12" s="173" t="s">
        <v>1152</v>
      </c>
      <c r="Y12" s="170">
        <v>218.73</v>
      </c>
    </row>
    <row r="13" spans="2:25" x14ac:dyDescent="0.2">
      <c r="B13" s="172" t="s">
        <v>1153</v>
      </c>
      <c r="C13" s="175">
        <v>10.5</v>
      </c>
      <c r="D13" s="175">
        <v>13.2</v>
      </c>
      <c r="E13" s="175">
        <v>13.6</v>
      </c>
      <c r="F13" s="175">
        <v>10.9</v>
      </c>
      <c r="G13" s="175">
        <v>10.3</v>
      </c>
      <c r="H13" s="176"/>
      <c r="I13" s="176"/>
      <c r="K13" s="173" t="s">
        <v>1153</v>
      </c>
      <c r="L13" s="171">
        <v>7</v>
      </c>
      <c r="M13" s="169"/>
      <c r="O13" s="173" t="s">
        <v>1153</v>
      </c>
      <c r="P13" s="171">
        <v>5.19</v>
      </c>
      <c r="R13" s="173" t="s">
        <v>1153</v>
      </c>
      <c r="S13" s="170">
        <v>137</v>
      </c>
      <c r="U13" s="173" t="s">
        <v>1150</v>
      </c>
      <c r="V13" s="170">
        <v>1769.5</v>
      </c>
      <c r="X13" s="173" t="s">
        <v>1153</v>
      </c>
      <c r="Y13" s="171">
        <v>6.4</v>
      </c>
    </row>
    <row r="14" spans="2:25" x14ac:dyDescent="0.2">
      <c r="B14" s="172" t="s">
        <v>1154</v>
      </c>
      <c r="C14" s="177"/>
      <c r="D14" s="177"/>
      <c r="E14" s="177"/>
      <c r="F14" s="2">
        <v>199.7</v>
      </c>
      <c r="G14" s="175">
        <v>55.5</v>
      </c>
      <c r="H14" s="176"/>
      <c r="I14" s="176"/>
      <c r="K14" s="173" t="s">
        <v>1154</v>
      </c>
      <c r="L14" s="171">
        <v>15</v>
      </c>
      <c r="M14" s="169"/>
      <c r="O14" s="173" t="s">
        <v>1154</v>
      </c>
      <c r="P14" s="170">
        <v>204.91</v>
      </c>
      <c r="R14" s="173" t="s">
        <v>1155</v>
      </c>
      <c r="S14" s="170">
        <v>274</v>
      </c>
      <c r="U14" s="173" t="s">
        <v>1154</v>
      </c>
      <c r="V14" s="170">
        <v>787.18</v>
      </c>
      <c r="X14" s="173" t="s">
        <v>1155</v>
      </c>
      <c r="Y14" s="171">
        <v>10.02</v>
      </c>
    </row>
    <row r="15" spans="2:25" x14ac:dyDescent="0.2">
      <c r="B15" s="165" t="s">
        <v>1156</v>
      </c>
      <c r="C15" s="2">
        <v>680.5</v>
      </c>
      <c r="D15" s="2">
        <v>681.8</v>
      </c>
      <c r="E15" s="2">
        <v>615.6</v>
      </c>
      <c r="F15" s="2">
        <v>579.29999999999995</v>
      </c>
      <c r="G15" s="2">
        <v>521.29999999999995</v>
      </c>
      <c r="H15" s="166"/>
      <c r="I15" s="166"/>
      <c r="K15" s="167" t="s">
        <v>1156</v>
      </c>
      <c r="L15" s="170">
        <v>1078</v>
      </c>
      <c r="M15" s="174"/>
      <c r="O15" s="167" t="s">
        <v>1156</v>
      </c>
      <c r="P15" s="170">
        <v>435.71</v>
      </c>
      <c r="R15" s="167" t="s">
        <v>1156</v>
      </c>
      <c r="S15" s="170">
        <v>5251</v>
      </c>
      <c r="U15" s="167" t="s">
        <v>1156</v>
      </c>
      <c r="V15" s="170">
        <v>1522.35</v>
      </c>
      <c r="X15" s="167" t="s">
        <v>1156</v>
      </c>
      <c r="Y15" s="170">
        <v>415.18</v>
      </c>
    </row>
    <row r="16" spans="2:25" x14ac:dyDescent="0.2">
      <c r="B16" s="172" t="s">
        <v>1157</v>
      </c>
      <c r="C16" s="175">
        <v>36.700000000000003</v>
      </c>
      <c r="D16" s="175">
        <v>69.7</v>
      </c>
      <c r="E16" s="175">
        <v>51.2</v>
      </c>
      <c r="F16" s="175">
        <v>63.4</v>
      </c>
      <c r="G16" s="175">
        <v>59.9</v>
      </c>
      <c r="H16" s="176"/>
      <c r="I16" s="176"/>
      <c r="K16" s="173" t="s">
        <v>1157</v>
      </c>
      <c r="L16" s="171">
        <v>49</v>
      </c>
      <c r="M16" s="169"/>
      <c r="O16" s="173" t="s">
        <v>1157</v>
      </c>
      <c r="P16" s="170">
        <v>131.43</v>
      </c>
      <c r="R16" s="173" t="s">
        <v>1157</v>
      </c>
      <c r="S16" s="170">
        <v>2295</v>
      </c>
      <c r="U16" s="173" t="s">
        <v>1157</v>
      </c>
      <c r="V16" s="170">
        <v>1522.35</v>
      </c>
      <c r="X16" s="173" t="s">
        <v>1157</v>
      </c>
      <c r="Y16" s="170">
        <v>164.68</v>
      </c>
    </row>
    <row r="17" spans="2:25" x14ac:dyDescent="0.2">
      <c r="B17" s="172" t="s">
        <v>1158</v>
      </c>
      <c r="C17" s="175">
        <v>5.4</v>
      </c>
      <c r="D17" s="175">
        <v>9</v>
      </c>
      <c r="E17" s="175">
        <v>6.5</v>
      </c>
      <c r="F17" s="175">
        <v>6</v>
      </c>
      <c r="G17" s="175">
        <v>4.2</v>
      </c>
      <c r="H17" s="176"/>
      <c r="I17" s="176"/>
      <c r="K17" s="173" t="s">
        <v>1158</v>
      </c>
      <c r="L17" s="171">
        <v>14</v>
      </c>
      <c r="M17" s="169"/>
      <c r="O17" s="173" t="s">
        <v>1159</v>
      </c>
      <c r="P17" s="170">
        <v>304.27999999999997</v>
      </c>
      <c r="R17" s="173" t="s">
        <v>1158</v>
      </c>
      <c r="S17" s="170">
        <v>360</v>
      </c>
      <c r="U17" s="167" t="s">
        <v>1160</v>
      </c>
      <c r="V17" s="171">
        <v>41.67</v>
      </c>
      <c r="X17" s="173" t="s">
        <v>1159</v>
      </c>
      <c r="Y17" s="171">
        <v>91.1</v>
      </c>
    </row>
    <row r="18" spans="2:25" x14ac:dyDescent="0.2">
      <c r="B18" s="172" t="s">
        <v>1159</v>
      </c>
      <c r="C18" s="2">
        <v>557.70000000000005</v>
      </c>
      <c r="D18" s="2">
        <v>534.6</v>
      </c>
      <c r="E18" s="2">
        <v>494.4</v>
      </c>
      <c r="F18" s="2">
        <v>439.3</v>
      </c>
      <c r="G18" s="2">
        <v>418</v>
      </c>
      <c r="H18" s="166"/>
      <c r="I18" s="166"/>
      <c r="K18" s="173" t="s">
        <v>1159</v>
      </c>
      <c r="L18" s="170">
        <v>1378</v>
      </c>
      <c r="M18" s="174"/>
      <c r="O18" s="167" t="s">
        <v>1161</v>
      </c>
      <c r="P18" s="171">
        <v>46.23</v>
      </c>
      <c r="R18" s="173" t="s">
        <v>1159</v>
      </c>
      <c r="S18" s="170">
        <v>2596</v>
      </c>
      <c r="U18" s="178" t="s">
        <v>130</v>
      </c>
      <c r="V18" s="179">
        <v>6096.77</v>
      </c>
      <c r="X18" s="173" t="s">
        <v>1162</v>
      </c>
      <c r="Y18" s="170">
        <v>159.38999999999999</v>
      </c>
    </row>
    <row r="19" spans="2:25" x14ac:dyDescent="0.2">
      <c r="B19" s="172" t="s">
        <v>1162</v>
      </c>
      <c r="C19" s="175">
        <v>80.7</v>
      </c>
      <c r="D19" s="175">
        <v>68.5</v>
      </c>
      <c r="E19" s="175">
        <v>63.5</v>
      </c>
      <c r="F19" s="175">
        <v>70.599999999999994</v>
      </c>
      <c r="G19" s="175">
        <v>39.200000000000003</v>
      </c>
      <c r="H19" s="176"/>
      <c r="I19" s="176"/>
      <c r="K19" s="173" t="s">
        <v>1162</v>
      </c>
      <c r="L19" s="180">
        <v>-363</v>
      </c>
      <c r="M19" s="181"/>
      <c r="O19" s="178" t="s">
        <v>130</v>
      </c>
      <c r="P19" s="179">
        <v>960.92</v>
      </c>
      <c r="R19" s="167" t="s">
        <v>1161</v>
      </c>
      <c r="S19" s="170">
        <v>394</v>
      </c>
      <c r="U19" s="163" t="s">
        <v>1163</v>
      </c>
      <c r="V19" s="164"/>
      <c r="X19" s="167" t="s">
        <v>1161</v>
      </c>
      <c r="Y19" s="171">
        <v>10.73</v>
      </c>
    </row>
    <row r="20" spans="2:25" x14ac:dyDescent="0.2">
      <c r="B20" s="165" t="s">
        <v>1160</v>
      </c>
      <c r="C20" s="2">
        <v>708.5</v>
      </c>
      <c r="D20" s="177"/>
      <c r="E20" s="177"/>
      <c r="F20" s="177"/>
      <c r="G20" s="177"/>
      <c r="H20" s="182"/>
      <c r="I20" s="182"/>
      <c r="K20" s="167" t="s">
        <v>1160</v>
      </c>
      <c r="L20" s="170">
        <v>1230</v>
      </c>
      <c r="M20" s="174"/>
      <c r="O20" s="163" t="s">
        <v>1163</v>
      </c>
      <c r="P20" s="164"/>
      <c r="R20" s="167" t="s">
        <v>1164</v>
      </c>
      <c r="S20" s="171">
        <v>61</v>
      </c>
      <c r="U20" s="167" t="s">
        <v>1165</v>
      </c>
      <c r="V20" s="171">
        <v>83.65</v>
      </c>
      <c r="X20" s="178" t="s">
        <v>130</v>
      </c>
      <c r="Y20" s="179">
        <v>668.66</v>
      </c>
    </row>
    <row r="21" spans="2:25" x14ac:dyDescent="0.2">
      <c r="B21" s="165" t="s">
        <v>1164</v>
      </c>
      <c r="C21" s="2">
        <v>107.9</v>
      </c>
      <c r="D21" s="2">
        <v>131.9</v>
      </c>
      <c r="E21" s="175">
        <v>88.5</v>
      </c>
      <c r="F21" s="2">
        <v>116</v>
      </c>
      <c r="G21" s="2">
        <v>101.6</v>
      </c>
      <c r="H21" s="166"/>
      <c r="I21" s="166"/>
      <c r="K21" s="167" t="s">
        <v>1164</v>
      </c>
      <c r="L21" s="171">
        <v>95</v>
      </c>
      <c r="M21" s="169"/>
      <c r="O21" s="167" t="s">
        <v>1165</v>
      </c>
      <c r="P21" s="171">
        <v>55.32</v>
      </c>
      <c r="R21" s="173" t="s">
        <v>1166</v>
      </c>
      <c r="S21" s="171">
        <v>51</v>
      </c>
      <c r="U21" s="173" t="s">
        <v>1167</v>
      </c>
      <c r="V21" s="171">
        <v>83.65</v>
      </c>
      <c r="X21" s="163" t="s">
        <v>1163</v>
      </c>
      <c r="Y21" s="164"/>
    </row>
    <row r="22" spans="2:25" x14ac:dyDescent="0.2">
      <c r="B22" s="172" t="s">
        <v>1166</v>
      </c>
      <c r="C22" s="175">
        <v>6.1</v>
      </c>
      <c r="D22" s="175">
        <v>41.1</v>
      </c>
      <c r="E22" s="175">
        <v>18.100000000000001</v>
      </c>
      <c r="F22" s="175">
        <v>0.1</v>
      </c>
      <c r="G22" s="175">
        <v>6.5</v>
      </c>
      <c r="H22" s="176"/>
      <c r="I22" s="176"/>
      <c r="K22" s="173" t="s">
        <v>129</v>
      </c>
      <c r="L22" s="171">
        <v>95</v>
      </c>
      <c r="M22" s="169"/>
      <c r="O22" s="173" t="s">
        <v>1168</v>
      </c>
      <c r="P22" s="171">
        <v>55.32</v>
      </c>
      <c r="R22" s="173" t="s">
        <v>129</v>
      </c>
      <c r="S22" s="171">
        <v>10</v>
      </c>
      <c r="U22" s="167" t="s">
        <v>1169</v>
      </c>
      <c r="V22" s="170">
        <v>792.14</v>
      </c>
      <c r="X22" s="167" t="s">
        <v>1169</v>
      </c>
      <c r="Y22" s="170">
        <v>140.09</v>
      </c>
    </row>
    <row r="23" spans="2:25" x14ac:dyDescent="0.2">
      <c r="B23" s="172" t="s">
        <v>129</v>
      </c>
      <c r="C23" s="2">
        <v>101.8</v>
      </c>
      <c r="D23" s="175">
        <v>90.8</v>
      </c>
      <c r="E23" s="175">
        <v>70.400000000000006</v>
      </c>
      <c r="F23" s="2">
        <v>115.9</v>
      </c>
      <c r="G23" s="175">
        <v>95.1</v>
      </c>
      <c r="H23" s="176"/>
      <c r="I23" s="176"/>
      <c r="K23" s="178" t="s">
        <v>130</v>
      </c>
      <c r="L23" s="179">
        <v>3193</v>
      </c>
      <c r="M23" s="183"/>
      <c r="O23" s="167" t="s">
        <v>1170</v>
      </c>
      <c r="P23" s="170">
        <v>2081.52</v>
      </c>
      <c r="R23" s="178" t="s">
        <v>130</v>
      </c>
      <c r="S23" s="184">
        <v>15254</v>
      </c>
      <c r="U23" s="167" t="s">
        <v>1171</v>
      </c>
      <c r="V23" s="170">
        <v>128.16999999999999</v>
      </c>
      <c r="X23" s="167" t="s">
        <v>1170</v>
      </c>
      <c r="Y23" s="170">
        <v>1822.3</v>
      </c>
    </row>
    <row r="24" spans="2:25" x14ac:dyDescent="0.2">
      <c r="B24" s="185" t="s">
        <v>130</v>
      </c>
      <c r="C24" s="186">
        <v>2567.9</v>
      </c>
      <c r="D24" s="186">
        <v>2265.6999999999998</v>
      </c>
      <c r="E24" s="186">
        <v>2524.9</v>
      </c>
      <c r="F24" s="186">
        <v>1902</v>
      </c>
      <c r="G24" s="186">
        <v>1696.6</v>
      </c>
      <c r="H24" s="187"/>
      <c r="I24" s="187"/>
      <c r="K24" s="163" t="s">
        <v>1163</v>
      </c>
      <c r="L24" s="164"/>
      <c r="M24" s="162"/>
      <c r="O24" s="173" t="s">
        <v>1172</v>
      </c>
      <c r="P24" s="170">
        <v>2081.52</v>
      </c>
      <c r="R24" s="163" t="s">
        <v>1163</v>
      </c>
      <c r="S24" s="164"/>
      <c r="U24" s="173" t="s">
        <v>1173</v>
      </c>
      <c r="V24" s="170">
        <v>128.16999999999999</v>
      </c>
      <c r="X24" s="173" t="s">
        <v>1172</v>
      </c>
      <c r="Y24" s="170">
        <v>1822.3</v>
      </c>
    </row>
    <row r="25" spans="2:25" x14ac:dyDescent="0.2">
      <c r="B25" s="159" t="s">
        <v>1163</v>
      </c>
      <c r="C25" s="160"/>
      <c r="D25" s="160"/>
      <c r="E25" s="160"/>
      <c r="F25" s="160"/>
      <c r="G25" s="160"/>
      <c r="K25" s="167" t="s">
        <v>1170</v>
      </c>
      <c r="L25" s="188">
        <v>10657</v>
      </c>
      <c r="M25" s="189"/>
      <c r="O25" s="173" t="s">
        <v>1174</v>
      </c>
      <c r="P25" s="170">
        <v>3561.83</v>
      </c>
      <c r="R25" s="167" t="s">
        <v>1169</v>
      </c>
      <c r="S25" s="170">
        <v>502</v>
      </c>
      <c r="U25" s="167" t="s">
        <v>1170</v>
      </c>
      <c r="V25" s="188">
        <v>12168.49</v>
      </c>
      <c r="X25" s="173" t="s">
        <v>1174</v>
      </c>
      <c r="Y25" s="170">
        <v>3452.44</v>
      </c>
    </row>
    <row r="26" spans="2:25" x14ac:dyDescent="0.2">
      <c r="B26" s="165" t="s">
        <v>1165</v>
      </c>
      <c r="C26" s="175">
        <v>33.700000000000003</v>
      </c>
      <c r="D26" s="175">
        <v>31.3</v>
      </c>
      <c r="E26" s="175">
        <v>31.3</v>
      </c>
      <c r="F26" s="175">
        <v>31.8</v>
      </c>
      <c r="G26" s="175">
        <v>34.1</v>
      </c>
      <c r="H26" s="176"/>
      <c r="I26" s="176"/>
      <c r="K26" s="173" t="s">
        <v>1172</v>
      </c>
      <c r="L26" s="188">
        <v>10657</v>
      </c>
      <c r="M26" s="189"/>
      <c r="O26" s="173" t="s">
        <v>1175</v>
      </c>
      <c r="P26" s="170">
        <v>3561.83</v>
      </c>
      <c r="R26" s="167" t="s">
        <v>1170</v>
      </c>
      <c r="S26" s="188">
        <v>26408</v>
      </c>
      <c r="U26" s="173" t="s">
        <v>1172</v>
      </c>
      <c r="V26" s="188">
        <v>12168.49</v>
      </c>
      <c r="X26" s="173" t="s">
        <v>1175</v>
      </c>
      <c r="Y26" s="170">
        <v>3452.44</v>
      </c>
    </row>
    <row r="27" spans="2:25" x14ac:dyDescent="0.2">
      <c r="B27" s="172" t="s">
        <v>1168</v>
      </c>
      <c r="C27" s="175">
        <v>33.700000000000003</v>
      </c>
      <c r="D27" s="175">
        <v>31.3</v>
      </c>
      <c r="E27" s="175">
        <v>31.3</v>
      </c>
      <c r="F27" s="175">
        <v>31.8</v>
      </c>
      <c r="G27" s="175">
        <v>34.1</v>
      </c>
      <c r="H27" s="176"/>
      <c r="I27" s="176"/>
      <c r="K27" s="173" t="s">
        <v>1174</v>
      </c>
      <c r="L27" s="188">
        <v>15697</v>
      </c>
      <c r="M27" s="189"/>
      <c r="O27" s="173" t="s">
        <v>1176</v>
      </c>
      <c r="P27" s="170">
        <v>521.44000000000005</v>
      </c>
      <c r="R27" s="173" t="s">
        <v>1172</v>
      </c>
      <c r="S27" s="188">
        <v>26408</v>
      </c>
      <c r="U27" s="173" t="s">
        <v>1177</v>
      </c>
      <c r="V27" s="170">
        <v>4962.54</v>
      </c>
      <c r="X27" s="173" t="s">
        <v>1176</v>
      </c>
      <c r="Y27" s="170">
        <v>677.42</v>
      </c>
    </row>
    <row r="28" spans="2:25" x14ac:dyDescent="0.2">
      <c r="B28" s="165" t="s">
        <v>1170</v>
      </c>
      <c r="C28" s="2">
        <v>8670.1</v>
      </c>
      <c r="D28" s="2">
        <v>8987.9</v>
      </c>
      <c r="E28" s="2">
        <v>6729.4</v>
      </c>
      <c r="F28" s="2">
        <v>6623.9</v>
      </c>
      <c r="G28" s="2">
        <v>6238.2</v>
      </c>
      <c r="H28" s="166"/>
      <c r="I28" s="166"/>
      <c r="K28" s="173" t="s">
        <v>1175</v>
      </c>
      <c r="L28" s="188">
        <v>15697</v>
      </c>
      <c r="M28" s="189"/>
      <c r="O28" s="173" t="s">
        <v>1178</v>
      </c>
      <c r="P28" s="170">
        <v>229.55</v>
      </c>
      <c r="R28" s="173" t="s">
        <v>1174</v>
      </c>
      <c r="S28" s="188">
        <v>44016</v>
      </c>
      <c r="U28" s="173" t="s">
        <v>1179</v>
      </c>
      <c r="V28" s="170">
        <v>3631</v>
      </c>
      <c r="X28" s="173" t="s">
        <v>1178</v>
      </c>
      <c r="Y28" s="170">
        <v>364.55</v>
      </c>
    </row>
    <row r="29" spans="2:25" x14ac:dyDescent="0.2">
      <c r="B29" s="172" t="s">
        <v>1172</v>
      </c>
      <c r="C29" s="2">
        <v>8443.7000000000007</v>
      </c>
      <c r="D29" s="2">
        <v>8752.2999999999993</v>
      </c>
      <c r="E29" s="2">
        <v>6558.1</v>
      </c>
      <c r="F29" s="2">
        <v>6458</v>
      </c>
      <c r="G29" s="2">
        <v>6055.7</v>
      </c>
      <c r="H29" s="166"/>
      <c r="I29" s="166"/>
      <c r="K29" s="173" t="s">
        <v>1176</v>
      </c>
      <c r="L29" s="170">
        <v>2122</v>
      </c>
      <c r="M29" s="174"/>
      <c r="O29" s="173" t="s">
        <v>1180</v>
      </c>
      <c r="P29" s="170">
        <v>291.89</v>
      </c>
      <c r="R29" s="173" t="s">
        <v>1175</v>
      </c>
      <c r="S29" s="188">
        <v>44016</v>
      </c>
      <c r="U29" s="173" t="s">
        <v>1181</v>
      </c>
      <c r="V29" s="170">
        <v>1331.54</v>
      </c>
      <c r="X29" s="173" t="s">
        <v>1180</v>
      </c>
      <c r="Y29" s="170">
        <v>312.87</v>
      </c>
    </row>
    <row r="30" spans="2:25" x14ac:dyDescent="0.2">
      <c r="B30" s="172" t="s">
        <v>1177</v>
      </c>
      <c r="C30" s="2">
        <v>6168.4</v>
      </c>
      <c r="D30" s="2">
        <v>6109.2</v>
      </c>
      <c r="E30" s="2">
        <v>4497</v>
      </c>
      <c r="F30" s="2">
        <v>4214.3999999999996</v>
      </c>
      <c r="G30" s="2">
        <v>3814.6</v>
      </c>
      <c r="H30" s="166"/>
      <c r="I30" s="166"/>
      <c r="K30" s="173" t="s">
        <v>1178</v>
      </c>
      <c r="L30" s="170">
        <v>1929</v>
      </c>
      <c r="M30" s="174"/>
      <c r="O30" s="173" t="s">
        <v>1182</v>
      </c>
      <c r="P30" s="170">
        <v>2050.25</v>
      </c>
      <c r="R30" s="173" t="s">
        <v>1176</v>
      </c>
      <c r="S30" s="188">
        <v>12988</v>
      </c>
      <c r="U30" s="173" t="s">
        <v>1183</v>
      </c>
      <c r="V30" s="170">
        <v>4739.22</v>
      </c>
      <c r="X30" s="173" t="s">
        <v>1182</v>
      </c>
      <c r="Y30" s="170">
        <v>2567.54</v>
      </c>
    </row>
    <row r="31" spans="2:25" x14ac:dyDescent="0.2">
      <c r="B31" s="172" t="s">
        <v>1179</v>
      </c>
      <c r="C31" s="2">
        <v>5887.4</v>
      </c>
      <c r="D31" s="2">
        <v>5804.8</v>
      </c>
      <c r="E31" s="2">
        <v>4292.6000000000004</v>
      </c>
      <c r="F31" s="2">
        <v>3991.1</v>
      </c>
      <c r="G31" s="2">
        <v>3631.7</v>
      </c>
      <c r="H31" s="166"/>
      <c r="I31" s="166"/>
      <c r="K31" s="173" t="s">
        <v>1180</v>
      </c>
      <c r="L31" s="170">
        <v>193</v>
      </c>
      <c r="M31" s="174"/>
      <c r="O31" s="173" t="s">
        <v>1184</v>
      </c>
      <c r="P31" s="171">
        <v>90.07</v>
      </c>
      <c r="R31" s="173" t="s">
        <v>1182</v>
      </c>
      <c r="S31" s="188">
        <v>25842</v>
      </c>
      <c r="U31" s="173" t="s">
        <v>1185</v>
      </c>
      <c r="V31" s="170">
        <v>1199.72</v>
      </c>
      <c r="X31" s="173" t="s">
        <v>1184</v>
      </c>
      <c r="Y31" s="170">
        <v>178.17</v>
      </c>
    </row>
    <row r="32" spans="2:25" x14ac:dyDescent="0.2">
      <c r="B32" s="172" t="s">
        <v>1181</v>
      </c>
      <c r="C32" s="2">
        <v>281</v>
      </c>
      <c r="D32" s="2">
        <v>304.39999999999998</v>
      </c>
      <c r="E32" s="2">
        <v>204.4</v>
      </c>
      <c r="F32" s="2">
        <v>223.3</v>
      </c>
      <c r="G32" s="2">
        <v>182.9</v>
      </c>
      <c r="H32" s="166"/>
      <c r="I32" s="166"/>
      <c r="K32" s="173" t="s">
        <v>1182</v>
      </c>
      <c r="L32" s="170">
        <v>5992</v>
      </c>
      <c r="M32" s="174"/>
      <c r="O32" s="173" t="s">
        <v>1186</v>
      </c>
      <c r="P32" s="171">
        <v>52.59</v>
      </c>
      <c r="R32" s="173" t="s">
        <v>1184</v>
      </c>
      <c r="S32" s="170">
        <v>2974</v>
      </c>
      <c r="U32" s="173" t="s">
        <v>1187</v>
      </c>
      <c r="V32" s="170">
        <v>1114.3900000000001</v>
      </c>
      <c r="X32" s="173" t="s">
        <v>1186</v>
      </c>
      <c r="Y32" s="171">
        <v>29.31</v>
      </c>
    </row>
    <row r="33" spans="2:25" x14ac:dyDescent="0.2">
      <c r="B33" s="172" t="s">
        <v>1183</v>
      </c>
      <c r="C33" s="2">
        <v>7576.3</v>
      </c>
      <c r="D33" s="2">
        <v>7717.2</v>
      </c>
      <c r="E33" s="2">
        <v>6785.5</v>
      </c>
      <c r="F33" s="2">
        <v>6454.2</v>
      </c>
      <c r="G33" s="2">
        <v>6109.2</v>
      </c>
      <c r="H33" s="166"/>
      <c r="I33" s="166"/>
      <c r="K33" s="173" t="s">
        <v>1184</v>
      </c>
      <c r="L33" s="170">
        <v>319</v>
      </c>
      <c r="M33" s="174"/>
      <c r="O33" s="173" t="s">
        <v>1188</v>
      </c>
      <c r="P33" s="171">
        <v>52.59</v>
      </c>
      <c r="R33" s="173" t="s">
        <v>1186</v>
      </c>
      <c r="S33" s="170">
        <v>2212</v>
      </c>
      <c r="U33" s="173" t="s">
        <v>1189</v>
      </c>
      <c r="V33" s="170">
        <v>1114.3900000000001</v>
      </c>
      <c r="X33" s="173" t="s">
        <v>1188</v>
      </c>
      <c r="Y33" s="171">
        <v>29.31</v>
      </c>
    </row>
    <row r="34" spans="2:25" x14ac:dyDescent="0.2">
      <c r="B34" s="172" t="s">
        <v>1185</v>
      </c>
      <c r="C34" s="2">
        <v>498.3</v>
      </c>
      <c r="D34" s="2">
        <v>400.1</v>
      </c>
      <c r="E34" s="2">
        <v>319.39999999999998</v>
      </c>
      <c r="F34" s="2">
        <v>378.7</v>
      </c>
      <c r="G34" s="2">
        <v>301.8</v>
      </c>
      <c r="H34" s="166"/>
      <c r="I34" s="166"/>
      <c r="K34" s="173" t="s">
        <v>1186</v>
      </c>
      <c r="L34" s="170">
        <v>735</v>
      </c>
      <c r="M34" s="174"/>
      <c r="O34" s="173" t="s">
        <v>1190</v>
      </c>
      <c r="P34" s="170">
        <v>847.47</v>
      </c>
      <c r="R34" s="173" t="s">
        <v>1188</v>
      </c>
      <c r="S34" s="170">
        <v>1471</v>
      </c>
      <c r="U34" s="173" t="s">
        <v>1191</v>
      </c>
      <c r="V34" s="170">
        <v>152.62</v>
      </c>
      <c r="X34" s="173" t="s">
        <v>1192</v>
      </c>
      <c r="Y34" s="170">
        <v>1630.15</v>
      </c>
    </row>
    <row r="35" spans="2:25" x14ac:dyDescent="0.2">
      <c r="B35" s="172" t="s">
        <v>1187</v>
      </c>
      <c r="C35" s="2">
        <v>556.79999999999995</v>
      </c>
      <c r="D35" s="2">
        <v>581.1</v>
      </c>
      <c r="E35" s="2">
        <v>574</v>
      </c>
      <c r="F35" s="2">
        <v>665.8</v>
      </c>
      <c r="G35" s="2">
        <v>727.7</v>
      </c>
      <c r="H35" s="166"/>
      <c r="I35" s="166"/>
      <c r="K35" s="173" t="s">
        <v>1188</v>
      </c>
      <c r="L35" s="170">
        <v>367</v>
      </c>
      <c r="M35" s="174"/>
      <c r="O35" s="173" t="s">
        <v>1192</v>
      </c>
      <c r="P35" s="170">
        <v>1480.31</v>
      </c>
      <c r="R35" s="173" t="s">
        <v>1193</v>
      </c>
      <c r="S35" s="170">
        <v>741</v>
      </c>
      <c r="U35" s="167" t="s">
        <v>1194</v>
      </c>
      <c r="V35" s="170">
        <v>536.48</v>
      </c>
      <c r="X35" s="173" t="s">
        <v>1195</v>
      </c>
      <c r="Y35" s="170">
        <v>1630.15</v>
      </c>
    </row>
    <row r="36" spans="2:25" x14ac:dyDescent="0.2">
      <c r="B36" s="172" t="s">
        <v>1196</v>
      </c>
      <c r="C36" s="2">
        <v>521.5</v>
      </c>
      <c r="D36" s="2">
        <v>526.4</v>
      </c>
      <c r="E36" s="2">
        <v>511.7</v>
      </c>
      <c r="F36" s="2">
        <v>572.6</v>
      </c>
      <c r="G36" s="2">
        <v>691.4</v>
      </c>
      <c r="H36" s="166"/>
      <c r="I36" s="166"/>
      <c r="K36" s="173" t="s">
        <v>1193</v>
      </c>
      <c r="L36" s="170">
        <v>368</v>
      </c>
      <c r="M36" s="174"/>
      <c r="O36" s="173" t="s">
        <v>1195</v>
      </c>
      <c r="P36" s="170">
        <v>1480.31</v>
      </c>
      <c r="R36" s="173" t="s">
        <v>1192</v>
      </c>
      <c r="S36" s="188">
        <v>17608</v>
      </c>
      <c r="U36" s="173" t="s">
        <v>1197</v>
      </c>
      <c r="V36" s="170">
        <v>536.48</v>
      </c>
      <c r="X36" s="167" t="s">
        <v>1194</v>
      </c>
      <c r="Y36" s="171">
        <v>37.799999999999997</v>
      </c>
    </row>
    <row r="37" spans="2:25" x14ac:dyDescent="0.2">
      <c r="B37" s="172" t="s">
        <v>1189</v>
      </c>
      <c r="C37" s="175">
        <v>35.299999999999997</v>
      </c>
      <c r="D37" s="175">
        <v>54.7</v>
      </c>
      <c r="E37" s="175">
        <v>62.3</v>
      </c>
      <c r="F37" s="175">
        <v>93.2</v>
      </c>
      <c r="G37" s="175">
        <v>36.299999999999997</v>
      </c>
      <c r="H37" s="176"/>
      <c r="I37" s="176"/>
      <c r="K37" s="173" t="s">
        <v>1190</v>
      </c>
      <c r="L37" s="170">
        <v>6529</v>
      </c>
      <c r="M37" s="174"/>
      <c r="O37" s="167" t="s">
        <v>1198</v>
      </c>
      <c r="P37" s="170">
        <v>552.35</v>
      </c>
      <c r="R37" s="173" t="s">
        <v>1195</v>
      </c>
      <c r="S37" s="188">
        <v>17608</v>
      </c>
      <c r="U37" s="167" t="s">
        <v>1198</v>
      </c>
      <c r="V37" s="170">
        <v>9159.82</v>
      </c>
      <c r="X37" s="173" t="s">
        <v>135</v>
      </c>
      <c r="Y37" s="171">
        <v>37.799999999999997</v>
      </c>
    </row>
    <row r="38" spans="2:25" x14ac:dyDescent="0.2">
      <c r="B38" s="172" t="s">
        <v>1191</v>
      </c>
      <c r="C38" s="190">
        <v>-6356.1</v>
      </c>
      <c r="D38" s="190">
        <v>-6055.3</v>
      </c>
      <c r="E38" s="190">
        <v>-5617.8</v>
      </c>
      <c r="F38" s="190">
        <v>-5255.1</v>
      </c>
      <c r="G38" s="190">
        <v>-4897.6000000000004</v>
      </c>
      <c r="H38" s="191"/>
      <c r="I38" s="191"/>
      <c r="K38" s="173" t="s">
        <v>1199</v>
      </c>
      <c r="L38" s="170">
        <v>6529</v>
      </c>
      <c r="M38" s="174"/>
      <c r="O38" s="173" t="s">
        <v>1200</v>
      </c>
      <c r="P38" s="170">
        <v>519.66999999999996</v>
      </c>
      <c r="R38" s="167" t="s">
        <v>1194</v>
      </c>
      <c r="S38" s="170">
        <v>1018</v>
      </c>
      <c r="U38" s="173" t="s">
        <v>1200</v>
      </c>
      <c r="V38" s="170">
        <v>7169.51</v>
      </c>
      <c r="X38" s="167" t="s">
        <v>1198</v>
      </c>
      <c r="Y38" s="170">
        <v>595.75</v>
      </c>
    </row>
    <row r="39" spans="2:25" x14ac:dyDescent="0.2">
      <c r="B39" s="172" t="s">
        <v>1174</v>
      </c>
      <c r="C39" s="177">
        <v>15178.9</v>
      </c>
      <c r="D39" s="177">
        <v>15190</v>
      </c>
      <c r="E39" s="177">
        <v>12471.6</v>
      </c>
      <c r="F39" s="177">
        <v>11971.8</v>
      </c>
      <c r="G39" s="177">
        <v>11215.5</v>
      </c>
      <c r="H39" s="182"/>
      <c r="I39" s="182"/>
      <c r="K39" s="173" t="s">
        <v>1192</v>
      </c>
      <c r="L39" s="170">
        <v>5040</v>
      </c>
      <c r="M39" s="174"/>
      <c r="O39" s="173" t="s">
        <v>1201</v>
      </c>
      <c r="P39" s="171">
        <v>32.68</v>
      </c>
      <c r="R39" s="173" t="s">
        <v>135</v>
      </c>
      <c r="S39" s="170">
        <v>1018</v>
      </c>
      <c r="U39" s="173" t="s">
        <v>1201</v>
      </c>
      <c r="V39" s="170">
        <v>1990.31</v>
      </c>
      <c r="X39" s="173" t="s">
        <v>1200</v>
      </c>
      <c r="Y39" s="170">
        <v>469.89</v>
      </c>
    </row>
    <row r="40" spans="2:25" x14ac:dyDescent="0.2">
      <c r="B40" s="172" t="s">
        <v>1175</v>
      </c>
      <c r="C40" s="177">
        <v>15178.9</v>
      </c>
      <c r="D40" s="177">
        <v>15190</v>
      </c>
      <c r="E40" s="177">
        <v>12471.6</v>
      </c>
      <c r="F40" s="177">
        <v>11971.8</v>
      </c>
      <c r="G40" s="177">
        <v>11215.5</v>
      </c>
      <c r="H40" s="182"/>
      <c r="I40" s="182"/>
      <c r="K40" s="173" t="s">
        <v>1195</v>
      </c>
      <c r="L40" s="170">
        <v>5040</v>
      </c>
      <c r="M40" s="174"/>
      <c r="O40" s="173" t="s">
        <v>1202</v>
      </c>
      <c r="P40" s="171">
        <v>6.8</v>
      </c>
      <c r="R40" s="167" t="s">
        <v>1198</v>
      </c>
      <c r="S40" s="188">
        <v>15147</v>
      </c>
      <c r="U40" s="178" t="s">
        <v>1203</v>
      </c>
      <c r="V40" s="184">
        <v>22868.74</v>
      </c>
      <c r="X40" s="173" t="s">
        <v>1201</v>
      </c>
      <c r="Y40" s="170">
        <v>125.86</v>
      </c>
    </row>
    <row r="41" spans="2:25" x14ac:dyDescent="0.2">
      <c r="B41" s="172" t="s">
        <v>1176</v>
      </c>
      <c r="C41" s="2">
        <v>6168.4</v>
      </c>
      <c r="D41" s="2">
        <v>6109.2</v>
      </c>
      <c r="E41" s="2">
        <v>4497</v>
      </c>
      <c r="F41" s="2">
        <v>4214.3999999999996</v>
      </c>
      <c r="G41" s="2">
        <v>3814.6</v>
      </c>
      <c r="H41" s="166"/>
      <c r="I41" s="166"/>
      <c r="K41" s="167" t="s">
        <v>1204</v>
      </c>
      <c r="L41" s="188">
        <v>0</v>
      </c>
      <c r="M41" s="189"/>
      <c r="O41" s="173" t="s">
        <v>1205</v>
      </c>
      <c r="P41" s="171">
        <v>25.88</v>
      </c>
      <c r="R41" s="173" t="s">
        <v>1200</v>
      </c>
      <c r="S41" s="188">
        <v>13099</v>
      </c>
      <c r="U41" s="163" t="s">
        <v>136</v>
      </c>
      <c r="V41" s="164"/>
      <c r="X41" s="173" t="s">
        <v>1202</v>
      </c>
      <c r="Y41" s="171">
        <v>1.4</v>
      </c>
    </row>
    <row r="42" spans="2:25" x14ac:dyDescent="0.2">
      <c r="B42" s="172" t="s">
        <v>1178</v>
      </c>
      <c r="C42" s="2">
        <v>5887.4</v>
      </c>
      <c r="D42" s="2">
        <v>5804.8</v>
      </c>
      <c r="E42" s="2">
        <v>4292.6000000000004</v>
      </c>
      <c r="F42" s="2">
        <v>3991.1</v>
      </c>
      <c r="G42" s="2">
        <v>3631.7</v>
      </c>
      <c r="H42" s="166"/>
      <c r="I42" s="166"/>
      <c r="K42" s="167" t="s">
        <v>1194</v>
      </c>
      <c r="L42" s="170">
        <v>788</v>
      </c>
      <c r="M42" s="174"/>
      <c r="O42" s="178" t="s">
        <v>1203</v>
      </c>
      <c r="P42" s="179">
        <v>2689.19</v>
      </c>
      <c r="R42" s="173" t="s">
        <v>1201</v>
      </c>
      <c r="S42" s="170">
        <v>2048</v>
      </c>
      <c r="U42" s="178" t="s">
        <v>136</v>
      </c>
      <c r="V42" s="184">
        <v>28965.51</v>
      </c>
      <c r="X42" s="173" t="s">
        <v>1206</v>
      </c>
      <c r="Y42" s="170">
        <v>108.06</v>
      </c>
    </row>
    <row r="43" spans="2:25" x14ac:dyDescent="0.2">
      <c r="B43" s="172" t="s">
        <v>1180</v>
      </c>
      <c r="C43" s="2">
        <v>281</v>
      </c>
      <c r="D43" s="2">
        <v>304.39999999999998</v>
      </c>
      <c r="E43" s="2">
        <v>204.4</v>
      </c>
      <c r="F43" s="2">
        <v>223.3</v>
      </c>
      <c r="G43" s="2">
        <v>182.9</v>
      </c>
      <c r="H43" s="166"/>
      <c r="I43" s="166"/>
      <c r="K43" s="173" t="s">
        <v>135</v>
      </c>
      <c r="L43" s="170">
        <v>788</v>
      </c>
      <c r="M43" s="174"/>
      <c r="O43" s="163" t="s">
        <v>136</v>
      </c>
      <c r="P43" s="164"/>
      <c r="R43" s="178" t="s">
        <v>1203</v>
      </c>
      <c r="S43" s="184">
        <v>43075</v>
      </c>
      <c r="U43" s="163" t="s">
        <v>289</v>
      </c>
      <c r="V43" s="164"/>
      <c r="X43" s="173" t="s">
        <v>1205</v>
      </c>
      <c r="Y43" s="171">
        <v>16.399999999999999</v>
      </c>
    </row>
    <row r="44" spans="2:25" x14ac:dyDescent="0.2">
      <c r="B44" s="172" t="s">
        <v>1182</v>
      </c>
      <c r="C44" s="2">
        <v>7576.3</v>
      </c>
      <c r="D44" s="2">
        <v>7717.2</v>
      </c>
      <c r="E44" s="2">
        <v>6785.5</v>
      </c>
      <c r="F44" s="2">
        <v>6454.2</v>
      </c>
      <c r="G44" s="2">
        <v>6109.2</v>
      </c>
      <c r="H44" s="166"/>
      <c r="I44" s="166"/>
      <c r="K44" s="167" t="s">
        <v>1198</v>
      </c>
      <c r="L44" s="170">
        <v>4073</v>
      </c>
      <c r="M44" s="174"/>
      <c r="O44" s="178" t="s">
        <v>136</v>
      </c>
      <c r="P44" s="179">
        <v>3650.11</v>
      </c>
      <c r="R44" s="163" t="s">
        <v>136</v>
      </c>
      <c r="S44" s="164"/>
      <c r="U44" s="167" t="s">
        <v>1207</v>
      </c>
      <c r="V44" s="170">
        <v>3477.3</v>
      </c>
      <c r="X44" s="173" t="s">
        <v>1208</v>
      </c>
      <c r="Y44" s="170">
        <v>700.56</v>
      </c>
    </row>
    <row r="45" spans="2:25" x14ac:dyDescent="0.2">
      <c r="B45" s="172" t="s">
        <v>1184</v>
      </c>
      <c r="C45" s="2">
        <v>498.3</v>
      </c>
      <c r="D45" s="2">
        <v>400.1</v>
      </c>
      <c r="E45" s="2">
        <v>319.39999999999998</v>
      </c>
      <c r="F45" s="2">
        <v>378.7</v>
      </c>
      <c r="G45" s="2">
        <v>301.8</v>
      </c>
      <c r="H45" s="166"/>
      <c r="I45" s="166"/>
      <c r="K45" s="173" t="s">
        <v>1200</v>
      </c>
      <c r="L45" s="170">
        <v>3614</v>
      </c>
      <c r="M45" s="174"/>
      <c r="O45" s="163" t="s">
        <v>289</v>
      </c>
      <c r="P45" s="164"/>
      <c r="R45" s="178" t="s">
        <v>136</v>
      </c>
      <c r="S45" s="184">
        <v>58329</v>
      </c>
      <c r="U45" s="173" t="s">
        <v>1209</v>
      </c>
      <c r="V45" s="170">
        <v>3107.89</v>
      </c>
      <c r="X45" s="173" t="s">
        <v>1210</v>
      </c>
      <c r="Y45" s="170">
        <v>469.89</v>
      </c>
    </row>
    <row r="46" spans="2:25" x14ac:dyDescent="0.2">
      <c r="B46" s="172" t="s">
        <v>1186</v>
      </c>
      <c r="C46" s="2">
        <v>709.5</v>
      </c>
      <c r="D46" s="2">
        <v>727.9</v>
      </c>
      <c r="E46" s="2">
        <v>698.4</v>
      </c>
      <c r="F46" s="2">
        <v>758.6</v>
      </c>
      <c r="G46" s="2">
        <v>807.4</v>
      </c>
      <c r="H46" s="166"/>
      <c r="I46" s="166"/>
      <c r="K46" s="173" t="s">
        <v>1201</v>
      </c>
      <c r="L46" s="170">
        <v>459</v>
      </c>
      <c r="M46" s="174"/>
      <c r="O46" s="167" t="s">
        <v>1207</v>
      </c>
      <c r="P46" s="170">
        <v>309.22000000000003</v>
      </c>
      <c r="R46" s="163" t="s">
        <v>289</v>
      </c>
      <c r="S46" s="164"/>
      <c r="U46" s="173" t="s">
        <v>1211</v>
      </c>
      <c r="V46" s="170">
        <v>369.41</v>
      </c>
      <c r="X46" s="173" t="s">
        <v>1212</v>
      </c>
      <c r="Y46" s="170">
        <v>230.66</v>
      </c>
    </row>
    <row r="47" spans="2:25" x14ac:dyDescent="0.2">
      <c r="B47" s="172" t="s">
        <v>1188</v>
      </c>
      <c r="C47" s="2">
        <v>674.2</v>
      </c>
      <c r="D47" s="2">
        <v>673.2</v>
      </c>
      <c r="E47" s="2">
        <v>636.1</v>
      </c>
      <c r="F47" s="2">
        <v>665.4</v>
      </c>
      <c r="G47" s="2">
        <v>771.1</v>
      </c>
      <c r="H47" s="166"/>
      <c r="I47" s="166"/>
      <c r="K47" s="173" t="s">
        <v>1202</v>
      </c>
      <c r="L47" s="171">
        <v>12</v>
      </c>
      <c r="M47" s="169"/>
      <c r="O47" s="173" t="s">
        <v>1209</v>
      </c>
      <c r="P47" s="170">
        <v>145.58000000000001</v>
      </c>
      <c r="R47" s="167" t="s">
        <v>1207</v>
      </c>
      <c r="S47" s="170">
        <v>5459</v>
      </c>
      <c r="U47" s="167" t="s">
        <v>1213</v>
      </c>
      <c r="V47" s="170">
        <v>1454.44</v>
      </c>
      <c r="X47" s="173" t="s">
        <v>1214</v>
      </c>
      <c r="Y47" s="171">
        <v>2.4</v>
      </c>
    </row>
    <row r="48" spans="2:25" x14ac:dyDescent="0.2">
      <c r="B48" s="172" t="s">
        <v>1193</v>
      </c>
      <c r="C48" s="175">
        <v>35.299999999999997</v>
      </c>
      <c r="D48" s="175">
        <v>54.7</v>
      </c>
      <c r="E48" s="175">
        <v>62.3</v>
      </c>
      <c r="F48" s="175">
        <v>93.2</v>
      </c>
      <c r="G48" s="175">
        <v>36.299999999999997</v>
      </c>
      <c r="H48" s="176"/>
      <c r="I48" s="176"/>
      <c r="K48" s="173" t="s">
        <v>1206</v>
      </c>
      <c r="L48" s="171">
        <v>44</v>
      </c>
      <c r="M48" s="169"/>
      <c r="O48" s="173" t="s">
        <v>1211</v>
      </c>
      <c r="P48" s="170">
        <v>163.63999999999999</v>
      </c>
      <c r="R48" s="173" t="s">
        <v>1209</v>
      </c>
      <c r="S48" s="170">
        <v>3263</v>
      </c>
      <c r="U48" s="173" t="s">
        <v>1215</v>
      </c>
      <c r="V48" s="170">
        <v>1454.44</v>
      </c>
      <c r="X48" s="173" t="s">
        <v>1216</v>
      </c>
      <c r="Y48" s="170">
        <v>197.5</v>
      </c>
    </row>
    <row r="49" spans="2:25" x14ac:dyDescent="0.2">
      <c r="B49" s="172" t="s">
        <v>1190</v>
      </c>
      <c r="C49" s="2">
        <v>226.4</v>
      </c>
      <c r="D49" s="2">
        <v>235.6</v>
      </c>
      <c r="E49" s="2">
        <v>171.3</v>
      </c>
      <c r="F49" s="2">
        <v>165.9</v>
      </c>
      <c r="G49" s="2">
        <v>182.5</v>
      </c>
      <c r="H49" s="166"/>
      <c r="I49" s="166"/>
      <c r="K49" s="173" t="s">
        <v>1205</v>
      </c>
      <c r="L49" s="170">
        <v>403</v>
      </c>
      <c r="M49" s="174"/>
      <c r="O49" s="167" t="s">
        <v>1213</v>
      </c>
      <c r="P49" s="171">
        <v>11.71</v>
      </c>
      <c r="R49" s="173" t="s">
        <v>1211</v>
      </c>
      <c r="S49" s="170">
        <v>2196</v>
      </c>
      <c r="U49" s="173" t="s">
        <v>1217</v>
      </c>
      <c r="V49" s="170">
        <v>1187.26</v>
      </c>
      <c r="X49" s="173" t="s">
        <v>1218</v>
      </c>
      <c r="Y49" s="171">
        <v>30.76</v>
      </c>
    </row>
    <row r="50" spans="2:25" x14ac:dyDescent="0.2">
      <c r="B50" s="172" t="s">
        <v>1192</v>
      </c>
      <c r="C50" s="2">
        <v>6508.8</v>
      </c>
      <c r="D50" s="2">
        <v>6202.1</v>
      </c>
      <c r="E50" s="2">
        <v>5742.2</v>
      </c>
      <c r="F50" s="2">
        <v>5347.9</v>
      </c>
      <c r="G50" s="2">
        <v>4977.3</v>
      </c>
      <c r="H50" s="166"/>
      <c r="I50" s="166"/>
      <c r="K50" s="178" t="s">
        <v>1203</v>
      </c>
      <c r="L50" s="184">
        <v>15518</v>
      </c>
      <c r="M50" s="192"/>
      <c r="O50" s="173" t="s">
        <v>1215</v>
      </c>
      <c r="P50" s="171">
        <v>11.71</v>
      </c>
      <c r="R50" s="167" t="s">
        <v>1213</v>
      </c>
      <c r="S50" s="170">
        <v>1291</v>
      </c>
      <c r="U50" s="173" t="s">
        <v>1219</v>
      </c>
      <c r="V50" s="170">
        <v>267.18</v>
      </c>
      <c r="X50" s="173" t="s">
        <v>1220</v>
      </c>
      <c r="Y50" s="170">
        <v>104.81</v>
      </c>
    </row>
    <row r="51" spans="2:25" x14ac:dyDescent="0.2">
      <c r="B51" s="172" t="s">
        <v>1195</v>
      </c>
      <c r="C51" s="2">
        <v>6508.8</v>
      </c>
      <c r="D51" s="2">
        <v>6202.1</v>
      </c>
      <c r="E51" s="2">
        <v>5742.2</v>
      </c>
      <c r="F51" s="2">
        <v>5347.9</v>
      </c>
      <c r="G51" s="2">
        <v>4977.3</v>
      </c>
      <c r="H51" s="166"/>
      <c r="I51" s="166"/>
      <c r="K51" s="163" t="s">
        <v>136</v>
      </c>
      <c r="L51" s="164"/>
      <c r="M51" s="162"/>
      <c r="O51" s="173" t="s">
        <v>1217</v>
      </c>
      <c r="P51" s="171">
        <v>11.71</v>
      </c>
      <c r="R51" s="173" t="s">
        <v>1221</v>
      </c>
      <c r="S51" s="170">
        <v>120</v>
      </c>
      <c r="U51" s="167" t="s">
        <v>1222</v>
      </c>
      <c r="V51" s="171">
        <v>4.2300000000000004</v>
      </c>
      <c r="X51" s="173" t="s">
        <v>1223</v>
      </c>
      <c r="Y51" s="188">
        <v>0</v>
      </c>
    </row>
    <row r="52" spans="2:25" x14ac:dyDescent="0.2">
      <c r="B52" s="172" t="s">
        <v>1224</v>
      </c>
      <c r="C52" s="2">
        <v>152.69999999999999</v>
      </c>
      <c r="D52" s="2">
        <v>146.80000000000001</v>
      </c>
      <c r="E52" s="2">
        <v>124.4</v>
      </c>
      <c r="F52" s="175">
        <v>92.8</v>
      </c>
      <c r="G52" s="175">
        <v>79.7</v>
      </c>
      <c r="H52" s="176"/>
      <c r="I52" s="176"/>
      <c r="K52" s="178" t="s">
        <v>136</v>
      </c>
      <c r="L52" s="184">
        <v>18711</v>
      </c>
      <c r="M52" s="192"/>
      <c r="O52" s="167" t="s">
        <v>1225</v>
      </c>
      <c r="P52" s="171">
        <v>15.94</v>
      </c>
      <c r="R52" s="173" t="s">
        <v>1215</v>
      </c>
      <c r="S52" s="170">
        <v>1171</v>
      </c>
      <c r="U52" s="167" t="s">
        <v>1226</v>
      </c>
      <c r="V52" s="170">
        <v>437.13</v>
      </c>
      <c r="X52" s="173" t="s">
        <v>1227</v>
      </c>
      <c r="Y52" s="170">
        <v>104.81</v>
      </c>
    </row>
    <row r="53" spans="2:25" x14ac:dyDescent="0.2">
      <c r="B53" s="172" t="s">
        <v>1228</v>
      </c>
      <c r="C53" s="2">
        <v>152.69999999999999</v>
      </c>
      <c r="D53" s="2">
        <v>146.80000000000001</v>
      </c>
      <c r="E53" s="2">
        <v>124.4</v>
      </c>
      <c r="F53" s="175">
        <v>92.8</v>
      </c>
      <c r="G53" s="175">
        <v>79.7</v>
      </c>
      <c r="H53" s="176"/>
      <c r="I53" s="176"/>
      <c r="K53" s="163" t="s">
        <v>289</v>
      </c>
      <c r="L53" s="164"/>
      <c r="M53" s="162"/>
      <c r="O53" s="167" t="s">
        <v>1229</v>
      </c>
      <c r="P53" s="171">
        <v>41.12</v>
      </c>
      <c r="R53" s="173" t="s">
        <v>1217</v>
      </c>
      <c r="S53" s="170">
        <v>1055</v>
      </c>
      <c r="U53" s="167" t="s">
        <v>1229</v>
      </c>
      <c r="V53" s="170">
        <v>2010.54</v>
      </c>
      <c r="X53" s="173" t="s">
        <v>1230</v>
      </c>
      <c r="Y53" s="171">
        <v>1</v>
      </c>
    </row>
    <row r="54" spans="2:25" x14ac:dyDescent="0.2">
      <c r="B54" s="172" t="s">
        <v>1231</v>
      </c>
      <c r="C54" s="2">
        <v>6356.1</v>
      </c>
      <c r="D54" s="2">
        <v>6055.3</v>
      </c>
      <c r="E54" s="2">
        <v>5617.8</v>
      </c>
      <c r="F54" s="2">
        <v>5255.1</v>
      </c>
      <c r="G54" s="2">
        <v>4897.6000000000004</v>
      </c>
      <c r="H54" s="166"/>
      <c r="I54" s="166"/>
      <c r="K54" s="167" t="s">
        <v>1207</v>
      </c>
      <c r="L54" s="170">
        <v>540</v>
      </c>
      <c r="M54" s="174"/>
      <c r="O54" s="173" t="s">
        <v>1232</v>
      </c>
      <c r="P54" s="171">
        <v>33.770000000000003</v>
      </c>
      <c r="R54" s="173" t="s">
        <v>1219</v>
      </c>
      <c r="S54" s="170">
        <v>116</v>
      </c>
      <c r="U54" s="173" t="s">
        <v>1233</v>
      </c>
      <c r="V54" s="170">
        <v>581.78</v>
      </c>
      <c r="X54" s="173" t="s">
        <v>1234</v>
      </c>
      <c r="Y54" s="171">
        <v>89.44</v>
      </c>
    </row>
    <row r="55" spans="2:25" x14ac:dyDescent="0.2">
      <c r="B55" s="165" t="s">
        <v>1194</v>
      </c>
      <c r="C55" s="2">
        <v>158.80000000000001</v>
      </c>
      <c r="D55" s="2">
        <v>317.10000000000002</v>
      </c>
      <c r="E55" s="2">
        <v>267.7</v>
      </c>
      <c r="F55" s="2">
        <v>285.2</v>
      </c>
      <c r="G55" s="2">
        <v>268</v>
      </c>
      <c r="H55" s="166"/>
      <c r="I55" s="166"/>
      <c r="K55" s="173" t="s">
        <v>1209</v>
      </c>
      <c r="L55" s="170">
        <v>389</v>
      </c>
      <c r="M55" s="174"/>
      <c r="O55" s="173" t="s">
        <v>140</v>
      </c>
      <c r="P55" s="171">
        <v>7.35</v>
      </c>
      <c r="R55" s="167" t="s">
        <v>1226</v>
      </c>
      <c r="S55" s="170">
        <v>106</v>
      </c>
      <c r="U55" s="173" t="s">
        <v>140</v>
      </c>
      <c r="V55" s="170">
        <v>1428.75</v>
      </c>
      <c r="X55" s="173" t="s">
        <v>1235</v>
      </c>
      <c r="Y55" s="171">
        <v>14.36</v>
      </c>
    </row>
    <row r="56" spans="2:25" x14ac:dyDescent="0.2">
      <c r="B56" s="172" t="s">
        <v>135</v>
      </c>
      <c r="C56" s="2">
        <v>158.80000000000001</v>
      </c>
      <c r="D56" s="2">
        <v>317.10000000000002</v>
      </c>
      <c r="E56" s="2">
        <v>267.7</v>
      </c>
      <c r="F56" s="2">
        <v>285.2</v>
      </c>
      <c r="G56" s="2">
        <v>268</v>
      </c>
      <c r="H56" s="166"/>
      <c r="I56" s="166"/>
      <c r="K56" s="173" t="s">
        <v>1211</v>
      </c>
      <c r="L56" s="170">
        <v>151</v>
      </c>
      <c r="M56" s="174"/>
      <c r="O56" s="178" t="s">
        <v>142</v>
      </c>
      <c r="P56" s="179">
        <v>377.99</v>
      </c>
      <c r="R56" s="167" t="s">
        <v>1225</v>
      </c>
      <c r="S56" s="170">
        <v>286</v>
      </c>
      <c r="U56" s="178" t="s">
        <v>142</v>
      </c>
      <c r="V56" s="179">
        <v>7383.63</v>
      </c>
      <c r="X56" s="178" t="s">
        <v>1203</v>
      </c>
      <c r="Y56" s="179">
        <v>2595.9299999999998</v>
      </c>
    </row>
    <row r="57" spans="2:25" x14ac:dyDescent="0.2">
      <c r="B57" s="165" t="s">
        <v>1198</v>
      </c>
      <c r="C57" s="2">
        <v>5269.9</v>
      </c>
      <c r="D57" s="2">
        <v>5502.8</v>
      </c>
      <c r="E57" s="2">
        <v>4992.3999999999996</v>
      </c>
      <c r="F57" s="2">
        <v>5391.7</v>
      </c>
      <c r="G57" s="2">
        <v>5445.7</v>
      </c>
      <c r="H57" s="166"/>
      <c r="I57" s="166"/>
      <c r="K57" s="167" t="s">
        <v>1213</v>
      </c>
      <c r="L57" s="171">
        <v>45</v>
      </c>
      <c r="M57" s="169"/>
      <c r="O57" s="163" t="s">
        <v>1236</v>
      </c>
      <c r="P57" s="164"/>
      <c r="R57" s="167" t="s">
        <v>1229</v>
      </c>
      <c r="S57" s="170">
        <v>1612</v>
      </c>
      <c r="U57" s="163" t="s">
        <v>1236</v>
      </c>
      <c r="V57" s="164"/>
      <c r="X57" s="163" t="s">
        <v>136</v>
      </c>
      <c r="Y57" s="164"/>
    </row>
    <row r="58" spans="2:25" x14ac:dyDescent="0.2">
      <c r="B58" s="172" t="s">
        <v>1200</v>
      </c>
      <c r="C58" s="2">
        <v>3780.9</v>
      </c>
      <c r="D58" s="2">
        <v>3788.1</v>
      </c>
      <c r="E58" s="2">
        <v>3531.7</v>
      </c>
      <c r="F58" s="2">
        <v>3689.6</v>
      </c>
      <c r="G58" s="2">
        <v>3696.7</v>
      </c>
      <c r="H58" s="166"/>
      <c r="I58" s="166"/>
      <c r="K58" s="173" t="s">
        <v>1215</v>
      </c>
      <c r="L58" s="171">
        <v>45</v>
      </c>
      <c r="M58" s="169"/>
      <c r="O58" s="167" t="s">
        <v>1237</v>
      </c>
      <c r="P58" s="170">
        <v>1153.83</v>
      </c>
      <c r="R58" s="173" t="s">
        <v>1232</v>
      </c>
      <c r="S58" s="170">
        <v>405</v>
      </c>
      <c r="U58" s="167" t="s">
        <v>1237</v>
      </c>
      <c r="V58" s="170">
        <v>5325.55</v>
      </c>
      <c r="X58" s="178" t="s">
        <v>136</v>
      </c>
      <c r="Y58" s="179">
        <v>3264.59</v>
      </c>
    </row>
    <row r="59" spans="2:25" x14ac:dyDescent="0.2">
      <c r="B59" s="172" t="s">
        <v>1201</v>
      </c>
      <c r="C59" s="2">
        <v>1489</v>
      </c>
      <c r="D59" s="2">
        <v>1714.7</v>
      </c>
      <c r="E59" s="2">
        <v>1460.7</v>
      </c>
      <c r="F59" s="2">
        <v>1702.1</v>
      </c>
      <c r="G59" s="2">
        <v>1749</v>
      </c>
      <c r="H59" s="166"/>
      <c r="I59" s="166"/>
      <c r="K59" s="173" t="s">
        <v>1217</v>
      </c>
      <c r="L59" s="171">
        <v>30</v>
      </c>
      <c r="M59" s="169"/>
      <c r="O59" s="173" t="s">
        <v>1238</v>
      </c>
      <c r="P59" s="170">
        <v>1153.83</v>
      </c>
      <c r="R59" s="173" t="s">
        <v>140</v>
      </c>
      <c r="S59" s="170">
        <v>1207</v>
      </c>
      <c r="U59" s="173" t="s">
        <v>1238</v>
      </c>
      <c r="V59" s="170">
        <v>4457.1000000000004</v>
      </c>
      <c r="X59" s="163" t="s">
        <v>289</v>
      </c>
      <c r="Y59" s="164"/>
    </row>
    <row r="60" spans="2:25" x14ac:dyDescent="0.2">
      <c r="B60" s="172" t="s">
        <v>1206</v>
      </c>
      <c r="C60" s="2">
        <v>1225.2</v>
      </c>
      <c r="D60" s="2">
        <v>1642.9</v>
      </c>
      <c r="E60" s="2">
        <v>1395.5</v>
      </c>
      <c r="F60" s="2">
        <v>1610.7</v>
      </c>
      <c r="G60" s="2">
        <v>1651.5</v>
      </c>
      <c r="H60" s="166"/>
      <c r="I60" s="166"/>
      <c r="K60" s="173" t="s">
        <v>1219</v>
      </c>
      <c r="L60" s="171">
        <v>15</v>
      </c>
      <c r="M60" s="169"/>
      <c r="O60" s="173" t="s">
        <v>1239</v>
      </c>
      <c r="P60" s="170">
        <v>1153.83</v>
      </c>
      <c r="R60" s="178" t="s">
        <v>142</v>
      </c>
      <c r="S60" s="179">
        <v>8754</v>
      </c>
      <c r="U60" s="173" t="s">
        <v>1239</v>
      </c>
      <c r="V60" s="170">
        <v>4457.1000000000004</v>
      </c>
      <c r="X60" s="167" t="s">
        <v>1207</v>
      </c>
      <c r="Y60" s="170">
        <v>209.82</v>
      </c>
    </row>
    <row r="61" spans="2:25" x14ac:dyDescent="0.2">
      <c r="B61" s="172" t="s">
        <v>1205</v>
      </c>
      <c r="C61" s="2">
        <v>263.8</v>
      </c>
      <c r="D61" s="175">
        <v>71.8</v>
      </c>
      <c r="E61" s="175">
        <v>65.2</v>
      </c>
      <c r="F61" s="175">
        <v>91.4</v>
      </c>
      <c r="G61" s="175">
        <v>97.5</v>
      </c>
      <c r="H61" s="176"/>
      <c r="I61" s="176"/>
      <c r="K61" s="167" t="s">
        <v>1225</v>
      </c>
      <c r="L61" s="171">
        <v>62</v>
      </c>
      <c r="M61" s="169"/>
      <c r="O61" s="167" t="s">
        <v>1240</v>
      </c>
      <c r="P61" s="170">
        <v>287.92</v>
      </c>
      <c r="R61" s="163" t="s">
        <v>1236</v>
      </c>
      <c r="S61" s="164"/>
      <c r="U61" s="173" t="s">
        <v>1241</v>
      </c>
      <c r="V61" s="170">
        <v>868.45</v>
      </c>
      <c r="X61" s="173" t="s">
        <v>1209</v>
      </c>
      <c r="Y61" s="170">
        <v>129.9</v>
      </c>
    </row>
    <row r="62" spans="2:25" x14ac:dyDescent="0.2">
      <c r="B62" s="185" t="s">
        <v>1203</v>
      </c>
      <c r="C62" s="193">
        <v>14132.5</v>
      </c>
      <c r="D62" s="193">
        <v>14839.1</v>
      </c>
      <c r="E62" s="193">
        <v>12020.8</v>
      </c>
      <c r="F62" s="193">
        <v>12332.6</v>
      </c>
      <c r="G62" s="193">
        <v>11986</v>
      </c>
      <c r="H62" s="194"/>
      <c r="I62" s="194"/>
      <c r="K62" s="167" t="s">
        <v>1229</v>
      </c>
      <c r="L62" s="170">
        <v>248</v>
      </c>
      <c r="M62" s="174"/>
      <c r="O62" s="173" t="s">
        <v>1242</v>
      </c>
      <c r="P62" s="170">
        <v>287.92</v>
      </c>
      <c r="R62" s="167" t="s">
        <v>1237</v>
      </c>
      <c r="S62" s="188">
        <v>16896</v>
      </c>
      <c r="U62" s="167" t="s">
        <v>1240</v>
      </c>
      <c r="V62" s="170">
        <v>601.33000000000004</v>
      </c>
      <c r="X62" s="173" t="s">
        <v>1211</v>
      </c>
      <c r="Y62" s="171">
        <v>79.930000000000007</v>
      </c>
    </row>
    <row r="63" spans="2:25" x14ac:dyDescent="0.2">
      <c r="B63" s="159" t="s">
        <v>136</v>
      </c>
      <c r="C63" s="160"/>
      <c r="D63" s="160"/>
      <c r="E63" s="160"/>
      <c r="F63" s="160"/>
      <c r="G63" s="160"/>
      <c r="K63" s="173" t="s">
        <v>140</v>
      </c>
      <c r="L63" s="170">
        <v>248</v>
      </c>
      <c r="M63" s="174"/>
      <c r="O63" s="167" t="s">
        <v>1243</v>
      </c>
      <c r="P63" s="171">
        <v>36.65</v>
      </c>
      <c r="R63" s="173" t="s">
        <v>1238</v>
      </c>
      <c r="S63" s="188">
        <v>16478</v>
      </c>
      <c r="U63" s="173" t="s">
        <v>1242</v>
      </c>
      <c r="V63" s="170">
        <v>601.33000000000004</v>
      </c>
      <c r="X63" s="167" t="s">
        <v>1213</v>
      </c>
      <c r="Y63" s="171">
        <v>15</v>
      </c>
    </row>
    <row r="64" spans="2:25" x14ac:dyDescent="0.2">
      <c r="B64" s="185" t="s">
        <v>136</v>
      </c>
      <c r="C64" s="193">
        <v>16700.400000000001</v>
      </c>
      <c r="D64" s="193">
        <v>17104.8</v>
      </c>
      <c r="E64" s="193">
        <v>14545.7</v>
      </c>
      <c r="F64" s="193">
        <v>14234.6</v>
      </c>
      <c r="G64" s="193">
        <v>13682.6</v>
      </c>
      <c r="H64" s="194"/>
      <c r="I64" s="194"/>
      <c r="K64" s="178" t="s">
        <v>142</v>
      </c>
      <c r="L64" s="179">
        <v>895</v>
      </c>
      <c r="M64" s="183"/>
      <c r="O64" s="167" t="s">
        <v>1244</v>
      </c>
      <c r="P64" s="170">
        <v>152.79</v>
      </c>
      <c r="R64" s="173" t="s">
        <v>1239</v>
      </c>
      <c r="S64" s="188">
        <v>16478</v>
      </c>
      <c r="U64" s="167" t="s">
        <v>1244</v>
      </c>
      <c r="V64" s="170">
        <v>2033.32</v>
      </c>
      <c r="X64" s="173" t="s">
        <v>1215</v>
      </c>
      <c r="Y64" s="171">
        <v>15</v>
      </c>
    </row>
    <row r="65" spans="2:25" x14ac:dyDescent="0.2">
      <c r="B65" s="159" t="s">
        <v>289</v>
      </c>
      <c r="C65" s="160"/>
      <c r="D65" s="160"/>
      <c r="E65" s="160"/>
      <c r="F65" s="160"/>
      <c r="G65" s="160"/>
      <c r="K65" s="163" t="s">
        <v>1236</v>
      </c>
      <c r="L65" s="164"/>
      <c r="M65" s="162"/>
      <c r="O65" s="173" t="s">
        <v>145</v>
      </c>
      <c r="P65" s="170">
        <v>152.79</v>
      </c>
      <c r="R65" s="173" t="s">
        <v>1241</v>
      </c>
      <c r="S65" s="170">
        <v>418</v>
      </c>
      <c r="U65" s="173" t="s">
        <v>1245</v>
      </c>
      <c r="V65" s="170">
        <v>587.70000000000005</v>
      </c>
      <c r="X65" s="173" t="s">
        <v>1217</v>
      </c>
      <c r="Y65" s="171">
        <v>15</v>
      </c>
    </row>
    <row r="66" spans="2:25" x14ac:dyDescent="0.2">
      <c r="B66" s="165" t="s">
        <v>1207</v>
      </c>
      <c r="C66" s="2">
        <v>569.20000000000005</v>
      </c>
      <c r="D66" s="2">
        <v>531</v>
      </c>
      <c r="E66" s="2">
        <v>526.20000000000005</v>
      </c>
      <c r="F66" s="2">
        <v>567.20000000000005</v>
      </c>
      <c r="G66" s="2">
        <v>486</v>
      </c>
      <c r="H66" s="166"/>
      <c r="I66" s="166"/>
      <c r="K66" s="167" t="s">
        <v>1237</v>
      </c>
      <c r="L66" s="170">
        <v>5580</v>
      </c>
      <c r="M66" s="174"/>
      <c r="O66" s="167" t="s">
        <v>1246</v>
      </c>
      <c r="P66" s="170">
        <v>1631.18</v>
      </c>
      <c r="R66" s="167" t="s">
        <v>1240</v>
      </c>
      <c r="S66" s="170">
        <v>3511</v>
      </c>
      <c r="U66" s="173" t="s">
        <v>1247</v>
      </c>
      <c r="V66" s="170">
        <v>587.70000000000005</v>
      </c>
      <c r="X66" s="167" t="s">
        <v>1248</v>
      </c>
      <c r="Y66" s="171">
        <v>8.4600000000000009</v>
      </c>
    </row>
    <row r="67" spans="2:25" x14ac:dyDescent="0.2">
      <c r="B67" s="172" t="s">
        <v>1209</v>
      </c>
      <c r="C67" s="2">
        <v>438.5</v>
      </c>
      <c r="D67" s="2">
        <v>407</v>
      </c>
      <c r="E67" s="2">
        <v>390.4</v>
      </c>
      <c r="F67" s="2">
        <v>454.5</v>
      </c>
      <c r="G67" s="2">
        <v>365.5</v>
      </c>
      <c r="H67" s="166"/>
      <c r="I67" s="166"/>
      <c r="K67" s="173" t="s">
        <v>1238</v>
      </c>
      <c r="L67" s="170">
        <v>5293</v>
      </c>
      <c r="M67" s="174"/>
      <c r="O67" s="163" t="s">
        <v>147</v>
      </c>
      <c r="P67" s="164"/>
      <c r="R67" s="173" t="s">
        <v>1242</v>
      </c>
      <c r="S67" s="170">
        <v>3511</v>
      </c>
      <c r="U67" s="173" t="s">
        <v>145</v>
      </c>
      <c r="V67" s="170">
        <v>1445.62</v>
      </c>
      <c r="X67" s="167" t="s">
        <v>1225</v>
      </c>
      <c r="Y67" s="171">
        <v>4.03</v>
      </c>
    </row>
    <row r="68" spans="2:25" x14ac:dyDescent="0.2">
      <c r="B68" s="172" t="s">
        <v>1211</v>
      </c>
      <c r="C68" s="2">
        <v>130.69999999999999</v>
      </c>
      <c r="D68" s="2">
        <v>124</v>
      </c>
      <c r="E68" s="2">
        <v>135.80000000000001</v>
      </c>
      <c r="F68" s="2">
        <v>112.7</v>
      </c>
      <c r="G68" s="2">
        <v>120.5</v>
      </c>
      <c r="H68" s="166"/>
      <c r="I68" s="166"/>
      <c r="K68" s="173" t="s">
        <v>1239</v>
      </c>
      <c r="L68" s="170">
        <v>5293</v>
      </c>
      <c r="M68" s="174"/>
      <c r="O68" s="178" t="s">
        <v>147</v>
      </c>
      <c r="P68" s="179">
        <v>2009.17</v>
      </c>
      <c r="R68" s="167" t="s">
        <v>1243</v>
      </c>
      <c r="S68" s="170">
        <v>1232</v>
      </c>
      <c r="U68" s="167" t="s">
        <v>1246</v>
      </c>
      <c r="V68" s="170">
        <v>7960.2</v>
      </c>
      <c r="X68" s="167" t="s">
        <v>1229</v>
      </c>
      <c r="Y68" s="171">
        <v>7.69</v>
      </c>
    </row>
    <row r="69" spans="2:25" x14ac:dyDescent="0.2">
      <c r="B69" s="165" t="s">
        <v>1213</v>
      </c>
      <c r="C69" s="175">
        <v>6.2</v>
      </c>
      <c r="D69" s="2">
        <v>411.2</v>
      </c>
      <c r="E69" s="175">
        <v>13</v>
      </c>
      <c r="F69" s="2">
        <v>122.8</v>
      </c>
      <c r="G69" s="175">
        <v>40.6</v>
      </c>
      <c r="H69" s="176"/>
      <c r="I69" s="176"/>
      <c r="K69" s="173" t="s">
        <v>1241</v>
      </c>
      <c r="L69" s="170">
        <v>287</v>
      </c>
      <c r="M69" s="174"/>
      <c r="O69" s="163" t="s">
        <v>1249</v>
      </c>
      <c r="P69" s="164"/>
      <c r="R69" s="167" t="s">
        <v>1244</v>
      </c>
      <c r="S69" s="170">
        <v>2458</v>
      </c>
      <c r="U69" s="163" t="s">
        <v>147</v>
      </c>
      <c r="V69" s="164"/>
      <c r="X69" s="173" t="s">
        <v>140</v>
      </c>
      <c r="Y69" s="171">
        <v>7.69</v>
      </c>
    </row>
    <row r="70" spans="2:25" x14ac:dyDescent="0.2">
      <c r="B70" s="172" t="s">
        <v>1221</v>
      </c>
      <c r="C70" s="177"/>
      <c r="D70" s="177"/>
      <c r="E70" s="177">
        <v>0</v>
      </c>
      <c r="F70" s="2">
        <v>100</v>
      </c>
      <c r="G70" s="177"/>
      <c r="H70" s="182"/>
      <c r="I70" s="182"/>
      <c r="K70" s="167" t="s">
        <v>1240</v>
      </c>
      <c r="L70" s="170">
        <v>1266</v>
      </c>
      <c r="M70" s="174"/>
      <c r="O70" s="167" t="s">
        <v>1250</v>
      </c>
      <c r="P70" s="170">
        <v>1640.94</v>
      </c>
      <c r="R70" s="173" t="s">
        <v>1245</v>
      </c>
      <c r="S70" s="170">
        <v>605</v>
      </c>
      <c r="U70" s="178" t="s">
        <v>147</v>
      </c>
      <c r="V70" s="184">
        <v>15343.83</v>
      </c>
      <c r="X70" s="178" t="s">
        <v>142</v>
      </c>
      <c r="Y70" s="179">
        <v>245</v>
      </c>
    </row>
    <row r="71" spans="2:25" x14ac:dyDescent="0.2">
      <c r="B71" s="172" t="s">
        <v>1215</v>
      </c>
      <c r="C71" s="175">
        <v>6.2</v>
      </c>
      <c r="D71" s="2">
        <v>411.2</v>
      </c>
      <c r="E71" s="175">
        <v>13</v>
      </c>
      <c r="F71" s="175">
        <v>22.8</v>
      </c>
      <c r="G71" s="175">
        <v>40.6</v>
      </c>
      <c r="H71" s="176"/>
      <c r="I71" s="176"/>
      <c r="K71" s="173" t="s">
        <v>1242</v>
      </c>
      <c r="L71" s="170">
        <v>1266</v>
      </c>
      <c r="M71" s="174"/>
      <c r="O71" s="173" t="s">
        <v>1251</v>
      </c>
      <c r="P71" s="170">
        <v>1640.94</v>
      </c>
      <c r="R71" s="173" t="s">
        <v>1247</v>
      </c>
      <c r="S71" s="170">
        <v>248</v>
      </c>
      <c r="U71" s="163" t="s">
        <v>1249</v>
      </c>
      <c r="V71" s="164"/>
      <c r="X71" s="163" t="s">
        <v>1236</v>
      </c>
      <c r="Y71" s="164"/>
    </row>
    <row r="72" spans="2:25" x14ac:dyDescent="0.2">
      <c r="B72" s="172" t="s">
        <v>1217</v>
      </c>
      <c r="C72" s="175">
        <v>0.4</v>
      </c>
      <c r="D72" s="2">
        <v>400.5</v>
      </c>
      <c r="E72" s="175">
        <v>0.5</v>
      </c>
      <c r="F72" s="175">
        <v>0.5</v>
      </c>
      <c r="G72" s="175">
        <v>5.2</v>
      </c>
      <c r="H72" s="176"/>
      <c r="I72" s="176"/>
      <c r="K72" s="167" t="s">
        <v>1243</v>
      </c>
      <c r="L72" s="170">
        <v>320</v>
      </c>
      <c r="M72" s="174"/>
      <c r="O72" s="173" t="s">
        <v>1252</v>
      </c>
      <c r="P72" s="171">
        <v>3.63</v>
      </c>
      <c r="R72" s="173" t="s">
        <v>1253</v>
      </c>
      <c r="S72" s="170">
        <v>357</v>
      </c>
      <c r="U72" s="167" t="s">
        <v>1250</v>
      </c>
      <c r="V72" s="188">
        <v>13314.01</v>
      </c>
      <c r="X72" s="167" t="s">
        <v>1237</v>
      </c>
      <c r="Y72" s="170">
        <v>1223.32</v>
      </c>
    </row>
    <row r="73" spans="2:25" x14ac:dyDescent="0.2">
      <c r="B73" s="172" t="s">
        <v>1219</v>
      </c>
      <c r="C73" s="175">
        <v>5.8</v>
      </c>
      <c r="D73" s="175">
        <v>10.7</v>
      </c>
      <c r="E73" s="175">
        <v>12.5</v>
      </c>
      <c r="F73" s="175">
        <v>22.3</v>
      </c>
      <c r="G73" s="175">
        <v>35.4</v>
      </c>
      <c r="H73" s="176"/>
      <c r="I73" s="176"/>
      <c r="K73" s="167" t="s">
        <v>1244</v>
      </c>
      <c r="L73" s="170">
        <v>616</v>
      </c>
      <c r="M73" s="174"/>
      <c r="O73" s="173" t="s">
        <v>1254</v>
      </c>
      <c r="P73" s="170">
        <v>630.21</v>
      </c>
      <c r="R73" s="173" t="s">
        <v>145</v>
      </c>
      <c r="S73" s="170">
        <v>1853</v>
      </c>
      <c r="U73" s="173" t="s">
        <v>1251</v>
      </c>
      <c r="V73" s="188">
        <v>13314.01</v>
      </c>
      <c r="X73" s="173" t="s">
        <v>1238</v>
      </c>
      <c r="Y73" s="170">
        <v>1223.32</v>
      </c>
    </row>
    <row r="74" spans="2:25" x14ac:dyDescent="0.2">
      <c r="B74" s="165" t="s">
        <v>1222</v>
      </c>
      <c r="C74" s="175">
        <v>29.3</v>
      </c>
      <c r="D74" s="177"/>
      <c r="E74" s="177"/>
      <c r="F74" s="177"/>
      <c r="G74" s="177"/>
      <c r="H74" s="182"/>
      <c r="I74" s="182"/>
      <c r="K74" s="173" t="s">
        <v>145</v>
      </c>
      <c r="L74" s="170">
        <v>616</v>
      </c>
      <c r="M74" s="174"/>
      <c r="O74" s="173" t="s">
        <v>1255</v>
      </c>
      <c r="P74" s="171">
        <v>0.56999999999999995</v>
      </c>
      <c r="R74" s="167" t="s">
        <v>1256</v>
      </c>
      <c r="S74" s="170">
        <v>430</v>
      </c>
      <c r="U74" s="173" t="s">
        <v>1254</v>
      </c>
      <c r="V74" s="170">
        <v>7699.11</v>
      </c>
      <c r="X74" s="173" t="s">
        <v>1239</v>
      </c>
      <c r="Y74" s="170">
        <v>1223.32</v>
      </c>
    </row>
    <row r="75" spans="2:25" x14ac:dyDescent="0.2">
      <c r="B75" s="165" t="s">
        <v>1225</v>
      </c>
      <c r="C75" s="175">
        <v>44.5</v>
      </c>
      <c r="D75" s="175">
        <v>49.3</v>
      </c>
      <c r="E75" s="175">
        <v>47.3</v>
      </c>
      <c r="F75" s="175">
        <v>48.1</v>
      </c>
      <c r="G75" s="175">
        <v>49.2</v>
      </c>
      <c r="H75" s="176"/>
      <c r="I75" s="176"/>
      <c r="K75" s="167" t="s">
        <v>1246</v>
      </c>
      <c r="L75" s="170">
        <v>7782</v>
      </c>
      <c r="M75" s="174"/>
      <c r="O75" s="173" t="s">
        <v>1257</v>
      </c>
      <c r="P75" s="170">
        <v>629.64</v>
      </c>
      <c r="R75" s="167" t="s">
        <v>1246</v>
      </c>
      <c r="S75" s="188">
        <v>24527</v>
      </c>
      <c r="U75" s="173" t="s">
        <v>1255</v>
      </c>
      <c r="V75" s="170">
        <v>318.13</v>
      </c>
      <c r="X75" s="167" t="s">
        <v>1240</v>
      </c>
      <c r="Y75" s="170">
        <v>239.94</v>
      </c>
    </row>
    <row r="76" spans="2:25" x14ac:dyDescent="0.2">
      <c r="B76" s="165" t="s">
        <v>1229</v>
      </c>
      <c r="C76" s="2">
        <v>306.89999999999998</v>
      </c>
      <c r="D76" s="2">
        <v>247.6</v>
      </c>
      <c r="E76" s="2">
        <v>211.1</v>
      </c>
      <c r="F76" s="2">
        <v>218.5</v>
      </c>
      <c r="G76" s="2">
        <v>193.5</v>
      </c>
      <c r="H76" s="166"/>
      <c r="I76" s="166"/>
      <c r="K76" s="163" t="s">
        <v>147</v>
      </c>
      <c r="L76" s="164"/>
      <c r="M76" s="162"/>
      <c r="O76" s="173" t="s">
        <v>1258</v>
      </c>
      <c r="P76" s="170">
        <v>1014.36</v>
      </c>
      <c r="R76" s="163" t="s">
        <v>147</v>
      </c>
      <c r="S76" s="164"/>
      <c r="U76" s="173" t="s">
        <v>1257</v>
      </c>
      <c r="V76" s="170">
        <v>7380.98</v>
      </c>
      <c r="X76" s="173" t="s">
        <v>1242</v>
      </c>
      <c r="Y76" s="170">
        <v>239.94</v>
      </c>
    </row>
    <row r="77" spans="2:25" x14ac:dyDescent="0.2">
      <c r="B77" s="172" t="s">
        <v>140</v>
      </c>
      <c r="C77" s="2">
        <v>306.89999999999998</v>
      </c>
      <c r="D77" s="2">
        <v>247.6</v>
      </c>
      <c r="E77" s="2">
        <v>211.1</v>
      </c>
      <c r="F77" s="2">
        <v>218.5</v>
      </c>
      <c r="G77" s="2">
        <v>193.5</v>
      </c>
      <c r="H77" s="166"/>
      <c r="I77" s="166"/>
      <c r="K77" s="178" t="s">
        <v>147</v>
      </c>
      <c r="L77" s="179">
        <v>8677</v>
      </c>
      <c r="M77" s="183"/>
      <c r="O77" s="173" t="s">
        <v>1259</v>
      </c>
      <c r="P77" s="170">
        <v>1024.6199999999999</v>
      </c>
      <c r="R77" s="178" t="s">
        <v>147</v>
      </c>
      <c r="S77" s="184">
        <v>33281</v>
      </c>
      <c r="U77" s="173" t="s">
        <v>1258</v>
      </c>
      <c r="V77" s="170">
        <v>5614.9</v>
      </c>
      <c r="X77" s="167" t="s">
        <v>1243</v>
      </c>
      <c r="Y77" s="171">
        <v>33.6</v>
      </c>
    </row>
    <row r="78" spans="2:25" x14ac:dyDescent="0.2">
      <c r="B78" s="185" t="s">
        <v>142</v>
      </c>
      <c r="C78" s="186">
        <v>956.1</v>
      </c>
      <c r="D78" s="186">
        <v>1239.0999999999999</v>
      </c>
      <c r="E78" s="186">
        <v>797.6</v>
      </c>
      <c r="F78" s="186">
        <v>956.6</v>
      </c>
      <c r="G78" s="186">
        <v>769.3</v>
      </c>
      <c r="H78" s="187"/>
      <c r="I78" s="187"/>
      <c r="K78" s="163" t="s">
        <v>1249</v>
      </c>
      <c r="L78" s="164"/>
      <c r="M78" s="162"/>
      <c r="O78" s="173" t="s">
        <v>1260</v>
      </c>
      <c r="P78" s="195">
        <v>-10.26</v>
      </c>
      <c r="R78" s="163" t="s">
        <v>1249</v>
      </c>
      <c r="S78" s="164"/>
      <c r="U78" s="173" t="s">
        <v>1259</v>
      </c>
      <c r="V78" s="170">
        <v>6076.91</v>
      </c>
      <c r="X78" s="167" t="s">
        <v>1244</v>
      </c>
      <c r="Y78" s="171">
        <v>66.03</v>
      </c>
    </row>
    <row r="79" spans="2:25" x14ac:dyDescent="0.2">
      <c r="B79" s="159" t="s">
        <v>1236</v>
      </c>
      <c r="C79" s="160"/>
      <c r="D79" s="160"/>
      <c r="E79" s="160"/>
      <c r="F79" s="160"/>
      <c r="G79" s="160"/>
      <c r="K79" s="167" t="s">
        <v>1250</v>
      </c>
      <c r="L79" s="188">
        <v>10032</v>
      </c>
      <c r="M79" s="189"/>
      <c r="O79" s="173" t="s">
        <v>1261</v>
      </c>
      <c r="P79" s="170">
        <v>1640.94</v>
      </c>
      <c r="R79" s="167" t="s">
        <v>1250</v>
      </c>
      <c r="S79" s="188">
        <v>24004</v>
      </c>
      <c r="U79" s="173" t="s">
        <v>1260</v>
      </c>
      <c r="V79" s="180">
        <v>-462.01</v>
      </c>
      <c r="X79" s="173" t="s">
        <v>145</v>
      </c>
      <c r="Y79" s="171">
        <v>66.03</v>
      </c>
    </row>
    <row r="80" spans="2:25" x14ac:dyDescent="0.2">
      <c r="B80" s="165" t="s">
        <v>1237</v>
      </c>
      <c r="C80" s="2">
        <v>4366.7</v>
      </c>
      <c r="D80" s="2">
        <v>4916.6000000000004</v>
      </c>
      <c r="E80" s="2">
        <v>3893.9</v>
      </c>
      <c r="F80" s="2">
        <v>3910</v>
      </c>
      <c r="G80" s="2">
        <v>3935.3</v>
      </c>
      <c r="H80" s="166"/>
      <c r="I80" s="166"/>
      <c r="K80" s="173" t="s">
        <v>1262</v>
      </c>
      <c r="L80" s="188">
        <v>0</v>
      </c>
      <c r="M80" s="189"/>
      <c r="O80" s="163" t="s">
        <v>151</v>
      </c>
      <c r="P80" s="164"/>
      <c r="R80" s="173" t="s">
        <v>1262</v>
      </c>
      <c r="S80" s="171">
        <v>1</v>
      </c>
      <c r="U80" s="173" t="s">
        <v>1263</v>
      </c>
      <c r="V80" s="180">
        <v>-120.64</v>
      </c>
      <c r="X80" s="167" t="s">
        <v>1246</v>
      </c>
      <c r="Y80" s="170">
        <v>1562.88</v>
      </c>
    </row>
    <row r="81" spans="2:25" x14ac:dyDescent="0.2">
      <c r="B81" s="172" t="s">
        <v>1238</v>
      </c>
      <c r="C81" s="2">
        <v>4361.7</v>
      </c>
      <c r="D81" s="2">
        <v>4906.8999999999996</v>
      </c>
      <c r="E81" s="2">
        <v>3877.3</v>
      </c>
      <c r="F81" s="2">
        <v>3875.2</v>
      </c>
      <c r="G81" s="2">
        <v>3874.8</v>
      </c>
      <c r="H81" s="166"/>
      <c r="I81" s="166"/>
      <c r="K81" s="173" t="s">
        <v>1264</v>
      </c>
      <c r="L81" s="188">
        <v>0</v>
      </c>
      <c r="M81" s="189"/>
      <c r="O81" s="178" t="s">
        <v>1265</v>
      </c>
      <c r="P81" s="179">
        <v>1640.94</v>
      </c>
      <c r="R81" s="173" t="s">
        <v>1264</v>
      </c>
      <c r="S81" s="171">
        <v>1</v>
      </c>
      <c r="U81" s="173" t="s">
        <v>1266</v>
      </c>
      <c r="V81" s="188">
        <v>17051.439999999999</v>
      </c>
      <c r="X81" s="163" t="s">
        <v>147</v>
      </c>
      <c r="Y81" s="164"/>
    </row>
    <row r="82" spans="2:25" x14ac:dyDescent="0.2">
      <c r="B82" s="172" t="s">
        <v>1239</v>
      </c>
      <c r="C82" s="2">
        <v>4361.7</v>
      </c>
      <c r="D82" s="2">
        <v>4906.8999999999996</v>
      </c>
      <c r="E82" s="2">
        <v>3877.3</v>
      </c>
      <c r="F82" s="2">
        <v>3875.2</v>
      </c>
      <c r="G82" s="2">
        <v>3874.8</v>
      </c>
      <c r="H82" s="166"/>
      <c r="I82" s="166"/>
      <c r="K82" s="173" t="s">
        <v>1251</v>
      </c>
      <c r="L82" s="188">
        <v>10032</v>
      </c>
      <c r="M82" s="189"/>
      <c r="O82" s="163" t="s">
        <v>1267</v>
      </c>
      <c r="P82" s="164"/>
      <c r="R82" s="173" t="s">
        <v>1251</v>
      </c>
      <c r="S82" s="188">
        <v>24003</v>
      </c>
      <c r="U82" s="173" t="s">
        <v>1268</v>
      </c>
      <c r="V82" s="180">
        <v>-7152</v>
      </c>
      <c r="X82" s="178" t="s">
        <v>147</v>
      </c>
      <c r="Y82" s="179">
        <v>1807.89</v>
      </c>
    </row>
    <row r="83" spans="2:25" x14ac:dyDescent="0.2">
      <c r="B83" s="172" t="s">
        <v>1241</v>
      </c>
      <c r="C83" s="175">
        <v>5</v>
      </c>
      <c r="D83" s="175">
        <v>9.6999999999999993</v>
      </c>
      <c r="E83" s="175">
        <v>16.600000000000001</v>
      </c>
      <c r="F83" s="175">
        <v>34.799999999999997</v>
      </c>
      <c r="G83" s="175">
        <v>60.5</v>
      </c>
      <c r="H83" s="176"/>
      <c r="I83" s="176"/>
      <c r="K83" s="173" t="s">
        <v>1254</v>
      </c>
      <c r="L83" s="170">
        <v>3570</v>
      </c>
      <c r="M83" s="174"/>
      <c r="O83" s="178" t="s">
        <v>152</v>
      </c>
      <c r="P83" s="179">
        <v>3650.11</v>
      </c>
      <c r="R83" s="173" t="s">
        <v>1252</v>
      </c>
      <c r="S83" s="170">
        <v>2016</v>
      </c>
      <c r="U83" s="173" t="s">
        <v>1269</v>
      </c>
      <c r="V83" s="196">
        <v>-10240.82</v>
      </c>
      <c r="X83" s="163" t="s">
        <v>1249</v>
      </c>
      <c r="Y83" s="164"/>
    </row>
    <row r="84" spans="2:25" x14ac:dyDescent="0.2">
      <c r="B84" s="165" t="s">
        <v>1240</v>
      </c>
      <c r="C84" s="2">
        <v>1358.3</v>
      </c>
      <c r="D84" s="2">
        <v>1336.5</v>
      </c>
      <c r="E84" s="2">
        <v>1028.9000000000001</v>
      </c>
      <c r="F84" s="2">
        <v>1072.8</v>
      </c>
      <c r="G84" s="2">
        <v>1005.9</v>
      </c>
      <c r="H84" s="166"/>
      <c r="I84" s="166"/>
      <c r="K84" s="173" t="s">
        <v>1255</v>
      </c>
      <c r="L84" s="171">
        <v>1</v>
      </c>
      <c r="M84" s="169"/>
      <c r="O84" s="163" t="s">
        <v>1270</v>
      </c>
      <c r="P84" s="164"/>
      <c r="R84" s="173" t="s">
        <v>1254</v>
      </c>
      <c r="S84" s="170">
        <v>683</v>
      </c>
      <c r="U84" s="173" t="s">
        <v>1261</v>
      </c>
      <c r="V84" s="188">
        <v>13314.01</v>
      </c>
      <c r="X84" s="167" t="s">
        <v>1250</v>
      </c>
      <c r="Y84" s="170">
        <v>1456.7</v>
      </c>
    </row>
    <row r="85" spans="2:25" x14ac:dyDescent="0.2">
      <c r="B85" s="172" t="s">
        <v>1242</v>
      </c>
      <c r="C85" s="2">
        <v>1358.3</v>
      </c>
      <c r="D85" s="2">
        <v>1336.5</v>
      </c>
      <c r="E85" s="2">
        <v>1028.9000000000001</v>
      </c>
      <c r="F85" s="2">
        <v>1072.8</v>
      </c>
      <c r="G85" s="2">
        <v>1005.9</v>
      </c>
      <c r="H85" s="166"/>
      <c r="I85" s="166"/>
      <c r="K85" s="173" t="s">
        <v>1257</v>
      </c>
      <c r="L85" s="170">
        <v>3569</v>
      </c>
      <c r="M85" s="174"/>
      <c r="O85" s="167" t="s">
        <v>1271</v>
      </c>
      <c r="P85" s="171">
        <v>57.1</v>
      </c>
      <c r="R85" s="173" t="s">
        <v>1255</v>
      </c>
      <c r="S85" s="170">
        <v>286</v>
      </c>
      <c r="U85" s="167" t="s">
        <v>1272</v>
      </c>
      <c r="V85" s="170">
        <v>307.67</v>
      </c>
      <c r="X85" s="173" t="s">
        <v>1262</v>
      </c>
      <c r="Y85" s="188">
        <v>0</v>
      </c>
    </row>
    <row r="86" spans="2:25" x14ac:dyDescent="0.2">
      <c r="B86" s="165" t="s">
        <v>1243</v>
      </c>
      <c r="C86" s="2">
        <v>522.6</v>
      </c>
      <c r="D86" s="2">
        <v>521.4</v>
      </c>
      <c r="E86" s="2">
        <v>507.4</v>
      </c>
      <c r="F86" s="2">
        <v>548.4</v>
      </c>
      <c r="G86" s="2">
        <v>642.5</v>
      </c>
      <c r="H86" s="166"/>
      <c r="I86" s="166"/>
      <c r="K86" s="173" t="s">
        <v>1258</v>
      </c>
      <c r="L86" s="170">
        <v>6462</v>
      </c>
      <c r="M86" s="174"/>
      <c r="O86" s="173" t="s">
        <v>1273</v>
      </c>
      <c r="P86" s="171">
        <v>56.66</v>
      </c>
      <c r="R86" s="173" t="s">
        <v>1257</v>
      </c>
      <c r="S86" s="170">
        <v>397</v>
      </c>
      <c r="U86" s="163" t="s">
        <v>151</v>
      </c>
      <c r="V86" s="164"/>
      <c r="X86" s="173" t="s">
        <v>1264</v>
      </c>
      <c r="Y86" s="188">
        <v>0</v>
      </c>
    </row>
    <row r="87" spans="2:25" x14ac:dyDescent="0.2">
      <c r="B87" s="165" t="s">
        <v>1244</v>
      </c>
      <c r="C87" s="2">
        <v>947.8</v>
      </c>
      <c r="D87" s="2">
        <v>948.7</v>
      </c>
      <c r="E87" s="2">
        <v>810</v>
      </c>
      <c r="F87" s="2">
        <v>794.6</v>
      </c>
      <c r="G87" s="2">
        <v>761.9</v>
      </c>
      <c r="H87" s="166"/>
      <c r="I87" s="166"/>
      <c r="K87" s="173" t="s">
        <v>1259</v>
      </c>
      <c r="L87" s="170">
        <v>6402</v>
      </c>
      <c r="M87" s="174"/>
      <c r="O87" s="173" t="s">
        <v>1274</v>
      </c>
      <c r="P87" s="171">
        <v>0.43</v>
      </c>
      <c r="R87" s="173" t="s">
        <v>1258</v>
      </c>
      <c r="S87" s="188">
        <v>25336</v>
      </c>
      <c r="U87" s="178" t="s">
        <v>1265</v>
      </c>
      <c r="V87" s="184">
        <v>13621.68</v>
      </c>
      <c r="X87" s="173" t="s">
        <v>1275</v>
      </c>
      <c r="Y87" s="188">
        <v>0</v>
      </c>
    </row>
    <row r="88" spans="2:25" x14ac:dyDescent="0.2">
      <c r="B88" s="172" t="s">
        <v>1245</v>
      </c>
      <c r="C88" s="2">
        <v>520.70000000000005</v>
      </c>
      <c r="D88" s="2">
        <v>502.6</v>
      </c>
      <c r="E88" s="2">
        <v>407.7</v>
      </c>
      <c r="F88" s="2">
        <v>393.5</v>
      </c>
      <c r="G88" s="2">
        <v>421.5</v>
      </c>
      <c r="H88" s="166"/>
      <c r="I88" s="166"/>
      <c r="K88" s="173" t="s">
        <v>1260</v>
      </c>
      <c r="L88" s="171">
        <v>60</v>
      </c>
      <c r="M88" s="169"/>
      <c r="O88" s="167" t="s">
        <v>1276</v>
      </c>
      <c r="P88" s="170">
        <v>300</v>
      </c>
      <c r="R88" s="173" t="s">
        <v>1259</v>
      </c>
      <c r="S88" s="188">
        <v>25593</v>
      </c>
      <c r="U88" s="163" t="s">
        <v>1267</v>
      </c>
      <c r="V88" s="164"/>
      <c r="X88" s="173" t="s">
        <v>1251</v>
      </c>
      <c r="Y88" s="170">
        <v>1456.7</v>
      </c>
    </row>
    <row r="89" spans="2:25" x14ac:dyDescent="0.2">
      <c r="B89" s="172" t="s">
        <v>1247</v>
      </c>
      <c r="C89" s="175">
        <v>64.2</v>
      </c>
      <c r="D89" s="175">
        <v>75.2</v>
      </c>
      <c r="E89" s="175">
        <v>83.6</v>
      </c>
      <c r="F89" s="175">
        <v>82.2</v>
      </c>
      <c r="G89" s="2">
        <v>106.3</v>
      </c>
      <c r="H89" s="166"/>
      <c r="I89" s="166"/>
      <c r="K89" s="173" t="s">
        <v>1266</v>
      </c>
      <c r="L89" s="195">
        <v>-2</v>
      </c>
      <c r="M89" s="197"/>
      <c r="O89" s="167" t="s">
        <v>1277</v>
      </c>
      <c r="P89" s="171">
        <v>57.1</v>
      </c>
      <c r="R89" s="173" t="s">
        <v>1260</v>
      </c>
      <c r="S89" s="180">
        <v>-257</v>
      </c>
      <c r="U89" s="178" t="s">
        <v>152</v>
      </c>
      <c r="V89" s="184">
        <v>28965.51</v>
      </c>
      <c r="X89" s="173" t="s">
        <v>1254</v>
      </c>
      <c r="Y89" s="171">
        <v>0.33</v>
      </c>
    </row>
    <row r="90" spans="2:25" x14ac:dyDescent="0.2">
      <c r="B90" s="172" t="s">
        <v>1253</v>
      </c>
      <c r="C90" s="2">
        <v>456.5</v>
      </c>
      <c r="D90" s="2">
        <v>427.4</v>
      </c>
      <c r="E90" s="2">
        <v>324.10000000000002</v>
      </c>
      <c r="F90" s="2">
        <v>311.3</v>
      </c>
      <c r="G90" s="2">
        <v>315.2</v>
      </c>
      <c r="H90" s="166"/>
      <c r="I90" s="166"/>
      <c r="K90" s="173" t="s">
        <v>1268</v>
      </c>
      <c r="L90" s="171">
        <v>62</v>
      </c>
      <c r="M90" s="169"/>
      <c r="O90" s="173" t="s">
        <v>1278</v>
      </c>
      <c r="P90" s="171">
        <v>56.66</v>
      </c>
      <c r="R90" s="173" t="s">
        <v>1263</v>
      </c>
      <c r="S90" s="195">
        <v>-48</v>
      </c>
      <c r="U90" s="163" t="s">
        <v>1270</v>
      </c>
      <c r="V90" s="164"/>
      <c r="X90" s="173" t="s">
        <v>1255</v>
      </c>
      <c r="Y90" s="171">
        <v>0.33</v>
      </c>
    </row>
    <row r="91" spans="2:25" x14ac:dyDescent="0.2">
      <c r="B91" s="172" t="s">
        <v>1279</v>
      </c>
      <c r="C91" s="2">
        <v>130.6</v>
      </c>
      <c r="D91" s="2">
        <v>137.80000000000001</v>
      </c>
      <c r="E91" s="2">
        <v>145.30000000000001</v>
      </c>
      <c r="F91" s="2">
        <v>159.80000000000001</v>
      </c>
      <c r="G91" s="2">
        <v>167.1</v>
      </c>
      <c r="H91" s="166"/>
      <c r="I91" s="166"/>
      <c r="K91" s="173" t="s">
        <v>1261</v>
      </c>
      <c r="L91" s="188">
        <v>10032</v>
      </c>
      <c r="M91" s="189"/>
      <c r="O91" s="173" t="s">
        <v>1280</v>
      </c>
      <c r="P91" s="171">
        <v>0.43</v>
      </c>
      <c r="R91" s="173" t="s">
        <v>1266</v>
      </c>
      <c r="S91" s="180">
        <v>-187</v>
      </c>
      <c r="U91" s="167" t="s">
        <v>1271</v>
      </c>
      <c r="V91" s="188">
        <v>14508.33</v>
      </c>
      <c r="X91" s="173" t="s">
        <v>1257</v>
      </c>
      <c r="Y91" s="188">
        <v>0</v>
      </c>
    </row>
    <row r="92" spans="2:25" x14ac:dyDescent="0.2">
      <c r="B92" s="172" t="s">
        <v>145</v>
      </c>
      <c r="C92" s="2">
        <v>296.5</v>
      </c>
      <c r="D92" s="2">
        <v>308.3</v>
      </c>
      <c r="E92" s="2">
        <v>257</v>
      </c>
      <c r="F92" s="2">
        <v>241.3</v>
      </c>
      <c r="G92" s="2">
        <v>173.3</v>
      </c>
      <c r="H92" s="166"/>
      <c r="I92" s="166"/>
      <c r="K92" s="167" t="s">
        <v>1272</v>
      </c>
      <c r="L92" s="171">
        <v>2</v>
      </c>
      <c r="M92" s="169"/>
      <c r="O92" s="163" t="s">
        <v>1281</v>
      </c>
      <c r="P92" s="164"/>
      <c r="R92" s="173" t="s">
        <v>1268</v>
      </c>
      <c r="S92" s="195">
        <v>-22</v>
      </c>
      <c r="U92" s="173" t="s">
        <v>1273</v>
      </c>
      <c r="V92" s="188">
        <v>14508.33</v>
      </c>
      <c r="X92" s="173" t="s">
        <v>1258</v>
      </c>
      <c r="Y92" s="170">
        <v>1456.37</v>
      </c>
    </row>
    <row r="93" spans="2:25" x14ac:dyDescent="0.2">
      <c r="B93" s="165" t="s">
        <v>1246</v>
      </c>
      <c r="C93" s="2">
        <v>7195.4</v>
      </c>
      <c r="D93" s="2">
        <v>7723.2</v>
      </c>
      <c r="E93" s="2">
        <v>6240.2</v>
      </c>
      <c r="F93" s="2">
        <v>6325.8</v>
      </c>
      <c r="G93" s="2">
        <v>6345.6</v>
      </c>
      <c r="H93" s="166"/>
      <c r="I93" s="166"/>
      <c r="K93" s="163" t="s">
        <v>151</v>
      </c>
      <c r="L93" s="164"/>
      <c r="M93" s="162"/>
      <c r="O93" s="167" t="s">
        <v>1282</v>
      </c>
      <c r="P93" s="171">
        <v>1</v>
      </c>
      <c r="R93" s="173" t="s">
        <v>1261</v>
      </c>
      <c r="S93" s="188">
        <v>24003</v>
      </c>
      <c r="U93" s="173" t="s">
        <v>1274</v>
      </c>
      <c r="V93" s="188">
        <v>0</v>
      </c>
      <c r="X93" s="173" t="s">
        <v>1259</v>
      </c>
      <c r="Y93" s="170">
        <v>1459.5</v>
      </c>
    </row>
    <row r="94" spans="2:25" x14ac:dyDescent="0.2">
      <c r="B94" s="159" t="s">
        <v>147</v>
      </c>
      <c r="C94" s="160"/>
      <c r="D94" s="160"/>
      <c r="E94" s="160"/>
      <c r="F94" s="160"/>
      <c r="G94" s="160"/>
      <c r="K94" s="178" t="s">
        <v>1265</v>
      </c>
      <c r="L94" s="184">
        <v>10034</v>
      </c>
      <c r="M94" s="192"/>
      <c r="O94" s="163" t="s">
        <v>1283</v>
      </c>
      <c r="P94" s="164"/>
      <c r="R94" s="167" t="s">
        <v>1272</v>
      </c>
      <c r="S94" s="170">
        <v>1044</v>
      </c>
      <c r="U94" s="167" t="s">
        <v>1277</v>
      </c>
      <c r="V94" s="188">
        <v>29016.66</v>
      </c>
      <c r="X94" s="173" t="s">
        <v>1260</v>
      </c>
      <c r="Y94" s="195">
        <v>-3.12</v>
      </c>
    </row>
    <row r="95" spans="2:25" x14ac:dyDescent="0.2">
      <c r="B95" s="185" t="s">
        <v>147</v>
      </c>
      <c r="C95" s="186">
        <v>8151.5</v>
      </c>
      <c r="D95" s="186">
        <v>8962.2999999999993</v>
      </c>
      <c r="E95" s="186">
        <v>7037.8</v>
      </c>
      <c r="F95" s="186">
        <v>7282.4</v>
      </c>
      <c r="G95" s="186">
        <v>7114.9</v>
      </c>
      <c r="H95" s="187"/>
      <c r="I95" s="187"/>
      <c r="K95" s="163" t="s">
        <v>1267</v>
      </c>
      <c r="L95" s="164"/>
      <c r="M95" s="162"/>
      <c r="O95" s="167" t="s">
        <v>1284</v>
      </c>
      <c r="P95" s="171">
        <v>52.59</v>
      </c>
      <c r="R95" s="163" t="s">
        <v>151</v>
      </c>
      <c r="S95" s="164"/>
      <c r="U95" s="173" t="s">
        <v>1278</v>
      </c>
      <c r="V95" s="188">
        <v>29016.66</v>
      </c>
      <c r="X95" s="173" t="s">
        <v>1261</v>
      </c>
      <c r="Y95" s="170">
        <v>1456.7</v>
      </c>
    </row>
    <row r="96" spans="2:25" x14ac:dyDescent="0.2">
      <c r="B96" s="159" t="s">
        <v>1249</v>
      </c>
      <c r="C96" s="160"/>
      <c r="D96" s="160"/>
      <c r="E96" s="160"/>
      <c r="F96" s="160"/>
      <c r="G96" s="160"/>
      <c r="K96" s="178" t="s">
        <v>152</v>
      </c>
      <c r="L96" s="184">
        <v>18711</v>
      </c>
      <c r="M96" s="192"/>
      <c r="O96" s="173" t="s">
        <v>1285</v>
      </c>
      <c r="P96" s="171">
        <v>52.59</v>
      </c>
      <c r="R96" s="178" t="s">
        <v>1265</v>
      </c>
      <c r="S96" s="184">
        <v>25048</v>
      </c>
      <c r="U96" s="173" t="s">
        <v>1280</v>
      </c>
      <c r="V96" s="188">
        <v>0</v>
      </c>
      <c r="X96" s="163" t="s">
        <v>151</v>
      </c>
      <c r="Y96" s="164"/>
    </row>
    <row r="97" spans="2:25" x14ac:dyDescent="0.2">
      <c r="B97" s="165" t="s">
        <v>1250</v>
      </c>
      <c r="C97" s="2">
        <v>8525.1</v>
      </c>
      <c r="D97" s="2">
        <v>8118.6</v>
      </c>
      <c r="E97" s="2">
        <v>7483.4</v>
      </c>
      <c r="F97" s="2">
        <v>6928.6</v>
      </c>
      <c r="G97" s="2">
        <v>6545</v>
      </c>
      <c r="H97" s="166"/>
      <c r="I97" s="166"/>
      <c r="K97" s="163" t="s">
        <v>1270</v>
      </c>
      <c r="L97" s="164"/>
      <c r="M97" s="162"/>
      <c r="O97" s="167" t="s">
        <v>1286</v>
      </c>
      <c r="P97" s="170">
        <v>2028.93</v>
      </c>
      <c r="R97" s="163" t="s">
        <v>1267</v>
      </c>
      <c r="S97" s="164"/>
      <c r="U97" s="167" t="s">
        <v>1277</v>
      </c>
      <c r="V97" s="188">
        <v>14508.33</v>
      </c>
      <c r="X97" s="178" t="s">
        <v>1265</v>
      </c>
      <c r="Y97" s="179">
        <v>1456.7</v>
      </c>
    </row>
    <row r="98" spans="2:25" x14ac:dyDescent="0.2">
      <c r="B98" s="172" t="s">
        <v>1251</v>
      </c>
      <c r="C98" s="2">
        <v>8525.1</v>
      </c>
      <c r="D98" s="2">
        <v>8118.6</v>
      </c>
      <c r="E98" s="2">
        <v>7483.4</v>
      </c>
      <c r="F98" s="2">
        <v>6928.6</v>
      </c>
      <c r="G98" s="2">
        <v>6545</v>
      </c>
      <c r="H98" s="166"/>
      <c r="I98" s="166"/>
      <c r="K98" s="167" t="s">
        <v>1271</v>
      </c>
      <c r="L98" s="171">
        <v>60.31</v>
      </c>
      <c r="M98" s="169"/>
      <c r="O98" s="163" t="s">
        <v>1287</v>
      </c>
      <c r="P98" s="164"/>
      <c r="R98" s="178" t="s">
        <v>152</v>
      </c>
      <c r="S98" s="184">
        <v>58329</v>
      </c>
      <c r="U98" s="173" t="s">
        <v>1278</v>
      </c>
      <c r="V98" s="188">
        <v>14508.33</v>
      </c>
      <c r="X98" s="163" t="s">
        <v>1267</v>
      </c>
      <c r="Y98" s="164"/>
    </row>
    <row r="99" spans="2:25" x14ac:dyDescent="0.2">
      <c r="B99" s="172" t="s">
        <v>1254</v>
      </c>
      <c r="C99" s="2">
        <v>3060.6</v>
      </c>
      <c r="D99" s="2">
        <v>3032.2</v>
      </c>
      <c r="E99" s="2">
        <v>3012.2</v>
      </c>
      <c r="F99" s="2">
        <v>2971.9</v>
      </c>
      <c r="G99" s="2">
        <v>2949.2</v>
      </c>
      <c r="H99" s="166"/>
      <c r="I99" s="166"/>
      <c r="K99" s="173" t="s">
        <v>1273</v>
      </c>
      <c r="L99" s="171">
        <v>60.31</v>
      </c>
      <c r="M99" s="169"/>
      <c r="O99" s="167" t="s">
        <v>1288</v>
      </c>
      <c r="P99" s="171">
        <v>52.59</v>
      </c>
      <c r="R99" s="163" t="s">
        <v>1270</v>
      </c>
      <c r="S99" s="164"/>
      <c r="U99" s="173" t="s">
        <v>1280</v>
      </c>
      <c r="V99" s="188">
        <v>0</v>
      </c>
      <c r="X99" s="178" t="s">
        <v>152</v>
      </c>
      <c r="Y99" s="179">
        <v>3264.59</v>
      </c>
    </row>
    <row r="100" spans="2:25" x14ac:dyDescent="0.2">
      <c r="B100" s="172" t="s">
        <v>1255</v>
      </c>
      <c r="C100" s="2">
        <v>130.6</v>
      </c>
      <c r="D100" s="2">
        <v>132.1</v>
      </c>
      <c r="E100" s="2">
        <v>132.1</v>
      </c>
      <c r="F100" s="2">
        <v>132.9</v>
      </c>
      <c r="G100" s="2">
        <v>132.69999999999999</v>
      </c>
      <c r="H100" s="166"/>
      <c r="I100" s="166"/>
      <c r="K100" s="173" t="s">
        <v>1274</v>
      </c>
      <c r="L100" s="188">
        <v>0</v>
      </c>
      <c r="M100" s="189"/>
      <c r="O100" s="173" t="s">
        <v>1289</v>
      </c>
      <c r="P100" s="171">
        <v>15.94</v>
      </c>
      <c r="R100" s="167" t="s">
        <v>1271</v>
      </c>
      <c r="S100" s="170">
        <v>706.95</v>
      </c>
      <c r="U100" s="167" t="s">
        <v>1290</v>
      </c>
      <c r="V100" s="170">
        <v>1450.83</v>
      </c>
      <c r="X100" s="163" t="s">
        <v>1270</v>
      </c>
      <c r="Y100" s="164"/>
    </row>
    <row r="101" spans="2:25" x14ac:dyDescent="0.2">
      <c r="B101" s="172" t="s">
        <v>1257</v>
      </c>
      <c r="C101" s="2">
        <v>2930</v>
      </c>
      <c r="D101" s="2">
        <v>2900.1</v>
      </c>
      <c r="E101" s="2">
        <v>2880.1</v>
      </c>
      <c r="F101" s="2">
        <v>2839</v>
      </c>
      <c r="G101" s="2">
        <v>2816.5</v>
      </c>
      <c r="H101" s="166"/>
      <c r="I101" s="166"/>
      <c r="K101" s="167" t="s">
        <v>1276</v>
      </c>
      <c r="L101" s="170">
        <v>100</v>
      </c>
      <c r="M101" s="174"/>
      <c r="O101" s="173" t="s">
        <v>1291</v>
      </c>
      <c r="P101" s="171">
        <v>36.65</v>
      </c>
      <c r="R101" s="173" t="s">
        <v>1273</v>
      </c>
      <c r="S101" s="170">
        <v>668.63</v>
      </c>
      <c r="U101" s="173" t="s">
        <v>1292</v>
      </c>
      <c r="V101" s="170">
        <v>1450.83</v>
      </c>
      <c r="X101" s="167" t="s">
        <v>1271</v>
      </c>
      <c r="Y101" s="171">
        <v>32.97</v>
      </c>
    </row>
    <row r="102" spans="2:25" x14ac:dyDescent="0.2">
      <c r="B102" s="172" t="s">
        <v>1258</v>
      </c>
      <c r="C102" s="2">
        <v>5464.5</v>
      </c>
      <c r="D102" s="2">
        <v>5086.3999999999996</v>
      </c>
      <c r="E102" s="2">
        <v>4471.2</v>
      </c>
      <c r="F102" s="2">
        <v>3956.7</v>
      </c>
      <c r="G102" s="2">
        <v>3595.8</v>
      </c>
      <c r="H102" s="166"/>
      <c r="I102" s="166"/>
      <c r="K102" s="167" t="s">
        <v>1277</v>
      </c>
      <c r="L102" s="171">
        <v>60.31</v>
      </c>
      <c r="M102" s="169"/>
      <c r="O102" s="167" t="s">
        <v>1293</v>
      </c>
      <c r="P102" s="171">
        <v>52.59</v>
      </c>
      <c r="R102" s="173" t="s">
        <v>1274</v>
      </c>
      <c r="S102" s="171">
        <v>38.32</v>
      </c>
      <c r="U102" s="173" t="s">
        <v>1294</v>
      </c>
      <c r="V102" s="188">
        <v>0</v>
      </c>
      <c r="X102" s="173" t="s">
        <v>1273</v>
      </c>
      <c r="Y102" s="171">
        <v>32.97</v>
      </c>
    </row>
    <row r="103" spans="2:25" x14ac:dyDescent="0.2">
      <c r="B103" s="172" t="s">
        <v>1259</v>
      </c>
      <c r="C103" s="2">
        <v>5590.1</v>
      </c>
      <c r="D103" s="2">
        <v>5213.8</v>
      </c>
      <c r="E103" s="2">
        <v>4615</v>
      </c>
      <c r="F103" s="2">
        <v>4111.3999999999996</v>
      </c>
      <c r="G103" s="2">
        <v>3748.5</v>
      </c>
      <c r="H103" s="166"/>
      <c r="I103" s="166"/>
      <c r="K103" s="173" t="s">
        <v>1278</v>
      </c>
      <c r="L103" s="171">
        <v>60.31</v>
      </c>
      <c r="M103" s="169"/>
      <c r="O103" s="167" t="s">
        <v>1295</v>
      </c>
      <c r="P103" s="170">
        <v>1218.1300000000001</v>
      </c>
      <c r="R103" s="167" t="s">
        <v>1276</v>
      </c>
      <c r="S103" s="170">
        <v>1250</v>
      </c>
      <c r="U103" s="167" t="s">
        <v>1296</v>
      </c>
      <c r="V103" s="188">
        <v>14508.33</v>
      </c>
      <c r="X103" s="173" t="s">
        <v>1274</v>
      </c>
      <c r="Y103" s="188">
        <v>0</v>
      </c>
    </row>
    <row r="104" spans="2:25" x14ac:dyDescent="0.2">
      <c r="B104" s="172" t="s">
        <v>1260</v>
      </c>
      <c r="C104" s="190">
        <v>-125.6</v>
      </c>
      <c r="D104" s="190">
        <v>-127.4</v>
      </c>
      <c r="E104" s="190">
        <v>-143.80000000000001</v>
      </c>
      <c r="F104" s="190">
        <v>-154.69999999999999</v>
      </c>
      <c r="G104" s="190">
        <v>-152.69999999999999</v>
      </c>
      <c r="H104" s="191"/>
      <c r="I104" s="191"/>
      <c r="K104" s="173" t="s">
        <v>1280</v>
      </c>
      <c r="L104" s="188">
        <v>0</v>
      </c>
      <c r="M104" s="189"/>
      <c r="O104" s="163" t="s">
        <v>1297</v>
      </c>
      <c r="P104" s="164"/>
      <c r="R104" s="167" t="s">
        <v>1277</v>
      </c>
      <c r="S104" s="170">
        <v>706.95</v>
      </c>
      <c r="U104" s="173" t="s">
        <v>1298</v>
      </c>
      <c r="V104" s="188">
        <v>14508.33</v>
      </c>
      <c r="X104" s="167" t="s">
        <v>1276</v>
      </c>
      <c r="Y104" s="170">
        <v>100</v>
      </c>
    </row>
    <row r="105" spans="2:25" x14ac:dyDescent="0.2">
      <c r="B105" s="172" t="s">
        <v>1263</v>
      </c>
      <c r="C105" s="198">
        <v>-16</v>
      </c>
      <c r="D105" s="198">
        <v>-17.7</v>
      </c>
      <c r="E105" s="198">
        <v>-19.399999999999999</v>
      </c>
      <c r="F105" s="198">
        <v>-21</v>
      </c>
      <c r="G105" s="198">
        <v>-22.5</v>
      </c>
      <c r="H105" s="199"/>
      <c r="I105" s="199"/>
      <c r="K105" s="163" t="s">
        <v>1281</v>
      </c>
      <c r="L105" s="164"/>
      <c r="M105" s="162"/>
      <c r="O105" s="167" t="s">
        <v>1299</v>
      </c>
      <c r="P105" s="171">
        <v>55.32</v>
      </c>
      <c r="R105" s="173" t="s">
        <v>1278</v>
      </c>
      <c r="S105" s="170">
        <v>668.63</v>
      </c>
      <c r="U105" s="173" t="s">
        <v>1300</v>
      </c>
      <c r="V105" s="188">
        <v>0</v>
      </c>
      <c r="X105" s="167" t="s">
        <v>1277</v>
      </c>
      <c r="Y105" s="171">
        <v>32.97</v>
      </c>
    </row>
    <row r="106" spans="2:25" x14ac:dyDescent="0.2">
      <c r="B106" s="172" t="s">
        <v>1268</v>
      </c>
      <c r="C106" s="190">
        <v>-109.6</v>
      </c>
      <c r="D106" s="190">
        <v>-109.7</v>
      </c>
      <c r="E106" s="190">
        <v>-124.4</v>
      </c>
      <c r="F106" s="190">
        <v>-133.69999999999999</v>
      </c>
      <c r="G106" s="190">
        <v>-130.19999999999999</v>
      </c>
      <c r="H106" s="191"/>
      <c r="I106" s="191"/>
      <c r="K106" s="167" t="s">
        <v>1282</v>
      </c>
      <c r="L106" s="171">
        <v>1</v>
      </c>
      <c r="M106" s="169"/>
      <c r="O106" s="167" t="s">
        <v>1301</v>
      </c>
      <c r="P106" s="170">
        <v>355.56</v>
      </c>
      <c r="R106" s="173" t="s">
        <v>1280</v>
      </c>
      <c r="S106" s="171">
        <v>38.32</v>
      </c>
      <c r="U106" s="163" t="s">
        <v>1281</v>
      </c>
      <c r="V106" s="164"/>
      <c r="X106" s="173" t="s">
        <v>1278</v>
      </c>
      <c r="Y106" s="171">
        <v>32.97</v>
      </c>
    </row>
    <row r="107" spans="2:25" x14ac:dyDescent="0.2">
      <c r="B107" s="172" t="s">
        <v>1261</v>
      </c>
      <c r="C107" s="2">
        <v>8525.1</v>
      </c>
      <c r="D107" s="2">
        <v>8118.6</v>
      </c>
      <c r="E107" s="2">
        <v>7483.4</v>
      </c>
      <c r="F107" s="2">
        <v>6928.6</v>
      </c>
      <c r="G107" s="2">
        <v>6545</v>
      </c>
      <c r="H107" s="166"/>
      <c r="I107" s="166"/>
      <c r="K107" s="163" t="s">
        <v>1283</v>
      </c>
      <c r="L107" s="164"/>
      <c r="M107" s="162"/>
      <c r="O107" s="173" t="s">
        <v>1302</v>
      </c>
      <c r="P107" s="170">
        <v>155.84</v>
      </c>
      <c r="R107" s="167" t="s">
        <v>1290</v>
      </c>
      <c r="S107" s="170">
        <v>706.95</v>
      </c>
      <c r="U107" s="167" t="s">
        <v>1282</v>
      </c>
      <c r="V107" s="171">
        <v>0.67</v>
      </c>
      <c r="X107" s="173" t="s">
        <v>1280</v>
      </c>
      <c r="Y107" s="188">
        <v>0</v>
      </c>
    </row>
    <row r="108" spans="2:25" x14ac:dyDescent="0.2">
      <c r="B108" s="165" t="s">
        <v>1272</v>
      </c>
      <c r="C108" s="175">
        <v>23.8</v>
      </c>
      <c r="D108" s="175">
        <v>23.9</v>
      </c>
      <c r="E108" s="175">
        <v>24.5</v>
      </c>
      <c r="F108" s="175">
        <v>23.6</v>
      </c>
      <c r="G108" s="175">
        <v>22.7</v>
      </c>
      <c r="H108" s="176"/>
      <c r="I108" s="176"/>
      <c r="K108" s="167" t="s">
        <v>1284</v>
      </c>
      <c r="L108" s="170">
        <v>656</v>
      </c>
      <c r="M108" s="174"/>
      <c r="O108" s="167" t="s">
        <v>1303</v>
      </c>
      <c r="P108" s="170">
        <v>309.22000000000003</v>
      </c>
      <c r="R108" s="173" t="s">
        <v>1292</v>
      </c>
      <c r="S108" s="170">
        <v>668.63</v>
      </c>
      <c r="U108" s="167" t="s">
        <v>1282</v>
      </c>
      <c r="V108" s="171">
        <v>0.33</v>
      </c>
      <c r="X108" s="163" t="s">
        <v>1281</v>
      </c>
      <c r="Y108" s="164"/>
    </row>
    <row r="109" spans="2:25" x14ac:dyDescent="0.2">
      <c r="B109" s="159" t="s">
        <v>151</v>
      </c>
      <c r="C109" s="160"/>
      <c r="D109" s="160"/>
      <c r="E109" s="160"/>
      <c r="F109" s="160"/>
      <c r="G109" s="160"/>
      <c r="K109" s="173" t="s">
        <v>1285</v>
      </c>
      <c r="L109" s="170">
        <v>367</v>
      </c>
      <c r="M109" s="174"/>
      <c r="O109" s="173" t="s">
        <v>1304</v>
      </c>
      <c r="P109" s="170">
        <v>145.58000000000001</v>
      </c>
      <c r="R109" s="173" t="s">
        <v>1294</v>
      </c>
      <c r="S109" s="171">
        <v>38.32</v>
      </c>
      <c r="U109" s="167" t="s">
        <v>1282</v>
      </c>
      <c r="V109" s="171">
        <v>1</v>
      </c>
      <c r="X109" s="167" t="s">
        <v>1282</v>
      </c>
      <c r="Y109" s="171">
        <v>1</v>
      </c>
    </row>
    <row r="110" spans="2:25" x14ac:dyDescent="0.2">
      <c r="B110" s="185" t="s">
        <v>1265</v>
      </c>
      <c r="C110" s="186">
        <v>8548.9</v>
      </c>
      <c r="D110" s="186">
        <v>8142.5</v>
      </c>
      <c r="E110" s="186">
        <v>7507.9</v>
      </c>
      <c r="F110" s="186">
        <v>6952.2</v>
      </c>
      <c r="G110" s="186">
        <v>6567.7</v>
      </c>
      <c r="H110" s="187"/>
      <c r="I110" s="187"/>
      <c r="K110" s="173" t="s">
        <v>1305</v>
      </c>
      <c r="L110" s="170">
        <v>289</v>
      </c>
      <c r="M110" s="174"/>
      <c r="O110" s="173" t="s">
        <v>1306</v>
      </c>
      <c r="P110" s="170">
        <v>163.63999999999999</v>
      </c>
      <c r="R110" s="163" t="s">
        <v>1307</v>
      </c>
      <c r="S110" s="164"/>
      <c r="U110" s="167" t="s">
        <v>1282</v>
      </c>
      <c r="V110" s="171">
        <v>1</v>
      </c>
      <c r="X110" s="163" t="s">
        <v>1283</v>
      </c>
      <c r="Y110" s="164"/>
    </row>
    <row r="111" spans="2:25" x14ac:dyDescent="0.2">
      <c r="B111" s="159" t="s">
        <v>1267</v>
      </c>
      <c r="C111" s="160"/>
      <c r="D111" s="160"/>
      <c r="E111" s="160"/>
      <c r="F111" s="160"/>
      <c r="G111" s="160"/>
      <c r="K111" s="167" t="s">
        <v>1286</v>
      </c>
      <c r="L111" s="188">
        <v>10001</v>
      </c>
      <c r="M111" s="189"/>
      <c r="O111" s="167" t="s">
        <v>1308</v>
      </c>
      <c r="P111" s="170">
        <v>204.91</v>
      </c>
      <c r="R111" s="167" t="s">
        <v>1309</v>
      </c>
      <c r="S111" s="171">
        <v>0.15</v>
      </c>
      <c r="U111" s="163" t="s">
        <v>1283</v>
      </c>
      <c r="V111" s="164"/>
      <c r="X111" s="167" t="s">
        <v>1284</v>
      </c>
      <c r="Y111" s="171">
        <v>29.31</v>
      </c>
    </row>
    <row r="112" spans="2:25" x14ac:dyDescent="0.2">
      <c r="B112" s="185" t="s">
        <v>152</v>
      </c>
      <c r="C112" s="193">
        <v>16700.400000000001</v>
      </c>
      <c r="D112" s="193">
        <v>17104.8</v>
      </c>
      <c r="E112" s="193">
        <v>14545.7</v>
      </c>
      <c r="F112" s="193">
        <v>14234.6</v>
      </c>
      <c r="G112" s="193">
        <v>13682.6</v>
      </c>
      <c r="H112" s="194"/>
      <c r="I112" s="194"/>
      <c r="K112" s="163" t="s">
        <v>1287</v>
      </c>
      <c r="L112" s="164"/>
      <c r="M112" s="162"/>
      <c r="O112" s="163" t="s">
        <v>1310</v>
      </c>
      <c r="P112" s="164"/>
      <c r="R112" s="167" t="s">
        <v>1309</v>
      </c>
      <c r="S112" s="171">
        <v>0.87</v>
      </c>
      <c r="U112" s="167" t="s">
        <v>1284</v>
      </c>
      <c r="V112" s="170">
        <v>1114.3900000000001</v>
      </c>
      <c r="X112" s="173" t="s">
        <v>1285</v>
      </c>
      <c r="Y112" s="171">
        <v>29.31</v>
      </c>
    </row>
    <row r="113" spans="2:25" x14ac:dyDescent="0.2">
      <c r="B113" s="159" t="s">
        <v>1270</v>
      </c>
      <c r="C113" s="160"/>
      <c r="D113" s="160"/>
      <c r="E113" s="160"/>
      <c r="F113" s="160"/>
      <c r="G113" s="160"/>
      <c r="K113" s="167" t="s">
        <v>1288</v>
      </c>
      <c r="L113" s="170">
        <v>382</v>
      </c>
      <c r="M113" s="174"/>
      <c r="O113" s="167" t="s">
        <v>372</v>
      </c>
      <c r="P113" s="170">
        <v>1042.1199999999999</v>
      </c>
      <c r="R113" s="167" t="s">
        <v>1311</v>
      </c>
      <c r="S113" s="171">
        <v>0.05</v>
      </c>
      <c r="U113" s="173" t="s">
        <v>1305</v>
      </c>
      <c r="V113" s="170">
        <v>1114.3900000000001</v>
      </c>
      <c r="X113" s="167" t="s">
        <v>1286</v>
      </c>
      <c r="Y113" s="170">
        <v>1792.98</v>
      </c>
    </row>
    <row r="114" spans="2:25" x14ac:dyDescent="0.2">
      <c r="B114" s="165" t="s">
        <v>1271</v>
      </c>
      <c r="C114" s="2">
        <v>130.6</v>
      </c>
      <c r="D114" s="2">
        <v>132.1</v>
      </c>
      <c r="E114" s="2">
        <v>132.1</v>
      </c>
      <c r="F114" s="2">
        <v>132.9</v>
      </c>
      <c r="G114" s="2">
        <v>132.69999999999999</v>
      </c>
      <c r="H114" s="166"/>
      <c r="I114" s="166"/>
      <c r="K114" s="173" t="s">
        <v>1289</v>
      </c>
      <c r="L114" s="171">
        <v>62</v>
      </c>
      <c r="M114" s="169"/>
      <c r="O114" s="167" t="s">
        <v>1312</v>
      </c>
      <c r="P114" s="170">
        <v>1165.54</v>
      </c>
      <c r="R114" s="173" t="s">
        <v>1313</v>
      </c>
      <c r="S114" s="171">
        <v>0.05</v>
      </c>
      <c r="U114" s="167" t="s">
        <v>1286</v>
      </c>
      <c r="V114" s="188">
        <v>11054.09</v>
      </c>
      <c r="X114" s="163" t="s">
        <v>1287</v>
      </c>
      <c r="Y114" s="164"/>
    </row>
    <row r="115" spans="2:25" x14ac:dyDescent="0.2">
      <c r="B115" s="172" t="s">
        <v>1273</v>
      </c>
      <c r="C115" s="2">
        <v>130.6</v>
      </c>
      <c r="D115" s="2">
        <v>132.1</v>
      </c>
      <c r="E115" s="2">
        <v>132.1</v>
      </c>
      <c r="F115" s="2">
        <v>132.9</v>
      </c>
      <c r="G115" s="2">
        <v>132.69999999999999</v>
      </c>
      <c r="H115" s="166"/>
      <c r="I115" s="166"/>
      <c r="K115" s="173" t="s">
        <v>1291</v>
      </c>
      <c r="L115" s="170">
        <v>320</v>
      </c>
      <c r="M115" s="174"/>
      <c r="O115" s="163" t="s">
        <v>1314</v>
      </c>
      <c r="P115" s="164"/>
      <c r="R115" s="173" t="s">
        <v>1315</v>
      </c>
      <c r="S115" s="188">
        <v>0</v>
      </c>
      <c r="U115" s="163" t="s">
        <v>1287</v>
      </c>
      <c r="V115" s="164"/>
      <c r="X115" s="167" t="s">
        <v>1288</v>
      </c>
      <c r="Y115" s="171">
        <v>37.630000000000003</v>
      </c>
    </row>
    <row r="116" spans="2:25" x14ac:dyDescent="0.2">
      <c r="B116" s="172" t="s">
        <v>1274</v>
      </c>
      <c r="C116" s="177">
        <v>0</v>
      </c>
      <c r="D116" s="177">
        <v>0</v>
      </c>
      <c r="E116" s="177">
        <v>0</v>
      </c>
      <c r="F116" s="177">
        <v>0</v>
      </c>
      <c r="G116" s="177">
        <v>0</v>
      </c>
      <c r="H116" s="182"/>
      <c r="I116" s="182"/>
      <c r="K116" s="167" t="s">
        <v>1293</v>
      </c>
      <c r="L116" s="170">
        <v>684</v>
      </c>
      <c r="M116" s="174"/>
      <c r="O116" s="167" t="s">
        <v>1316</v>
      </c>
      <c r="P116" s="170">
        <v>1181.1400000000001</v>
      </c>
      <c r="R116" s="167" t="s">
        <v>1311</v>
      </c>
      <c r="S116" s="171">
        <v>0.87</v>
      </c>
      <c r="U116" s="167" t="s">
        <v>1293</v>
      </c>
      <c r="V116" s="170">
        <v>1135.6300000000001</v>
      </c>
      <c r="X116" s="173" t="s">
        <v>1289</v>
      </c>
      <c r="Y116" s="171">
        <v>4.03</v>
      </c>
    </row>
    <row r="117" spans="2:25" x14ac:dyDescent="0.2">
      <c r="B117" s="165" t="s">
        <v>1276</v>
      </c>
      <c r="C117" s="2">
        <v>480</v>
      </c>
      <c r="D117" s="2">
        <v>480</v>
      </c>
      <c r="E117" s="2">
        <v>480</v>
      </c>
      <c r="F117" s="2">
        <v>480</v>
      </c>
      <c r="G117" s="2">
        <v>480</v>
      </c>
      <c r="H117" s="166"/>
      <c r="I117" s="166"/>
      <c r="K117" s="167" t="s">
        <v>1295</v>
      </c>
      <c r="L117" s="170">
        <v>6007</v>
      </c>
      <c r="M117" s="174"/>
      <c r="O117" s="173" t="s">
        <v>1317</v>
      </c>
      <c r="P117" s="171">
        <v>11.71</v>
      </c>
      <c r="R117" s="173" t="s">
        <v>1313</v>
      </c>
      <c r="S117" s="171">
        <v>0.87</v>
      </c>
      <c r="U117" s="167" t="s">
        <v>1295</v>
      </c>
      <c r="V117" s="170">
        <v>6779.99</v>
      </c>
      <c r="X117" s="173" t="s">
        <v>1291</v>
      </c>
      <c r="Y117" s="171">
        <v>33.6</v>
      </c>
    </row>
    <row r="118" spans="2:25" x14ac:dyDescent="0.2">
      <c r="B118" s="165" t="s">
        <v>1277</v>
      </c>
      <c r="C118" s="2">
        <v>130.6</v>
      </c>
      <c r="D118" s="2">
        <v>132.1</v>
      </c>
      <c r="E118" s="2">
        <v>132.1</v>
      </c>
      <c r="F118" s="2">
        <v>132.9</v>
      </c>
      <c r="G118" s="2">
        <v>132.69999999999999</v>
      </c>
      <c r="H118" s="166"/>
      <c r="I118" s="166"/>
      <c r="K118" s="163" t="s">
        <v>1297</v>
      </c>
      <c r="L118" s="164"/>
      <c r="M118" s="162"/>
      <c r="O118" s="173" t="s">
        <v>1318</v>
      </c>
      <c r="P118" s="171">
        <v>16.66</v>
      </c>
      <c r="R118" s="173" t="s">
        <v>1315</v>
      </c>
      <c r="S118" s="188">
        <v>0</v>
      </c>
      <c r="U118" s="163" t="s">
        <v>1297</v>
      </c>
      <c r="V118" s="164"/>
      <c r="X118" s="167" t="s">
        <v>1293</v>
      </c>
      <c r="Y118" s="171">
        <v>37.630000000000003</v>
      </c>
    </row>
    <row r="119" spans="2:25" x14ac:dyDescent="0.2">
      <c r="B119" s="172" t="s">
        <v>1278</v>
      </c>
      <c r="C119" s="2">
        <v>130.6</v>
      </c>
      <c r="D119" s="2">
        <v>132.1</v>
      </c>
      <c r="E119" s="2">
        <v>132.1</v>
      </c>
      <c r="F119" s="2">
        <v>132.9</v>
      </c>
      <c r="G119" s="2">
        <v>132.69999999999999</v>
      </c>
      <c r="H119" s="166"/>
      <c r="I119" s="166"/>
      <c r="K119" s="167" t="s">
        <v>1301</v>
      </c>
      <c r="L119" s="170">
        <v>723</v>
      </c>
      <c r="M119" s="174"/>
      <c r="O119" s="173" t="s">
        <v>1319</v>
      </c>
      <c r="P119" s="171">
        <v>18.23</v>
      </c>
      <c r="R119" s="163" t="s">
        <v>1281</v>
      </c>
      <c r="S119" s="164"/>
      <c r="U119" s="167" t="s">
        <v>1299</v>
      </c>
      <c r="V119" s="170">
        <v>237.36</v>
      </c>
      <c r="X119" s="167" t="s">
        <v>1295</v>
      </c>
      <c r="Y119" s="170">
        <v>1275.95</v>
      </c>
    </row>
    <row r="120" spans="2:25" x14ac:dyDescent="0.2">
      <c r="B120" s="172" t="s">
        <v>1280</v>
      </c>
      <c r="C120" s="177">
        <v>0</v>
      </c>
      <c r="D120" s="177">
        <v>0</v>
      </c>
      <c r="E120" s="177">
        <v>0</v>
      </c>
      <c r="F120" s="177">
        <v>0</v>
      </c>
      <c r="G120" s="177">
        <v>0</v>
      </c>
      <c r="H120" s="182"/>
      <c r="I120" s="182"/>
      <c r="K120" s="173" t="s">
        <v>1302</v>
      </c>
      <c r="L120" s="170">
        <v>715</v>
      </c>
      <c r="M120" s="174"/>
      <c r="O120" s="173" t="s">
        <v>1320</v>
      </c>
      <c r="P120" s="171">
        <v>23.2</v>
      </c>
      <c r="R120" s="167" t="s">
        <v>1282</v>
      </c>
      <c r="S120" s="171">
        <v>1</v>
      </c>
      <c r="U120" s="167" t="s">
        <v>1301</v>
      </c>
      <c r="V120" s="170">
        <v>2684.85</v>
      </c>
      <c r="X120" s="163" t="s">
        <v>1297</v>
      </c>
      <c r="Y120" s="164"/>
    </row>
    <row r="121" spans="2:25" x14ac:dyDescent="0.2">
      <c r="B121" s="159" t="s">
        <v>1281</v>
      </c>
      <c r="C121" s="160"/>
      <c r="D121" s="160"/>
      <c r="E121" s="160"/>
      <c r="F121" s="160"/>
      <c r="G121" s="160"/>
      <c r="K121" s="167" t="s">
        <v>1321</v>
      </c>
      <c r="L121" s="170">
        <v>1230</v>
      </c>
      <c r="M121" s="174"/>
      <c r="O121" s="173" t="s">
        <v>1322</v>
      </c>
      <c r="P121" s="170">
        <v>215.1</v>
      </c>
      <c r="R121" s="167" t="s">
        <v>1282</v>
      </c>
      <c r="S121" s="171">
        <v>1</v>
      </c>
      <c r="U121" s="167" t="s">
        <v>1321</v>
      </c>
      <c r="V121" s="171">
        <v>41.67</v>
      </c>
      <c r="X121" s="167" t="s">
        <v>1301</v>
      </c>
      <c r="Y121" s="170">
        <v>222.35</v>
      </c>
    </row>
    <row r="122" spans="2:25" x14ac:dyDescent="0.2">
      <c r="B122" s="165" t="s">
        <v>1282</v>
      </c>
      <c r="C122" s="175">
        <v>1</v>
      </c>
      <c r="D122" s="175">
        <v>1</v>
      </c>
      <c r="E122" s="175">
        <v>1</v>
      </c>
      <c r="F122" s="175">
        <v>1</v>
      </c>
      <c r="G122" s="175">
        <v>1</v>
      </c>
      <c r="H122" s="176"/>
      <c r="I122" s="176"/>
      <c r="K122" s="167" t="s">
        <v>1323</v>
      </c>
      <c r="L122" s="170">
        <v>883</v>
      </c>
      <c r="M122" s="174"/>
      <c r="O122" s="173" t="s">
        <v>1324</v>
      </c>
      <c r="P122" s="170">
        <v>896.25</v>
      </c>
      <c r="R122" s="163" t="s">
        <v>1283</v>
      </c>
      <c r="S122" s="164"/>
      <c r="U122" s="167" t="s">
        <v>1323</v>
      </c>
      <c r="V122" s="170">
        <v>536.48</v>
      </c>
      <c r="X122" s="173" t="s">
        <v>1302</v>
      </c>
      <c r="Y122" s="170">
        <v>218.73</v>
      </c>
    </row>
    <row r="123" spans="2:25" x14ac:dyDescent="0.2">
      <c r="B123" s="159" t="s">
        <v>1283</v>
      </c>
      <c r="C123" s="160"/>
      <c r="D123" s="160"/>
      <c r="E123" s="160"/>
      <c r="F123" s="160"/>
      <c r="G123" s="160"/>
      <c r="K123" s="167" t="s">
        <v>1303</v>
      </c>
      <c r="L123" s="170">
        <v>540</v>
      </c>
      <c r="M123" s="174"/>
      <c r="O123" s="167" t="s">
        <v>1325</v>
      </c>
      <c r="P123" s="171">
        <v>34.89</v>
      </c>
      <c r="R123" s="167" t="s">
        <v>1284</v>
      </c>
      <c r="S123" s="188"/>
      <c r="U123" s="167" t="s">
        <v>1326</v>
      </c>
      <c r="V123" s="170">
        <v>437.13</v>
      </c>
      <c r="X123" s="167" t="s">
        <v>1323</v>
      </c>
      <c r="Y123" s="171">
        <v>37.799999999999997</v>
      </c>
    </row>
    <row r="124" spans="2:25" x14ac:dyDescent="0.2">
      <c r="B124" s="165" t="s">
        <v>1284</v>
      </c>
      <c r="C124" s="177"/>
      <c r="D124" s="177"/>
      <c r="E124" s="177"/>
      <c r="F124" s="177"/>
      <c r="G124" s="177"/>
      <c r="H124" s="182"/>
      <c r="I124" s="182"/>
      <c r="K124" s="173" t="s">
        <v>1304</v>
      </c>
      <c r="L124" s="170">
        <v>389</v>
      </c>
      <c r="M124" s="174"/>
      <c r="O124" s="167" t="s">
        <v>1327</v>
      </c>
      <c r="P124" s="170">
        <v>238.29</v>
      </c>
      <c r="R124" s="173" t="s">
        <v>1285</v>
      </c>
      <c r="S124" s="170">
        <v>1471</v>
      </c>
      <c r="U124" s="167" t="s">
        <v>1303</v>
      </c>
      <c r="V124" s="170">
        <v>3477.3</v>
      </c>
      <c r="X124" s="167" t="s">
        <v>1328</v>
      </c>
      <c r="Y124" s="171">
        <v>8.4600000000000009</v>
      </c>
    </row>
    <row r="125" spans="2:25" x14ac:dyDescent="0.2">
      <c r="B125" s="172" t="s">
        <v>1285</v>
      </c>
      <c r="C125" s="2">
        <v>521.5</v>
      </c>
      <c r="D125" s="2">
        <v>526.4</v>
      </c>
      <c r="E125" s="2">
        <v>511.7</v>
      </c>
      <c r="F125" s="2">
        <v>572.6</v>
      </c>
      <c r="G125" s="2">
        <v>691.4</v>
      </c>
      <c r="H125" s="166"/>
      <c r="I125" s="166"/>
      <c r="K125" s="173" t="s">
        <v>1306</v>
      </c>
      <c r="L125" s="170">
        <v>151</v>
      </c>
      <c r="M125" s="174"/>
      <c r="O125" s="167" t="s">
        <v>1329</v>
      </c>
      <c r="P125" s="170">
        <v>896.25</v>
      </c>
      <c r="R125" s="163" t="s">
        <v>1287</v>
      </c>
      <c r="S125" s="164"/>
      <c r="U125" s="173" t="s">
        <v>1304</v>
      </c>
      <c r="V125" s="170">
        <v>3107.89</v>
      </c>
      <c r="X125" s="167" t="s">
        <v>1303</v>
      </c>
      <c r="Y125" s="170">
        <v>209.82</v>
      </c>
    </row>
    <row r="126" spans="2:25" x14ac:dyDescent="0.2">
      <c r="B126" s="172" t="s">
        <v>1330</v>
      </c>
      <c r="C126" s="2">
        <v>709.5</v>
      </c>
      <c r="D126" s="2">
        <v>727.9</v>
      </c>
      <c r="E126" s="2">
        <v>698.4</v>
      </c>
      <c r="F126" s="2">
        <v>758.6</v>
      </c>
      <c r="G126" s="2">
        <v>807.4</v>
      </c>
      <c r="H126" s="166"/>
      <c r="I126" s="166"/>
      <c r="K126" s="163" t="s">
        <v>1310</v>
      </c>
      <c r="L126" s="164"/>
      <c r="M126" s="162"/>
      <c r="O126" s="163" t="s">
        <v>1331</v>
      </c>
      <c r="P126" s="164"/>
      <c r="R126" s="167" t="s">
        <v>1288</v>
      </c>
      <c r="S126" s="170">
        <v>1518</v>
      </c>
      <c r="U126" s="173" t="s">
        <v>1306</v>
      </c>
      <c r="V126" s="170">
        <v>369.41</v>
      </c>
      <c r="X126" s="173" t="s">
        <v>1304</v>
      </c>
      <c r="Y126" s="170">
        <v>129.9</v>
      </c>
    </row>
    <row r="127" spans="2:25" x14ac:dyDescent="0.2">
      <c r="B127" s="172" t="s">
        <v>1332</v>
      </c>
      <c r="C127" s="2">
        <v>674.2</v>
      </c>
      <c r="D127" s="2">
        <v>673.2</v>
      </c>
      <c r="E127" s="2">
        <v>636.1</v>
      </c>
      <c r="F127" s="2">
        <v>665.4</v>
      </c>
      <c r="G127" s="2">
        <v>771.1</v>
      </c>
      <c r="H127" s="166"/>
      <c r="I127" s="166"/>
      <c r="K127" s="167" t="s">
        <v>372</v>
      </c>
      <c r="L127" s="170">
        <v>5558</v>
      </c>
      <c r="M127" s="174"/>
      <c r="O127" s="167" t="s">
        <v>1333</v>
      </c>
      <c r="P127" s="171">
        <v>2.15</v>
      </c>
      <c r="R127" s="173" t="s">
        <v>1289</v>
      </c>
      <c r="S127" s="170">
        <v>286</v>
      </c>
      <c r="U127" s="167" t="s">
        <v>1334</v>
      </c>
      <c r="V127" s="171">
        <v>4.2300000000000004</v>
      </c>
      <c r="X127" s="173" t="s">
        <v>1306</v>
      </c>
      <c r="Y127" s="171">
        <v>79.930000000000007</v>
      </c>
    </row>
    <row r="128" spans="2:25" x14ac:dyDescent="0.2">
      <c r="B128" s="172" t="s">
        <v>1335</v>
      </c>
      <c r="C128" s="175">
        <v>35.299999999999997</v>
      </c>
      <c r="D128" s="175">
        <v>54.7</v>
      </c>
      <c r="E128" s="175">
        <v>62.3</v>
      </c>
      <c r="F128" s="175">
        <v>93.2</v>
      </c>
      <c r="G128" s="175">
        <v>36.299999999999997</v>
      </c>
      <c r="H128" s="176"/>
      <c r="I128" s="176"/>
      <c r="K128" s="167" t="s">
        <v>1312</v>
      </c>
      <c r="L128" s="170">
        <v>5625</v>
      </c>
      <c r="M128" s="174"/>
      <c r="O128" s="167" t="s">
        <v>1336</v>
      </c>
      <c r="P128" s="200">
        <v>0</v>
      </c>
      <c r="R128" s="173" t="s">
        <v>1291</v>
      </c>
      <c r="S128" s="170">
        <v>1232</v>
      </c>
      <c r="U128" s="163" t="s">
        <v>1310</v>
      </c>
      <c r="V128" s="164"/>
      <c r="X128" s="163" t="s">
        <v>1310</v>
      </c>
      <c r="Y128" s="164"/>
    </row>
    <row r="129" spans="2:25" x14ac:dyDescent="0.2">
      <c r="B129" s="165" t="s">
        <v>1286</v>
      </c>
      <c r="C129" s="177"/>
      <c r="D129" s="177"/>
      <c r="E129" s="177"/>
      <c r="F129" s="177"/>
      <c r="G129" s="177"/>
      <c r="H129" s="182"/>
      <c r="I129" s="182"/>
      <c r="K129" s="167" t="s">
        <v>1337</v>
      </c>
      <c r="L129" s="171">
        <v>3</v>
      </c>
      <c r="M129" s="169"/>
      <c r="O129" s="163" t="s">
        <v>1338</v>
      </c>
      <c r="P129" s="164"/>
      <c r="R129" s="167" t="s">
        <v>1293</v>
      </c>
      <c r="S129" s="170">
        <v>2052</v>
      </c>
      <c r="U129" s="167" t="s">
        <v>372</v>
      </c>
      <c r="V129" s="170">
        <v>4803.92</v>
      </c>
      <c r="X129" s="167" t="s">
        <v>372</v>
      </c>
      <c r="Y129" s="170">
        <v>1217.92</v>
      </c>
    </row>
    <row r="130" spans="2:25" x14ac:dyDescent="0.2">
      <c r="B130" s="172" t="s">
        <v>1339</v>
      </c>
      <c r="C130" s="177">
        <v>14469.4</v>
      </c>
      <c r="D130" s="177">
        <v>14462.1</v>
      </c>
      <c r="E130" s="177">
        <v>11773.2</v>
      </c>
      <c r="F130" s="177">
        <v>11213.2</v>
      </c>
      <c r="G130" s="177">
        <v>10408.1</v>
      </c>
      <c r="H130" s="182"/>
      <c r="I130" s="182"/>
      <c r="K130" s="167" t="s">
        <v>1340</v>
      </c>
      <c r="L130" s="170">
        <v>797</v>
      </c>
      <c r="M130" s="174"/>
      <c r="O130" s="167" t="s">
        <v>1341</v>
      </c>
      <c r="P130" s="171">
        <v>33.770000000000003</v>
      </c>
      <c r="R130" s="167" t="s">
        <v>1295</v>
      </c>
      <c r="S130" s="188">
        <v>19705</v>
      </c>
      <c r="U130" s="167" t="s">
        <v>1312</v>
      </c>
      <c r="V130" s="170">
        <v>6779.99</v>
      </c>
      <c r="X130" s="167" t="s">
        <v>1312</v>
      </c>
      <c r="Y130" s="170">
        <v>1238.32</v>
      </c>
    </row>
    <row r="131" spans="2:25" x14ac:dyDescent="0.2">
      <c r="B131" s="159" t="s">
        <v>1287</v>
      </c>
      <c r="C131" s="160"/>
      <c r="D131" s="160"/>
      <c r="E131" s="160"/>
      <c r="F131" s="160"/>
      <c r="G131" s="160"/>
      <c r="K131" s="167" t="s">
        <v>1342</v>
      </c>
      <c r="L131" s="170">
        <v>800</v>
      </c>
      <c r="M131" s="174"/>
      <c r="O131" s="167" t="s">
        <v>1343</v>
      </c>
      <c r="P131" s="170">
        <v>459.52</v>
      </c>
      <c r="R131" s="163" t="s">
        <v>1297</v>
      </c>
      <c r="S131" s="164"/>
      <c r="U131" s="163" t="s">
        <v>1314</v>
      </c>
      <c r="V131" s="164"/>
      <c r="X131" s="167" t="s">
        <v>1337</v>
      </c>
      <c r="Y131" s="170">
        <v>209.9</v>
      </c>
    </row>
    <row r="132" spans="2:25" x14ac:dyDescent="0.2">
      <c r="B132" s="165" t="s">
        <v>1288</v>
      </c>
      <c r="C132" s="2">
        <v>567.1</v>
      </c>
      <c r="D132" s="2">
        <v>570.70000000000005</v>
      </c>
      <c r="E132" s="2">
        <v>554.70000000000005</v>
      </c>
      <c r="F132" s="2">
        <v>596.5</v>
      </c>
      <c r="G132" s="2">
        <v>691.7</v>
      </c>
      <c r="H132" s="166"/>
      <c r="I132" s="166"/>
      <c r="K132" s="163" t="s">
        <v>1314</v>
      </c>
      <c r="L132" s="164"/>
      <c r="M132" s="162"/>
      <c r="O132" s="167" t="s">
        <v>1344</v>
      </c>
      <c r="P132" s="170">
        <v>3007.03</v>
      </c>
      <c r="R132" s="167" t="s">
        <v>1301</v>
      </c>
      <c r="S132" s="170">
        <v>5452</v>
      </c>
      <c r="U132" s="167" t="s">
        <v>1316</v>
      </c>
      <c r="V132" s="170">
        <v>5644.36</v>
      </c>
      <c r="X132" s="167" t="s">
        <v>1340</v>
      </c>
      <c r="Y132" s="170">
        <v>540.1</v>
      </c>
    </row>
    <row r="133" spans="2:25" x14ac:dyDescent="0.2">
      <c r="B133" s="172" t="s">
        <v>1289</v>
      </c>
      <c r="C133" s="175">
        <v>44.5</v>
      </c>
      <c r="D133" s="175">
        <v>49.3</v>
      </c>
      <c r="E133" s="175">
        <v>47.3</v>
      </c>
      <c r="F133" s="175">
        <v>48.1</v>
      </c>
      <c r="G133" s="175">
        <v>49.2</v>
      </c>
      <c r="H133" s="176"/>
      <c r="I133" s="176"/>
      <c r="K133" s="167" t="s">
        <v>1316</v>
      </c>
      <c r="L133" s="170">
        <v>5323</v>
      </c>
      <c r="M133" s="174"/>
      <c r="O133" s="167" t="s">
        <v>1345</v>
      </c>
      <c r="P133" s="170">
        <v>123.42</v>
      </c>
      <c r="R133" s="173" t="s">
        <v>1302</v>
      </c>
      <c r="S133" s="170">
        <v>5315</v>
      </c>
      <c r="U133" s="173" t="s">
        <v>1317</v>
      </c>
      <c r="V133" s="170">
        <v>1187.26</v>
      </c>
      <c r="X133" s="167" t="s">
        <v>1342</v>
      </c>
      <c r="Y133" s="170">
        <v>750</v>
      </c>
    </row>
    <row r="134" spans="2:25" x14ac:dyDescent="0.2">
      <c r="B134" s="172" t="s">
        <v>1291</v>
      </c>
      <c r="C134" s="2">
        <v>522.6</v>
      </c>
      <c r="D134" s="2">
        <v>521.4</v>
      </c>
      <c r="E134" s="2">
        <v>507.4</v>
      </c>
      <c r="F134" s="2">
        <v>548.4</v>
      </c>
      <c r="G134" s="2">
        <v>642.5</v>
      </c>
      <c r="H134" s="166"/>
      <c r="I134" s="166"/>
      <c r="K134" s="173" t="s">
        <v>1317</v>
      </c>
      <c r="L134" s="170">
        <v>792</v>
      </c>
      <c r="M134" s="174"/>
      <c r="O134" s="167" t="s">
        <v>1346</v>
      </c>
      <c r="P134" s="170">
        <v>123.42</v>
      </c>
      <c r="R134" s="167" t="s">
        <v>1323</v>
      </c>
      <c r="S134" s="170">
        <v>1079</v>
      </c>
      <c r="U134" s="173" t="s">
        <v>1318</v>
      </c>
      <c r="V134" s="170">
        <v>628.34</v>
      </c>
      <c r="X134" s="163" t="s">
        <v>1314</v>
      </c>
      <c r="Y134" s="164"/>
    </row>
    <row r="135" spans="2:25" x14ac:dyDescent="0.2">
      <c r="B135" s="165" t="s">
        <v>1293</v>
      </c>
      <c r="C135" s="2">
        <v>577.9</v>
      </c>
      <c r="D135" s="2">
        <v>591.1</v>
      </c>
      <c r="E135" s="2">
        <v>583.79999999999995</v>
      </c>
      <c r="F135" s="2">
        <v>653.6</v>
      </c>
      <c r="G135" s="2">
        <v>787.6</v>
      </c>
      <c r="H135" s="166"/>
      <c r="I135" s="166"/>
      <c r="K135" s="173" t="s">
        <v>1318</v>
      </c>
      <c r="L135" s="171">
        <v>30</v>
      </c>
      <c r="M135" s="169"/>
      <c r="O135" s="167" t="s">
        <v>1347</v>
      </c>
      <c r="P135" s="170">
        <v>1165.54</v>
      </c>
      <c r="R135" s="167" t="s">
        <v>1326</v>
      </c>
      <c r="S135" s="170">
        <v>106</v>
      </c>
      <c r="U135" s="173" t="s">
        <v>1319</v>
      </c>
      <c r="V135" s="170">
        <v>627.75</v>
      </c>
      <c r="X135" s="167" t="s">
        <v>1316</v>
      </c>
      <c r="Y135" s="170">
        <v>1246.25</v>
      </c>
    </row>
    <row r="136" spans="2:25" x14ac:dyDescent="0.2">
      <c r="B136" s="165" t="s">
        <v>1295</v>
      </c>
      <c r="C136" s="2">
        <v>4940</v>
      </c>
      <c r="D136" s="2">
        <v>5898.5</v>
      </c>
      <c r="E136" s="2">
        <v>4461.6000000000004</v>
      </c>
      <c r="F136" s="2">
        <v>4629.3</v>
      </c>
      <c r="G136" s="2">
        <v>4667.6000000000004</v>
      </c>
      <c r="H136" s="166"/>
      <c r="I136" s="166"/>
      <c r="K136" s="173" t="s">
        <v>1319</v>
      </c>
      <c r="L136" s="188">
        <v>0</v>
      </c>
      <c r="M136" s="189"/>
      <c r="O136" s="167" t="s">
        <v>1348</v>
      </c>
      <c r="P136" s="171">
        <v>55.32</v>
      </c>
      <c r="R136" s="167" t="s">
        <v>1303</v>
      </c>
      <c r="S136" s="170">
        <v>5459</v>
      </c>
      <c r="U136" s="173" t="s">
        <v>1320</v>
      </c>
      <c r="V136" s="170">
        <v>880.86</v>
      </c>
      <c r="X136" s="173" t="s">
        <v>1317</v>
      </c>
      <c r="Y136" s="171">
        <v>15</v>
      </c>
    </row>
    <row r="137" spans="2:25" x14ac:dyDescent="0.2">
      <c r="B137" s="159" t="s">
        <v>1297</v>
      </c>
      <c r="C137" s="160"/>
      <c r="D137" s="160"/>
      <c r="E137" s="160"/>
      <c r="F137" s="160"/>
      <c r="G137" s="160"/>
      <c r="K137" s="173" t="s">
        <v>1320</v>
      </c>
      <c r="L137" s="188">
        <v>0</v>
      </c>
      <c r="M137" s="189"/>
      <c r="O137" s="167" t="s">
        <v>1349</v>
      </c>
      <c r="P137" s="170">
        <v>2683.06</v>
      </c>
      <c r="R137" s="173" t="s">
        <v>1304</v>
      </c>
      <c r="S137" s="170">
        <v>3263</v>
      </c>
      <c r="U137" s="173" t="s">
        <v>1324</v>
      </c>
      <c r="V137" s="170">
        <v>2320.15</v>
      </c>
      <c r="X137" s="173" t="s">
        <v>1318</v>
      </c>
      <c r="Y137" s="171">
        <v>15</v>
      </c>
    </row>
    <row r="138" spans="2:25" x14ac:dyDescent="0.2">
      <c r="B138" s="165" t="s">
        <v>1299</v>
      </c>
      <c r="C138" s="175">
        <v>33.700000000000003</v>
      </c>
      <c r="D138" s="175">
        <v>31.3</v>
      </c>
      <c r="E138" s="175">
        <v>31.3</v>
      </c>
      <c r="F138" s="175">
        <v>31.8</v>
      </c>
      <c r="G138" s="175">
        <v>34.1</v>
      </c>
      <c r="H138" s="176"/>
      <c r="I138" s="176"/>
      <c r="K138" s="173" t="s">
        <v>1322</v>
      </c>
      <c r="L138" s="170">
        <v>473</v>
      </c>
      <c r="M138" s="174"/>
      <c r="O138" s="167" t="s">
        <v>1350</v>
      </c>
      <c r="P138" s="170">
        <v>2683.06</v>
      </c>
      <c r="R138" s="173" t="s">
        <v>1306</v>
      </c>
      <c r="S138" s="170">
        <v>2196</v>
      </c>
      <c r="U138" s="167" t="s">
        <v>1325</v>
      </c>
      <c r="V138" s="170">
        <v>1256.0899999999999</v>
      </c>
      <c r="X138" s="173" t="s">
        <v>1319</v>
      </c>
      <c r="Y138" s="171">
        <v>15</v>
      </c>
    </row>
    <row r="139" spans="2:25" x14ac:dyDescent="0.2">
      <c r="B139" s="165" t="s">
        <v>1301</v>
      </c>
      <c r="C139" s="2">
        <v>887.7</v>
      </c>
      <c r="D139" s="2">
        <v>892.3</v>
      </c>
      <c r="E139" s="2">
        <v>889.7</v>
      </c>
      <c r="F139" s="2">
        <v>1045.3</v>
      </c>
      <c r="G139" s="2">
        <v>838.7</v>
      </c>
      <c r="H139" s="166"/>
      <c r="I139" s="166"/>
      <c r="K139" s="173" t="s">
        <v>1324</v>
      </c>
      <c r="L139" s="170">
        <v>4028</v>
      </c>
      <c r="M139" s="174"/>
      <c r="O139" s="167" t="s">
        <v>1351</v>
      </c>
      <c r="P139" s="170">
        <v>287.92</v>
      </c>
      <c r="R139" s="163" t="s">
        <v>1310</v>
      </c>
      <c r="S139" s="164"/>
      <c r="U139" s="167" t="s">
        <v>1327</v>
      </c>
      <c r="V139" s="170">
        <v>880.86</v>
      </c>
      <c r="X139" s="173" t="s">
        <v>1320</v>
      </c>
      <c r="Y139" s="171">
        <v>15</v>
      </c>
    </row>
    <row r="140" spans="2:25" x14ac:dyDescent="0.2">
      <c r="B140" s="172" t="s">
        <v>1302</v>
      </c>
      <c r="C140" s="2">
        <v>898.2</v>
      </c>
      <c r="D140" s="2">
        <v>905.5</v>
      </c>
      <c r="E140" s="2">
        <v>903.3</v>
      </c>
      <c r="F140" s="2">
        <v>856.5</v>
      </c>
      <c r="G140" s="2">
        <v>793.5</v>
      </c>
      <c r="H140" s="166"/>
      <c r="I140" s="166"/>
      <c r="K140" s="167" t="s">
        <v>1325</v>
      </c>
      <c r="L140" s="171">
        <v>30</v>
      </c>
      <c r="M140" s="169"/>
      <c r="O140" s="167" t="s">
        <v>1352</v>
      </c>
      <c r="P140" s="170">
        <v>1640.94</v>
      </c>
      <c r="R140" s="167" t="s">
        <v>372</v>
      </c>
      <c r="S140" s="188">
        <v>14091</v>
      </c>
      <c r="U140" s="167" t="s">
        <v>1329</v>
      </c>
      <c r="V140" s="170">
        <v>2320.15</v>
      </c>
      <c r="X140" s="173" t="s">
        <v>1322</v>
      </c>
      <c r="Y140" s="170">
        <v>436.25</v>
      </c>
    </row>
    <row r="141" spans="2:25" x14ac:dyDescent="0.2">
      <c r="B141" s="165" t="s">
        <v>1321</v>
      </c>
      <c r="C141" s="2">
        <v>708.5</v>
      </c>
      <c r="D141" s="177"/>
      <c r="E141" s="177"/>
      <c r="F141" s="177"/>
      <c r="G141" s="177"/>
      <c r="H141" s="182"/>
      <c r="I141" s="182"/>
      <c r="K141" s="167" t="s">
        <v>1327</v>
      </c>
      <c r="L141" s="170">
        <v>473</v>
      </c>
      <c r="M141" s="174"/>
      <c r="O141" s="167" t="s">
        <v>1353</v>
      </c>
      <c r="P141" s="170">
        <v>1088.5899999999999</v>
      </c>
      <c r="R141" s="167" t="s">
        <v>1312</v>
      </c>
      <c r="S141" s="188">
        <v>18187</v>
      </c>
      <c r="U141" s="163" t="s">
        <v>1338</v>
      </c>
      <c r="V141" s="164"/>
      <c r="X141" s="173" t="s">
        <v>1324</v>
      </c>
      <c r="Y141" s="170">
        <v>750</v>
      </c>
    </row>
    <row r="142" spans="2:25" x14ac:dyDescent="0.2">
      <c r="B142" s="165" t="s">
        <v>1323</v>
      </c>
      <c r="C142" s="2">
        <v>266.7</v>
      </c>
      <c r="D142" s="2">
        <v>449</v>
      </c>
      <c r="E142" s="2">
        <v>356.2</v>
      </c>
      <c r="F142" s="2">
        <v>401.2</v>
      </c>
      <c r="G142" s="2">
        <v>369.6</v>
      </c>
      <c r="H142" s="166"/>
      <c r="I142" s="166"/>
      <c r="K142" s="167" t="s">
        <v>1329</v>
      </c>
      <c r="L142" s="170">
        <v>4028</v>
      </c>
      <c r="M142" s="174"/>
      <c r="O142" s="167" t="s">
        <v>1354</v>
      </c>
      <c r="P142" s="170">
        <v>1088.5899999999999</v>
      </c>
      <c r="R142" s="163" t="s">
        <v>1314</v>
      </c>
      <c r="S142" s="164"/>
      <c r="U142" s="167" t="s">
        <v>1355</v>
      </c>
      <c r="V142" s="170">
        <v>307.67</v>
      </c>
      <c r="X142" s="167" t="s">
        <v>1325</v>
      </c>
      <c r="Y142" s="171">
        <v>30</v>
      </c>
    </row>
    <row r="143" spans="2:25" x14ac:dyDescent="0.2">
      <c r="B143" s="165" t="s">
        <v>1303</v>
      </c>
      <c r="C143" s="2">
        <v>569.20000000000005</v>
      </c>
      <c r="D143" s="2">
        <v>531</v>
      </c>
      <c r="E143" s="2">
        <v>526.20000000000005</v>
      </c>
      <c r="F143" s="2">
        <v>567.20000000000005</v>
      </c>
      <c r="G143" s="2">
        <v>486</v>
      </c>
      <c r="H143" s="166"/>
      <c r="I143" s="166"/>
      <c r="K143" s="163" t="s">
        <v>1356</v>
      </c>
      <c r="L143" s="164"/>
      <c r="M143" s="162"/>
      <c r="O143" s="167" t="s">
        <v>1357</v>
      </c>
      <c r="P143" s="170">
        <v>2806.48</v>
      </c>
      <c r="R143" s="167" t="s">
        <v>1316</v>
      </c>
      <c r="S143" s="188">
        <v>17533</v>
      </c>
      <c r="U143" s="167" t="s">
        <v>1343</v>
      </c>
      <c r="V143" s="180">
        <v>-3109.22</v>
      </c>
      <c r="X143" s="167" t="s">
        <v>1327</v>
      </c>
      <c r="Y143" s="170">
        <v>451.25</v>
      </c>
    </row>
    <row r="144" spans="2:25" x14ac:dyDescent="0.2">
      <c r="B144" s="172" t="s">
        <v>1304</v>
      </c>
      <c r="C144" s="2">
        <v>438.5</v>
      </c>
      <c r="D144" s="2">
        <v>407</v>
      </c>
      <c r="E144" s="2">
        <v>390.4</v>
      </c>
      <c r="F144" s="2">
        <v>454.5</v>
      </c>
      <c r="G144" s="2">
        <v>365.5</v>
      </c>
      <c r="H144" s="166"/>
      <c r="I144" s="166"/>
      <c r="K144" s="167" t="s">
        <v>1358</v>
      </c>
      <c r="L144" s="170">
        <v>314</v>
      </c>
      <c r="M144" s="174"/>
      <c r="O144" s="167" t="s">
        <v>1359</v>
      </c>
      <c r="P144" s="170">
        <v>2806.48</v>
      </c>
      <c r="R144" s="173" t="s">
        <v>1317</v>
      </c>
      <c r="S144" s="170">
        <v>1055</v>
      </c>
      <c r="U144" s="167" t="s">
        <v>1344</v>
      </c>
      <c r="V144" s="188">
        <v>19845.46</v>
      </c>
      <c r="X144" s="167" t="s">
        <v>1329</v>
      </c>
      <c r="Y144" s="170">
        <v>750</v>
      </c>
    </row>
    <row r="145" spans="2:25" x14ac:dyDescent="0.2">
      <c r="B145" s="172" t="s">
        <v>1306</v>
      </c>
      <c r="C145" s="2">
        <v>130.69999999999999</v>
      </c>
      <c r="D145" s="2">
        <v>124</v>
      </c>
      <c r="E145" s="2">
        <v>135.80000000000001</v>
      </c>
      <c r="F145" s="2">
        <v>112.7</v>
      </c>
      <c r="G145" s="2">
        <v>120.5</v>
      </c>
      <c r="H145" s="166"/>
      <c r="I145" s="166"/>
      <c r="K145" s="173" t="s">
        <v>1360</v>
      </c>
      <c r="L145" s="171">
        <v>28</v>
      </c>
      <c r="M145" s="169"/>
      <c r="O145" s="167" t="s">
        <v>1361</v>
      </c>
      <c r="P145" s="170">
        <v>3272.12</v>
      </c>
      <c r="R145" s="173" t="s">
        <v>1318</v>
      </c>
      <c r="S145" s="170">
        <v>2237</v>
      </c>
      <c r="U145" s="167" t="s">
        <v>1345</v>
      </c>
      <c r="V145" s="170">
        <v>1822.36</v>
      </c>
      <c r="X145" s="163" t="s">
        <v>1331</v>
      </c>
      <c r="Y145" s="164"/>
    </row>
    <row r="146" spans="2:25" x14ac:dyDescent="0.2">
      <c r="B146" s="165" t="s">
        <v>1334</v>
      </c>
      <c r="C146" s="175">
        <v>29.3</v>
      </c>
      <c r="D146" s="177"/>
      <c r="E146" s="177"/>
      <c r="F146" s="177"/>
      <c r="G146" s="177"/>
      <c r="H146" s="182"/>
      <c r="I146" s="182"/>
      <c r="K146" s="173" t="s">
        <v>1362</v>
      </c>
      <c r="L146" s="171">
        <v>27</v>
      </c>
      <c r="M146" s="169"/>
      <c r="O146" s="167" t="s">
        <v>1363</v>
      </c>
      <c r="P146" s="170">
        <v>2169.52</v>
      </c>
      <c r="R146" s="173" t="s">
        <v>1319</v>
      </c>
      <c r="S146" s="170">
        <v>2000</v>
      </c>
      <c r="U146" s="167" t="s">
        <v>1346</v>
      </c>
      <c r="V146" s="170">
        <v>1976.07</v>
      </c>
      <c r="X146" s="167" t="s">
        <v>1333</v>
      </c>
      <c r="Y146" s="171">
        <v>12.6</v>
      </c>
    </row>
    <row r="147" spans="2:25" x14ac:dyDescent="0.2">
      <c r="B147" s="159" t="s">
        <v>1310</v>
      </c>
      <c r="C147" s="160"/>
      <c r="D147" s="160"/>
      <c r="E147" s="160"/>
      <c r="F147" s="160"/>
      <c r="G147" s="160"/>
      <c r="K147" s="173" t="s">
        <v>1364</v>
      </c>
      <c r="L147" s="171">
        <v>29</v>
      </c>
      <c r="M147" s="169"/>
      <c r="O147" s="167" t="s">
        <v>1365</v>
      </c>
      <c r="P147" s="171">
        <v>33.770000000000003</v>
      </c>
      <c r="R147" s="173" t="s">
        <v>1320</v>
      </c>
      <c r="S147" s="170">
        <v>3673</v>
      </c>
      <c r="U147" s="167" t="s">
        <v>1347</v>
      </c>
      <c r="V147" s="170">
        <v>7087.67</v>
      </c>
      <c r="X147" s="167" t="s">
        <v>1336</v>
      </c>
      <c r="Y147" s="200">
        <v>0</v>
      </c>
    </row>
    <row r="148" spans="2:25" x14ac:dyDescent="0.2">
      <c r="B148" s="165" t="s">
        <v>372</v>
      </c>
      <c r="C148" s="2">
        <v>4189.6000000000004</v>
      </c>
      <c r="D148" s="2">
        <v>4768.1000000000004</v>
      </c>
      <c r="E148" s="2">
        <v>2975.8</v>
      </c>
      <c r="F148" s="2">
        <v>3871.4</v>
      </c>
      <c r="G148" s="2">
        <v>3740.9</v>
      </c>
      <c r="H148" s="166"/>
      <c r="I148" s="166"/>
      <c r="K148" s="173" t="s">
        <v>1366</v>
      </c>
      <c r="L148" s="171">
        <v>25</v>
      </c>
      <c r="M148" s="169"/>
      <c r="O148" s="167" t="s">
        <v>292</v>
      </c>
      <c r="P148" s="170">
        <v>582.92999999999995</v>
      </c>
      <c r="R148" s="173" t="s">
        <v>1324</v>
      </c>
      <c r="S148" s="170">
        <v>8568</v>
      </c>
      <c r="U148" s="167" t="s">
        <v>1348</v>
      </c>
      <c r="V148" s="170">
        <v>875.78</v>
      </c>
      <c r="X148" s="163" t="s">
        <v>1338</v>
      </c>
      <c r="Y148" s="164"/>
    </row>
    <row r="149" spans="2:25" x14ac:dyDescent="0.2">
      <c r="B149" s="165" t="s">
        <v>1312</v>
      </c>
      <c r="C149" s="2">
        <v>4372.8999999999996</v>
      </c>
      <c r="D149" s="2">
        <v>5327.8</v>
      </c>
      <c r="E149" s="2">
        <v>3906.9</v>
      </c>
      <c r="F149" s="2">
        <v>4032.8</v>
      </c>
      <c r="G149" s="2">
        <v>3975.9</v>
      </c>
      <c r="H149" s="166"/>
      <c r="I149" s="166"/>
      <c r="K149" s="173" t="s">
        <v>1367</v>
      </c>
      <c r="L149" s="171">
        <v>25</v>
      </c>
      <c r="M149" s="169"/>
      <c r="O149" s="167" t="s">
        <v>1368</v>
      </c>
      <c r="P149" s="170">
        <v>459.52</v>
      </c>
      <c r="R149" s="167" t="s">
        <v>1325</v>
      </c>
      <c r="S149" s="170">
        <v>4237</v>
      </c>
      <c r="U149" s="167" t="s">
        <v>1349</v>
      </c>
      <c r="V149" s="188">
        <v>18425.599999999999</v>
      </c>
      <c r="X149" s="167" t="s">
        <v>1343</v>
      </c>
      <c r="Y149" s="170">
        <v>403.25</v>
      </c>
    </row>
    <row r="150" spans="2:25" x14ac:dyDescent="0.2">
      <c r="B150" s="165" t="s">
        <v>1337</v>
      </c>
      <c r="C150" s="175">
        <v>23.1</v>
      </c>
      <c r="D150" s="175">
        <v>95.2</v>
      </c>
      <c r="E150" s="175">
        <v>83.2</v>
      </c>
      <c r="F150" s="2">
        <v>178.6</v>
      </c>
      <c r="G150" s="175">
        <v>59.6</v>
      </c>
      <c r="H150" s="176"/>
      <c r="I150" s="176"/>
      <c r="K150" s="173" t="s">
        <v>1369</v>
      </c>
      <c r="L150" s="170">
        <v>345</v>
      </c>
      <c r="M150" s="174"/>
      <c r="O150" s="167" t="s">
        <v>1370</v>
      </c>
      <c r="P150" s="170">
        <v>624.04999999999995</v>
      </c>
      <c r="R150" s="167" t="s">
        <v>1327</v>
      </c>
      <c r="S150" s="170">
        <v>3673</v>
      </c>
      <c r="U150" s="167" t="s">
        <v>1350</v>
      </c>
      <c r="V150" s="188">
        <v>18425.599999999999</v>
      </c>
      <c r="X150" s="167" t="s">
        <v>1344</v>
      </c>
      <c r="Y150" s="170">
        <v>2774.29</v>
      </c>
    </row>
    <row r="151" spans="2:25" x14ac:dyDescent="0.2">
      <c r="B151" s="165" t="s">
        <v>1340</v>
      </c>
      <c r="C151" s="2">
        <v>1576.9</v>
      </c>
      <c r="D151" s="2">
        <v>1504.8</v>
      </c>
      <c r="E151" s="2">
        <v>1516.8</v>
      </c>
      <c r="F151" s="2">
        <v>1421.4</v>
      </c>
      <c r="G151" s="2">
        <v>940.4</v>
      </c>
      <c r="H151" s="166"/>
      <c r="I151" s="166"/>
      <c r="K151" s="173" t="s">
        <v>1371</v>
      </c>
      <c r="L151" s="170">
        <v>165</v>
      </c>
      <c r="M151" s="174"/>
      <c r="O151" s="167" t="s">
        <v>1372</v>
      </c>
      <c r="P151" s="170">
        <v>1640.94</v>
      </c>
      <c r="R151" s="167" t="s">
        <v>1329</v>
      </c>
      <c r="S151" s="170">
        <v>8568</v>
      </c>
      <c r="U151" s="167" t="s">
        <v>1351</v>
      </c>
      <c r="V151" s="170">
        <v>1770.81</v>
      </c>
      <c r="X151" s="167" t="s">
        <v>1345</v>
      </c>
      <c r="Y151" s="171">
        <v>20.399999999999999</v>
      </c>
    </row>
    <row r="152" spans="2:25" x14ac:dyDescent="0.2">
      <c r="B152" s="165" t="s">
        <v>1342</v>
      </c>
      <c r="C152" s="2">
        <v>1600</v>
      </c>
      <c r="D152" s="2">
        <v>1600</v>
      </c>
      <c r="E152" s="2">
        <v>1600</v>
      </c>
      <c r="F152" s="2">
        <v>1600</v>
      </c>
      <c r="G152" s="2">
        <v>1000</v>
      </c>
      <c r="H152" s="166"/>
      <c r="I152" s="166"/>
      <c r="K152" s="167" t="s">
        <v>1373</v>
      </c>
      <c r="L152" s="171">
        <v>56</v>
      </c>
      <c r="M152" s="169"/>
      <c r="O152" s="167" t="s">
        <v>1374</v>
      </c>
      <c r="P152" s="170">
        <v>1032.0999999999999</v>
      </c>
      <c r="R152" s="163" t="s">
        <v>1356</v>
      </c>
      <c r="S152" s="164"/>
      <c r="U152" s="167" t="s">
        <v>1352</v>
      </c>
      <c r="V152" s="188">
        <v>13314.01</v>
      </c>
      <c r="X152" s="167" t="s">
        <v>1346</v>
      </c>
      <c r="Y152" s="171">
        <v>20.399999999999999</v>
      </c>
    </row>
    <row r="153" spans="2:25" x14ac:dyDescent="0.2">
      <c r="B153" s="159" t="s">
        <v>1314</v>
      </c>
      <c r="C153" s="160"/>
      <c r="D153" s="160"/>
      <c r="E153" s="160"/>
      <c r="F153" s="160"/>
      <c r="G153" s="160"/>
      <c r="K153" s="167" t="s">
        <v>1375</v>
      </c>
      <c r="L153" s="171">
        <v>50</v>
      </c>
      <c r="M153" s="169"/>
      <c r="O153" s="163" t="s">
        <v>561</v>
      </c>
      <c r="P153" s="164"/>
      <c r="R153" s="167" t="s">
        <v>1358</v>
      </c>
      <c r="S153" s="170">
        <v>534</v>
      </c>
      <c r="U153" s="167" t="s">
        <v>1353</v>
      </c>
      <c r="V153" s="170">
        <v>4461.8599999999997</v>
      </c>
      <c r="X153" s="167" t="s">
        <v>1347</v>
      </c>
      <c r="Y153" s="170">
        <v>1238.32</v>
      </c>
    </row>
    <row r="154" spans="2:25" x14ac:dyDescent="0.2">
      <c r="B154" s="165" t="s">
        <v>1316</v>
      </c>
      <c r="C154" s="2">
        <v>4440.6000000000004</v>
      </c>
      <c r="D154" s="2">
        <v>4841.1000000000004</v>
      </c>
      <c r="E154" s="2">
        <v>3391.5</v>
      </c>
      <c r="F154" s="2">
        <v>3392</v>
      </c>
      <c r="G154" s="2">
        <v>3949.6</v>
      </c>
      <c r="H154" s="166"/>
      <c r="I154" s="166"/>
      <c r="K154" s="167" t="s">
        <v>1376</v>
      </c>
      <c r="L154" s="170">
        <v>345</v>
      </c>
      <c r="M154" s="174"/>
      <c r="O154" s="167" t="s">
        <v>1377</v>
      </c>
      <c r="P154" s="170">
        <v>7500</v>
      </c>
      <c r="R154" s="173" t="s">
        <v>1360</v>
      </c>
      <c r="S154" s="170">
        <v>121</v>
      </c>
      <c r="U154" s="167" t="s">
        <v>1354</v>
      </c>
      <c r="V154" s="170">
        <v>4154.18</v>
      </c>
      <c r="X154" s="167" t="s">
        <v>1348</v>
      </c>
      <c r="Y154" s="170">
        <v>140.09</v>
      </c>
    </row>
    <row r="155" spans="2:25" x14ac:dyDescent="0.2">
      <c r="B155" s="172" t="s">
        <v>1317</v>
      </c>
      <c r="C155" s="175">
        <v>0.4</v>
      </c>
      <c r="D155" s="2">
        <v>400.5</v>
      </c>
      <c r="E155" s="175">
        <v>0.5</v>
      </c>
      <c r="F155" s="175">
        <v>0.5</v>
      </c>
      <c r="G155" s="175">
        <v>5.2</v>
      </c>
      <c r="H155" s="176"/>
      <c r="I155" s="176"/>
      <c r="K155" s="163" t="s">
        <v>1331</v>
      </c>
      <c r="L155" s="164"/>
      <c r="M155" s="162"/>
      <c r="O155" s="163" t="s">
        <v>1378</v>
      </c>
      <c r="P155" s="164"/>
      <c r="R155" s="173" t="s">
        <v>1362</v>
      </c>
      <c r="S155" s="170">
        <v>132</v>
      </c>
      <c r="U155" s="167" t="s">
        <v>1357</v>
      </c>
      <c r="V155" s="188">
        <v>20094</v>
      </c>
      <c r="X155" s="167" t="s">
        <v>1349</v>
      </c>
      <c r="Y155" s="170">
        <v>2674.62</v>
      </c>
    </row>
    <row r="156" spans="2:25" x14ac:dyDescent="0.2">
      <c r="B156" s="172" t="s">
        <v>1319</v>
      </c>
      <c r="C156" s="2">
        <v>1650</v>
      </c>
      <c r="D156" s="2">
        <v>900.4</v>
      </c>
      <c r="E156" s="2">
        <v>1350.9</v>
      </c>
      <c r="F156" s="2">
        <v>1351.4</v>
      </c>
      <c r="G156" s="2">
        <v>1504.2</v>
      </c>
      <c r="H156" s="166"/>
      <c r="I156" s="166"/>
      <c r="K156" s="167" t="s">
        <v>1333</v>
      </c>
      <c r="L156" s="171">
        <v>10.199999999999999</v>
      </c>
      <c r="M156" s="169"/>
      <c r="O156" s="167" t="s">
        <v>1379</v>
      </c>
      <c r="P156" s="171">
        <v>52.59</v>
      </c>
      <c r="R156" s="173" t="s">
        <v>1364</v>
      </c>
      <c r="S156" s="171">
        <v>85</v>
      </c>
      <c r="U156" s="167" t="s">
        <v>1359</v>
      </c>
      <c r="V156" s="188">
        <v>20401.669999999998</v>
      </c>
      <c r="X156" s="167" t="s">
        <v>1350</v>
      </c>
      <c r="Y156" s="170">
        <v>2674.62</v>
      </c>
    </row>
    <row r="157" spans="2:25" x14ac:dyDescent="0.2">
      <c r="B157" s="172" t="s">
        <v>1324</v>
      </c>
      <c r="C157" s="2">
        <v>2790.2</v>
      </c>
      <c r="D157" s="2">
        <v>3540.2</v>
      </c>
      <c r="E157" s="2">
        <v>2040.1</v>
      </c>
      <c r="F157" s="2">
        <v>2040.1</v>
      </c>
      <c r="G157" s="2">
        <v>2440.1999999999998</v>
      </c>
      <c r="H157" s="166"/>
      <c r="I157" s="166"/>
      <c r="K157" s="167" t="s">
        <v>1380</v>
      </c>
      <c r="L157" s="171">
        <v>22</v>
      </c>
      <c r="M157" s="169"/>
      <c r="O157" s="173" t="s">
        <v>1381</v>
      </c>
      <c r="P157" s="171">
        <v>17.510000000000002</v>
      </c>
      <c r="R157" s="173" t="s">
        <v>1366</v>
      </c>
      <c r="S157" s="171">
        <v>58</v>
      </c>
      <c r="U157" s="167" t="s">
        <v>1361</v>
      </c>
      <c r="V157" s="188">
        <v>21581.88</v>
      </c>
      <c r="X157" s="167" t="s">
        <v>1351</v>
      </c>
      <c r="Y157" s="170">
        <v>239.94</v>
      </c>
    </row>
    <row r="158" spans="2:25" x14ac:dyDescent="0.2">
      <c r="B158" s="165" t="s">
        <v>1325</v>
      </c>
      <c r="C158" s="2">
        <v>1650</v>
      </c>
      <c r="D158" s="2">
        <v>900.4</v>
      </c>
      <c r="E158" s="2">
        <v>1350.9</v>
      </c>
      <c r="F158" s="2">
        <v>1351.4</v>
      </c>
      <c r="G158" s="2">
        <v>1504.2</v>
      </c>
      <c r="H158" s="166"/>
      <c r="I158" s="166"/>
      <c r="K158" s="167" t="s">
        <v>1336</v>
      </c>
      <c r="L158" s="200">
        <v>0</v>
      </c>
      <c r="M158" s="201"/>
      <c r="O158" s="173" t="s">
        <v>1382</v>
      </c>
      <c r="P158" s="171">
        <v>14.02</v>
      </c>
      <c r="R158" s="173" t="s">
        <v>1367</v>
      </c>
      <c r="S158" s="171">
        <v>88</v>
      </c>
      <c r="U158" s="167" t="s">
        <v>1363</v>
      </c>
      <c r="V158" s="188">
        <v>15571.06</v>
      </c>
      <c r="X158" s="167" t="s">
        <v>1352</v>
      </c>
      <c r="Y158" s="170">
        <v>1456.7</v>
      </c>
    </row>
    <row r="159" spans="2:25" x14ac:dyDescent="0.2">
      <c r="B159" s="165" t="s">
        <v>1329</v>
      </c>
      <c r="C159" s="2">
        <v>2790.2</v>
      </c>
      <c r="D159" s="2">
        <v>3540.2</v>
      </c>
      <c r="E159" s="2">
        <v>2040.1</v>
      </c>
      <c r="F159" s="2">
        <v>2040.1</v>
      </c>
      <c r="G159" s="2">
        <v>2440.1999999999998</v>
      </c>
      <c r="H159" s="166"/>
      <c r="I159" s="166"/>
      <c r="K159" s="167" t="s">
        <v>1383</v>
      </c>
      <c r="L159" s="200">
        <v>0</v>
      </c>
      <c r="M159" s="201"/>
      <c r="O159" s="173" t="s">
        <v>1384</v>
      </c>
      <c r="P159" s="171">
        <v>10.25</v>
      </c>
      <c r="R159" s="173" t="s">
        <v>1369</v>
      </c>
      <c r="S159" s="170">
        <v>225</v>
      </c>
      <c r="U159" s="167" t="s">
        <v>292</v>
      </c>
      <c r="V159" s="180">
        <v>-1286.8599999999999</v>
      </c>
      <c r="X159" s="167" t="s">
        <v>1353</v>
      </c>
      <c r="Y159" s="170">
        <v>860.95</v>
      </c>
    </row>
    <row r="160" spans="2:25" x14ac:dyDescent="0.2">
      <c r="B160" s="159" t="s">
        <v>1356</v>
      </c>
      <c r="C160" s="160"/>
      <c r="D160" s="160"/>
      <c r="E160" s="160"/>
      <c r="F160" s="160"/>
      <c r="G160" s="160"/>
      <c r="K160" s="163" t="s">
        <v>1338</v>
      </c>
      <c r="L160" s="164"/>
      <c r="M160" s="162"/>
      <c r="O160" s="173" t="s">
        <v>1385</v>
      </c>
      <c r="P160" s="171">
        <v>6.35</v>
      </c>
      <c r="R160" s="173" t="s">
        <v>1371</v>
      </c>
      <c r="S160" s="170">
        <v>175</v>
      </c>
      <c r="U160" s="167" t="s">
        <v>1368</v>
      </c>
      <c r="V160" s="180">
        <v>-3262.93</v>
      </c>
      <c r="X160" s="167" t="s">
        <v>1354</v>
      </c>
      <c r="Y160" s="170">
        <v>860.95</v>
      </c>
    </row>
    <row r="161" spans="2:25" x14ac:dyDescent="0.2">
      <c r="B161" s="165" t="s">
        <v>1358</v>
      </c>
      <c r="C161" s="175">
        <v>10.8</v>
      </c>
      <c r="D161" s="175">
        <v>20.399999999999999</v>
      </c>
      <c r="E161" s="175">
        <v>29.1</v>
      </c>
      <c r="F161" s="175">
        <v>57.1</v>
      </c>
      <c r="G161" s="175">
        <v>95.9</v>
      </c>
      <c r="H161" s="176"/>
      <c r="I161" s="176"/>
      <c r="K161" s="167" t="s">
        <v>1355</v>
      </c>
      <c r="L161" s="171">
        <v>2</v>
      </c>
      <c r="M161" s="169"/>
      <c r="O161" s="173" t="s">
        <v>1386</v>
      </c>
      <c r="P161" s="171">
        <v>3.34</v>
      </c>
      <c r="R161" s="167" t="s">
        <v>1373</v>
      </c>
      <c r="S161" s="170">
        <v>217</v>
      </c>
      <c r="U161" s="167" t="s">
        <v>1370</v>
      </c>
      <c r="V161" s="170">
        <v>723.68</v>
      </c>
      <c r="X161" s="167" t="s">
        <v>1357</v>
      </c>
      <c r="Y161" s="170">
        <v>2695.02</v>
      </c>
    </row>
    <row r="162" spans="2:25" x14ac:dyDescent="0.2">
      <c r="B162" s="172" t="s">
        <v>1360</v>
      </c>
      <c r="C162" s="175">
        <v>6.1</v>
      </c>
      <c r="D162" s="175">
        <v>11.2</v>
      </c>
      <c r="E162" s="175">
        <v>13.1</v>
      </c>
      <c r="F162" s="175">
        <v>23.2</v>
      </c>
      <c r="G162" s="175">
        <v>33.9</v>
      </c>
      <c r="H162" s="176"/>
      <c r="I162" s="176"/>
      <c r="K162" s="167" t="s">
        <v>1343</v>
      </c>
      <c r="L162" s="170">
        <v>2231</v>
      </c>
      <c r="M162" s="174"/>
      <c r="O162" s="173" t="s">
        <v>1387</v>
      </c>
      <c r="P162" s="171">
        <v>9.43</v>
      </c>
      <c r="R162" s="167" t="s">
        <v>1375</v>
      </c>
      <c r="S162" s="170">
        <v>146</v>
      </c>
      <c r="U162" s="167" t="s">
        <v>1372</v>
      </c>
      <c r="V162" s="188">
        <v>13314.01</v>
      </c>
      <c r="X162" s="167" t="s">
        <v>1359</v>
      </c>
      <c r="Y162" s="170">
        <v>2695.02</v>
      </c>
    </row>
    <row r="163" spans="2:25" x14ac:dyDescent="0.2">
      <c r="B163" s="172" t="s">
        <v>1362</v>
      </c>
      <c r="C163" s="175">
        <v>2.8</v>
      </c>
      <c r="D163" s="175">
        <v>6.7</v>
      </c>
      <c r="E163" s="175">
        <v>10</v>
      </c>
      <c r="F163" s="175">
        <v>17.3</v>
      </c>
      <c r="G163" s="175">
        <v>27.1</v>
      </c>
      <c r="H163" s="176"/>
      <c r="I163" s="176"/>
      <c r="K163" s="167" t="s">
        <v>1344</v>
      </c>
      <c r="L163" s="188">
        <v>15030</v>
      </c>
      <c r="M163" s="189"/>
      <c r="O163" s="173" t="s">
        <v>1388</v>
      </c>
      <c r="P163" s="171">
        <v>8.31</v>
      </c>
      <c r="R163" s="167" t="s">
        <v>1376</v>
      </c>
      <c r="S163" s="170">
        <v>225</v>
      </c>
      <c r="U163" s="163" t="s">
        <v>1389</v>
      </c>
      <c r="V163" s="164"/>
      <c r="X163" s="167" t="s">
        <v>1361</v>
      </c>
      <c r="Y163" s="170">
        <v>3019.58</v>
      </c>
    </row>
    <row r="164" spans="2:25" x14ac:dyDescent="0.2">
      <c r="B164" s="172" t="s">
        <v>1364</v>
      </c>
      <c r="C164" s="175">
        <v>1.5</v>
      </c>
      <c r="D164" s="175">
        <v>2.1</v>
      </c>
      <c r="E164" s="175">
        <v>5.5</v>
      </c>
      <c r="F164" s="175">
        <v>11.8</v>
      </c>
      <c r="G164" s="175">
        <v>19.7</v>
      </c>
      <c r="H164" s="176"/>
      <c r="I164" s="176"/>
      <c r="K164" s="167" t="s">
        <v>1345</v>
      </c>
      <c r="L164" s="171">
        <v>67</v>
      </c>
      <c r="M164" s="169"/>
      <c r="O164" s="167" t="s">
        <v>1390</v>
      </c>
      <c r="P164" s="171">
        <v>24.27</v>
      </c>
      <c r="R164" s="163" t="s">
        <v>1331</v>
      </c>
      <c r="S164" s="164"/>
      <c r="U164" s="167" t="s">
        <v>1391</v>
      </c>
      <c r="V164" s="188">
        <v>39462</v>
      </c>
      <c r="X164" s="167" t="s">
        <v>1363</v>
      </c>
      <c r="Y164" s="170">
        <v>2126.04</v>
      </c>
    </row>
    <row r="165" spans="2:25" x14ac:dyDescent="0.2">
      <c r="B165" s="172" t="s">
        <v>1366</v>
      </c>
      <c r="C165" s="175">
        <v>0.6</v>
      </c>
      <c r="D165" s="175">
        <v>0.8</v>
      </c>
      <c r="E165" s="175">
        <v>1.2</v>
      </c>
      <c r="F165" s="175">
        <v>5.9</v>
      </c>
      <c r="G165" s="175">
        <v>12.2</v>
      </c>
      <c r="H165" s="176"/>
      <c r="I165" s="176"/>
      <c r="K165" s="167" t="s">
        <v>1346</v>
      </c>
      <c r="L165" s="171">
        <v>67</v>
      </c>
      <c r="M165" s="169"/>
      <c r="O165" s="167" t="s">
        <v>1392</v>
      </c>
      <c r="P165" s="171">
        <v>9.69</v>
      </c>
      <c r="R165" s="167" t="s">
        <v>1333</v>
      </c>
      <c r="S165" s="171">
        <v>4.32</v>
      </c>
      <c r="U165" s="167" t="s">
        <v>1393</v>
      </c>
      <c r="V165" s="188">
        <v>39462</v>
      </c>
      <c r="X165" s="167" t="s">
        <v>292</v>
      </c>
      <c r="Y165" s="170">
        <v>423.65</v>
      </c>
    </row>
    <row r="166" spans="2:25" x14ac:dyDescent="0.2">
      <c r="B166" s="172" t="s">
        <v>1367</v>
      </c>
      <c r="C166" s="175">
        <v>0.2</v>
      </c>
      <c r="D166" s="175">
        <v>0.4</v>
      </c>
      <c r="E166" s="175">
        <v>0.4</v>
      </c>
      <c r="F166" s="175">
        <v>0.6</v>
      </c>
      <c r="G166" s="175">
        <v>5.3</v>
      </c>
      <c r="H166" s="176"/>
      <c r="I166" s="176"/>
      <c r="K166" s="167" t="s">
        <v>1347</v>
      </c>
      <c r="L166" s="170">
        <v>5627</v>
      </c>
      <c r="M166" s="174"/>
      <c r="O166" s="167" t="s">
        <v>1394</v>
      </c>
      <c r="P166" s="171">
        <v>9.43</v>
      </c>
      <c r="R166" s="167" t="s">
        <v>1380</v>
      </c>
      <c r="S166" s="171">
        <v>4.9400000000000004</v>
      </c>
      <c r="X166" s="167" t="s">
        <v>1368</v>
      </c>
      <c r="Y166" s="170">
        <v>403.25</v>
      </c>
    </row>
    <row r="167" spans="2:25" x14ac:dyDescent="0.2">
      <c r="B167" s="172" t="s">
        <v>1369</v>
      </c>
      <c r="C167" s="175">
        <v>0.1</v>
      </c>
      <c r="D167" s="177">
        <v>0</v>
      </c>
      <c r="E167" s="177"/>
      <c r="F167" s="177">
        <v>0</v>
      </c>
      <c r="G167" s="177">
        <v>0</v>
      </c>
      <c r="H167" s="182"/>
      <c r="I167" s="182"/>
      <c r="K167" s="167" t="s">
        <v>1349</v>
      </c>
      <c r="L167" s="188">
        <v>15592</v>
      </c>
      <c r="M167" s="189"/>
      <c r="O167" s="163" t="s">
        <v>1389</v>
      </c>
      <c r="P167" s="164"/>
      <c r="R167" s="167" t="s">
        <v>1336</v>
      </c>
      <c r="S167" s="200">
        <v>0</v>
      </c>
      <c r="X167" s="167" t="s">
        <v>1370</v>
      </c>
      <c r="Y167" s="170">
        <v>431.34</v>
      </c>
    </row>
    <row r="168" spans="2:25" x14ac:dyDescent="0.2">
      <c r="B168" s="172" t="s">
        <v>1371</v>
      </c>
      <c r="C168" s="175">
        <v>0.5</v>
      </c>
      <c r="D168" s="175">
        <v>0.8</v>
      </c>
      <c r="E168" s="175">
        <v>1.1000000000000001</v>
      </c>
      <c r="F168" s="175">
        <v>1.7</v>
      </c>
      <c r="G168" s="175">
        <v>2.2999999999999998</v>
      </c>
      <c r="H168" s="176"/>
      <c r="I168" s="176"/>
      <c r="K168" s="167" t="s">
        <v>1350</v>
      </c>
      <c r="L168" s="188">
        <v>15592</v>
      </c>
      <c r="M168" s="189"/>
      <c r="O168" s="167" t="s">
        <v>1391</v>
      </c>
      <c r="P168" s="170">
        <v>5298</v>
      </c>
      <c r="R168" s="167" t="s">
        <v>1383</v>
      </c>
      <c r="S168" s="200">
        <v>0</v>
      </c>
      <c r="X168" s="167" t="s">
        <v>1372</v>
      </c>
      <c r="Y168" s="170">
        <v>1456.7</v>
      </c>
    </row>
    <row r="169" spans="2:25" x14ac:dyDescent="0.2">
      <c r="B169" s="165" t="s">
        <v>1373</v>
      </c>
      <c r="C169" s="175">
        <v>4.3</v>
      </c>
      <c r="D169" s="175">
        <v>8.8000000000000007</v>
      </c>
      <c r="E169" s="175">
        <v>15.5</v>
      </c>
      <c r="F169" s="175">
        <v>29.1</v>
      </c>
      <c r="G169" s="175">
        <v>46.8</v>
      </c>
      <c r="H169" s="176"/>
      <c r="I169" s="176"/>
      <c r="K169" s="167" t="s">
        <v>1351</v>
      </c>
      <c r="L169" s="170">
        <v>1266</v>
      </c>
      <c r="M169" s="174"/>
      <c r="O169" s="167" t="s">
        <v>1393</v>
      </c>
      <c r="P169" s="170">
        <v>5298</v>
      </c>
      <c r="R169" s="163" t="s">
        <v>1338</v>
      </c>
      <c r="S169" s="164"/>
      <c r="X169" s="163" t="s">
        <v>561</v>
      </c>
      <c r="Y169" s="164"/>
    </row>
    <row r="170" spans="2:25" x14ac:dyDescent="0.2">
      <c r="B170" s="165" t="s">
        <v>1375</v>
      </c>
      <c r="C170" s="175">
        <v>0.8</v>
      </c>
      <c r="D170" s="175">
        <v>1.2</v>
      </c>
      <c r="E170" s="175">
        <v>1.6</v>
      </c>
      <c r="F170" s="175">
        <v>6.5</v>
      </c>
      <c r="G170" s="175">
        <v>17.5</v>
      </c>
      <c r="H170" s="176"/>
      <c r="I170" s="176"/>
      <c r="K170" s="167" t="s">
        <v>1352</v>
      </c>
      <c r="L170" s="188">
        <v>10032</v>
      </c>
      <c r="M170" s="189"/>
      <c r="R170" s="167" t="s">
        <v>1341</v>
      </c>
      <c r="S170" s="170">
        <v>405</v>
      </c>
      <c r="X170" s="167" t="s">
        <v>1377</v>
      </c>
      <c r="Y170" s="170">
        <v>1050</v>
      </c>
    </row>
    <row r="171" spans="2:25" x14ac:dyDescent="0.2">
      <c r="B171" s="165" t="s">
        <v>1376</v>
      </c>
      <c r="C171" s="175">
        <v>0.1</v>
      </c>
      <c r="D171" s="177">
        <v>0</v>
      </c>
      <c r="E171" s="177"/>
      <c r="F171" s="177">
        <v>0</v>
      </c>
      <c r="G171" s="177">
        <v>0</v>
      </c>
      <c r="H171" s="182"/>
      <c r="I171" s="182"/>
      <c r="K171" s="167" t="s">
        <v>1353</v>
      </c>
      <c r="L171" s="170">
        <v>5961</v>
      </c>
      <c r="M171" s="174"/>
      <c r="R171" s="167" t="s">
        <v>1355</v>
      </c>
      <c r="S171" s="170">
        <v>1474</v>
      </c>
      <c r="X171" s="163" t="s">
        <v>1378</v>
      </c>
      <c r="Y171" s="164"/>
    </row>
    <row r="172" spans="2:25" x14ac:dyDescent="0.2">
      <c r="B172" s="159" t="s">
        <v>1331</v>
      </c>
      <c r="C172" s="160"/>
      <c r="D172" s="160"/>
      <c r="E172" s="160"/>
      <c r="F172" s="160"/>
      <c r="G172" s="160"/>
      <c r="K172" s="167" t="s">
        <v>1354</v>
      </c>
      <c r="L172" s="170">
        <v>5959</v>
      </c>
      <c r="M172" s="174"/>
      <c r="R172" s="167" t="s">
        <v>1343</v>
      </c>
      <c r="S172" s="170">
        <v>2404</v>
      </c>
      <c r="X172" s="167" t="s">
        <v>1379</v>
      </c>
      <c r="Y172" s="171">
        <v>37.630000000000003</v>
      </c>
    </row>
    <row r="173" spans="2:25" x14ac:dyDescent="0.2">
      <c r="B173" s="165" t="s">
        <v>1333</v>
      </c>
      <c r="C173" s="175">
        <v>18.899999999999999</v>
      </c>
      <c r="D173" s="175">
        <v>18.899999999999999</v>
      </c>
      <c r="E173" s="175">
        <v>19.5</v>
      </c>
      <c r="F173" s="175">
        <v>19.7</v>
      </c>
      <c r="G173" s="175">
        <v>21</v>
      </c>
      <c r="H173" s="176"/>
      <c r="I173" s="176"/>
      <c r="K173" s="167" t="s">
        <v>1357</v>
      </c>
      <c r="L173" s="188">
        <v>15657</v>
      </c>
      <c r="M173" s="189"/>
      <c r="R173" s="167" t="s">
        <v>1344</v>
      </c>
      <c r="S173" s="188">
        <v>41134</v>
      </c>
      <c r="X173" s="173" t="s">
        <v>1381</v>
      </c>
      <c r="Y173" s="171">
        <v>5.01</v>
      </c>
    </row>
    <row r="174" spans="2:25" x14ac:dyDescent="0.2">
      <c r="B174" s="165" t="s">
        <v>1380</v>
      </c>
      <c r="C174" s="175">
        <v>2.4</v>
      </c>
      <c r="D174" s="175">
        <v>2.2000000000000002</v>
      </c>
      <c r="E174" s="175">
        <v>2.5</v>
      </c>
      <c r="F174" s="175">
        <v>3</v>
      </c>
      <c r="G174" s="175">
        <v>3.3</v>
      </c>
      <c r="H174" s="176"/>
      <c r="I174" s="176"/>
      <c r="K174" s="167" t="s">
        <v>1359</v>
      </c>
      <c r="L174" s="188">
        <v>15659</v>
      </c>
      <c r="M174" s="189"/>
      <c r="R174" s="167" t="s">
        <v>1345</v>
      </c>
      <c r="S174" s="170">
        <v>4096</v>
      </c>
      <c r="X174" s="173" t="s">
        <v>1382</v>
      </c>
      <c r="Y174" s="171">
        <v>4.24</v>
      </c>
    </row>
    <row r="175" spans="2:25" x14ac:dyDescent="0.2">
      <c r="B175" s="165" t="s">
        <v>1336</v>
      </c>
      <c r="C175" s="202">
        <v>0</v>
      </c>
      <c r="D175" s="202">
        <v>0</v>
      </c>
      <c r="E175" s="202">
        <v>0</v>
      </c>
      <c r="F175" s="202">
        <v>0</v>
      </c>
      <c r="G175" s="202">
        <v>0</v>
      </c>
      <c r="H175" s="203"/>
      <c r="I175" s="203"/>
      <c r="K175" s="167" t="s">
        <v>1361</v>
      </c>
      <c r="L175" s="188">
        <v>17816</v>
      </c>
      <c r="M175" s="189"/>
      <c r="R175" s="167" t="s">
        <v>1346</v>
      </c>
      <c r="S175" s="170">
        <v>4096</v>
      </c>
      <c r="X175" s="173" t="s">
        <v>1384</v>
      </c>
      <c r="Y175" s="171">
        <v>3.55</v>
      </c>
    </row>
    <row r="176" spans="2:25" x14ac:dyDescent="0.2">
      <c r="B176" s="165" t="s">
        <v>1383</v>
      </c>
      <c r="C176" s="202">
        <v>0</v>
      </c>
      <c r="D176" s="202">
        <v>0</v>
      </c>
      <c r="E176" s="202">
        <v>0</v>
      </c>
      <c r="F176" s="202">
        <v>0</v>
      </c>
      <c r="G176" s="202">
        <v>0</v>
      </c>
      <c r="H176" s="203"/>
      <c r="I176" s="203"/>
      <c r="K176" s="167" t="s">
        <v>1363</v>
      </c>
      <c r="L176" s="188">
        <v>11904</v>
      </c>
      <c r="M176" s="189"/>
      <c r="R176" s="167" t="s">
        <v>1347</v>
      </c>
      <c r="S176" s="188">
        <v>19662</v>
      </c>
      <c r="X176" s="173" t="s">
        <v>1385</v>
      </c>
      <c r="Y176" s="171">
        <v>3.59</v>
      </c>
    </row>
    <row r="177" spans="2:25" x14ac:dyDescent="0.2">
      <c r="B177" s="159" t="s">
        <v>1338</v>
      </c>
      <c r="C177" s="160"/>
      <c r="D177" s="160"/>
      <c r="E177" s="160"/>
      <c r="F177" s="160"/>
      <c r="G177" s="160"/>
      <c r="K177" s="167" t="s">
        <v>292</v>
      </c>
      <c r="L177" s="170">
        <v>2298</v>
      </c>
      <c r="M177" s="174"/>
      <c r="R177" s="167" t="s">
        <v>1348</v>
      </c>
      <c r="S177" s="170">
        <v>502</v>
      </c>
      <c r="X177" s="173" t="s">
        <v>1386</v>
      </c>
      <c r="Y177" s="171">
        <v>3.73</v>
      </c>
    </row>
    <row r="178" spans="2:25" x14ac:dyDescent="0.2">
      <c r="B178" s="165" t="s">
        <v>1355</v>
      </c>
      <c r="C178" s="175">
        <v>23.8</v>
      </c>
      <c r="D178" s="175">
        <v>23.9</v>
      </c>
      <c r="E178" s="175">
        <v>24.5</v>
      </c>
      <c r="F178" s="175">
        <v>23.6</v>
      </c>
      <c r="G178" s="175">
        <v>22.7</v>
      </c>
      <c r="H178" s="176"/>
      <c r="I178" s="176"/>
      <c r="K178" s="167" t="s">
        <v>1368</v>
      </c>
      <c r="L178" s="170">
        <v>2231</v>
      </c>
      <c r="M178" s="174"/>
      <c r="R178" s="167" t="s">
        <v>1349</v>
      </c>
      <c r="S178" s="188">
        <v>39139</v>
      </c>
      <c r="X178" s="173" t="s">
        <v>1387</v>
      </c>
      <c r="Y178" s="171">
        <v>30</v>
      </c>
    </row>
    <row r="179" spans="2:25" x14ac:dyDescent="0.2">
      <c r="B179" s="165" t="s">
        <v>1343</v>
      </c>
      <c r="C179" s="2">
        <v>1428.5</v>
      </c>
      <c r="D179" s="2">
        <v>466.9</v>
      </c>
      <c r="E179" s="2">
        <v>796.2</v>
      </c>
      <c r="F179" s="2">
        <v>784</v>
      </c>
      <c r="G179" s="2">
        <v>692.3</v>
      </c>
      <c r="H179" s="166"/>
      <c r="I179" s="166"/>
      <c r="K179" s="167" t="s">
        <v>1370</v>
      </c>
      <c r="L179" s="170">
        <v>2451</v>
      </c>
      <c r="M179" s="174"/>
      <c r="R179" s="167" t="s">
        <v>1350</v>
      </c>
      <c r="S179" s="188">
        <v>39569</v>
      </c>
      <c r="X179" s="173" t="s">
        <v>1388</v>
      </c>
      <c r="Y179" s="171">
        <v>12.49</v>
      </c>
    </row>
    <row r="180" spans="2:25" x14ac:dyDescent="0.2">
      <c r="B180" s="165" t="s">
        <v>1344</v>
      </c>
      <c r="C180" s="177">
        <v>12736.2</v>
      </c>
      <c r="D180" s="177">
        <v>12757</v>
      </c>
      <c r="E180" s="177">
        <v>10082.9</v>
      </c>
      <c r="F180" s="177">
        <v>10383.6</v>
      </c>
      <c r="G180" s="2">
        <v>9750.9</v>
      </c>
      <c r="H180" s="166"/>
      <c r="I180" s="166"/>
      <c r="K180" s="167" t="s">
        <v>1372</v>
      </c>
      <c r="L180" s="188">
        <v>10032</v>
      </c>
      <c r="M180" s="189"/>
      <c r="R180" s="167" t="s">
        <v>1351</v>
      </c>
      <c r="S180" s="170">
        <v>4116</v>
      </c>
      <c r="X180" s="167" t="s">
        <v>1390</v>
      </c>
      <c r="Y180" s="171">
        <v>7.79</v>
      </c>
    </row>
    <row r="181" spans="2:25" x14ac:dyDescent="0.2">
      <c r="B181" s="165" t="s">
        <v>1345</v>
      </c>
      <c r="C181" s="2">
        <v>183.3</v>
      </c>
      <c r="D181" s="2">
        <v>559.70000000000005</v>
      </c>
      <c r="E181" s="2">
        <v>931.1</v>
      </c>
      <c r="F181" s="2">
        <v>161.4</v>
      </c>
      <c r="G181" s="2">
        <v>235</v>
      </c>
      <c r="H181" s="166"/>
      <c r="I181" s="166"/>
      <c r="K181" s="163" t="s">
        <v>561</v>
      </c>
      <c r="L181" s="164"/>
      <c r="M181" s="162"/>
      <c r="R181" s="167" t="s">
        <v>1352</v>
      </c>
      <c r="S181" s="188">
        <v>24003</v>
      </c>
      <c r="X181" s="167" t="s">
        <v>1392</v>
      </c>
      <c r="Y181" s="171">
        <v>7.31</v>
      </c>
    </row>
    <row r="182" spans="2:25" x14ac:dyDescent="0.2">
      <c r="B182" s="165" t="s">
        <v>1346</v>
      </c>
      <c r="C182" s="2">
        <v>183.3</v>
      </c>
      <c r="D182" s="2">
        <v>559.70000000000005</v>
      </c>
      <c r="E182" s="2">
        <v>931.1</v>
      </c>
      <c r="F182" s="2">
        <v>161.4</v>
      </c>
      <c r="G182" s="2">
        <v>235</v>
      </c>
      <c r="H182" s="166"/>
      <c r="I182" s="166"/>
      <c r="K182" s="167" t="s">
        <v>1377</v>
      </c>
      <c r="L182" s="170">
        <v>614</v>
      </c>
      <c r="M182" s="174"/>
      <c r="R182" s="167" t="s">
        <v>1353</v>
      </c>
      <c r="S182" s="170">
        <v>9901</v>
      </c>
      <c r="X182" s="167" t="s">
        <v>1394</v>
      </c>
      <c r="Y182" s="171">
        <v>30</v>
      </c>
    </row>
    <row r="183" spans="2:25" x14ac:dyDescent="0.2">
      <c r="B183" s="165" t="s">
        <v>1347</v>
      </c>
      <c r="C183" s="2">
        <v>4396.7</v>
      </c>
      <c r="D183" s="2">
        <v>5351.7</v>
      </c>
      <c r="E183" s="2">
        <v>3931.4</v>
      </c>
      <c r="F183" s="2">
        <v>4056.4</v>
      </c>
      <c r="G183" s="2">
        <v>3998.6</v>
      </c>
      <c r="H183" s="166"/>
      <c r="I183" s="166"/>
      <c r="K183" s="163" t="s">
        <v>1378</v>
      </c>
      <c r="L183" s="164"/>
      <c r="M183" s="162"/>
      <c r="R183" s="167" t="s">
        <v>1354</v>
      </c>
      <c r="S183" s="170">
        <v>8856</v>
      </c>
      <c r="X183" s="163" t="s">
        <v>1389</v>
      </c>
      <c r="Y183" s="164"/>
    </row>
    <row r="184" spans="2:25" x14ac:dyDescent="0.2">
      <c r="B184" s="165" t="s">
        <v>1348</v>
      </c>
      <c r="C184" s="175">
        <v>33.700000000000003</v>
      </c>
      <c r="D184" s="175">
        <v>31.3</v>
      </c>
      <c r="E184" s="175">
        <v>31.3</v>
      </c>
      <c r="F184" s="175">
        <v>31.8</v>
      </c>
      <c r="G184" s="175">
        <v>34.1</v>
      </c>
      <c r="H184" s="176"/>
      <c r="I184" s="176"/>
      <c r="K184" s="167" t="s">
        <v>1379</v>
      </c>
      <c r="L184" s="170">
        <v>392</v>
      </c>
      <c r="M184" s="174"/>
      <c r="R184" s="167" t="s">
        <v>1357</v>
      </c>
      <c r="S184" s="188">
        <v>42190</v>
      </c>
      <c r="X184" s="167" t="s">
        <v>1391</v>
      </c>
      <c r="Y184" s="170">
        <v>2500</v>
      </c>
    </row>
    <row r="185" spans="2:25" x14ac:dyDescent="0.2">
      <c r="B185" s="165" t="s">
        <v>1349</v>
      </c>
      <c r="C185" s="177">
        <v>12738.5</v>
      </c>
      <c r="D185" s="177">
        <v>12910.6</v>
      </c>
      <c r="E185" s="177">
        <v>10483.700000000001</v>
      </c>
      <c r="F185" s="177">
        <v>10823.6</v>
      </c>
      <c r="G185" s="177">
        <v>10308.6</v>
      </c>
      <c r="H185" s="182"/>
      <c r="I185" s="182"/>
      <c r="K185" s="173" t="s">
        <v>1381</v>
      </c>
      <c r="L185" s="171">
        <v>80</v>
      </c>
      <c r="M185" s="169"/>
      <c r="R185" s="167" t="s">
        <v>1359</v>
      </c>
      <c r="S185" s="188">
        <v>43665</v>
      </c>
      <c r="X185" s="167" t="s">
        <v>1393</v>
      </c>
      <c r="Y185" s="170">
        <v>2500</v>
      </c>
    </row>
    <row r="186" spans="2:25" x14ac:dyDescent="0.2">
      <c r="B186" s="165" t="s">
        <v>1350</v>
      </c>
      <c r="C186" s="177">
        <v>12738.5</v>
      </c>
      <c r="D186" s="177">
        <v>12910.6</v>
      </c>
      <c r="E186" s="177">
        <v>10483.700000000001</v>
      </c>
      <c r="F186" s="177">
        <v>10823.6</v>
      </c>
      <c r="G186" s="177">
        <v>10308.6</v>
      </c>
      <c r="H186" s="182"/>
      <c r="I186" s="182"/>
      <c r="K186" s="173" t="s">
        <v>1382</v>
      </c>
      <c r="L186" s="171">
        <v>69</v>
      </c>
      <c r="M186" s="169"/>
      <c r="R186" s="167" t="s">
        <v>1361</v>
      </c>
      <c r="S186" s="188">
        <v>49145</v>
      </c>
    </row>
    <row r="187" spans="2:25" x14ac:dyDescent="0.2">
      <c r="B187" s="165" t="s">
        <v>1351</v>
      </c>
      <c r="C187" s="2">
        <v>1879</v>
      </c>
      <c r="D187" s="2">
        <v>1839.1</v>
      </c>
      <c r="E187" s="2">
        <v>1436.6</v>
      </c>
      <c r="F187" s="2">
        <v>1466.3</v>
      </c>
      <c r="G187" s="2">
        <v>1427.4</v>
      </c>
      <c r="H187" s="166"/>
      <c r="I187" s="166"/>
      <c r="K187" s="173" t="s">
        <v>1384</v>
      </c>
      <c r="L187" s="171">
        <v>58</v>
      </c>
      <c r="M187" s="169"/>
      <c r="R187" s="167" t="s">
        <v>1363</v>
      </c>
      <c r="S187" s="188">
        <v>29976</v>
      </c>
    </row>
    <row r="188" spans="2:25" x14ac:dyDescent="0.2">
      <c r="B188" s="165" t="s">
        <v>1352</v>
      </c>
      <c r="C188" s="2">
        <v>8525.1</v>
      </c>
      <c r="D188" s="2">
        <v>8118.6</v>
      </c>
      <c r="E188" s="2">
        <v>7483.4</v>
      </c>
      <c r="F188" s="2">
        <v>6928.6</v>
      </c>
      <c r="G188" s="2">
        <v>6545</v>
      </c>
      <c r="H188" s="166"/>
      <c r="I188" s="166"/>
      <c r="K188" s="173" t="s">
        <v>1385</v>
      </c>
      <c r="L188" s="171">
        <v>44</v>
      </c>
      <c r="M188" s="169"/>
      <c r="R188" s="167" t="s">
        <v>1365</v>
      </c>
      <c r="S188" s="170">
        <v>405</v>
      </c>
    </row>
    <row r="189" spans="2:25" x14ac:dyDescent="0.2">
      <c r="B189" s="165" t="s">
        <v>1353</v>
      </c>
      <c r="C189" s="2">
        <v>3279</v>
      </c>
      <c r="D189" s="2">
        <v>2639.7</v>
      </c>
      <c r="E189" s="2">
        <v>2515.5</v>
      </c>
      <c r="F189" s="2">
        <v>1560.5</v>
      </c>
      <c r="G189" s="2">
        <v>1122</v>
      </c>
      <c r="H189" s="166"/>
      <c r="I189" s="166"/>
      <c r="K189" s="173" t="s">
        <v>1386</v>
      </c>
      <c r="L189" s="171">
        <v>36</v>
      </c>
      <c r="M189" s="169"/>
      <c r="R189" s="167" t="s">
        <v>292</v>
      </c>
      <c r="S189" s="170">
        <v>6500</v>
      </c>
    </row>
    <row r="190" spans="2:25" x14ac:dyDescent="0.2">
      <c r="B190" s="165" t="s">
        <v>1354</v>
      </c>
      <c r="C190" s="2">
        <v>3255.2</v>
      </c>
      <c r="D190" s="2">
        <v>2615.8000000000002</v>
      </c>
      <c r="E190" s="2">
        <v>2491</v>
      </c>
      <c r="F190" s="2">
        <v>1536.9</v>
      </c>
      <c r="G190" s="2">
        <v>1099.3</v>
      </c>
      <c r="H190" s="166"/>
      <c r="I190" s="166"/>
      <c r="K190" s="173" t="s">
        <v>1387</v>
      </c>
      <c r="L190" s="170">
        <v>208</v>
      </c>
      <c r="M190" s="174"/>
      <c r="R190" s="167" t="s">
        <v>1368</v>
      </c>
      <c r="S190" s="170">
        <v>2404</v>
      </c>
    </row>
    <row r="191" spans="2:25" x14ac:dyDescent="0.2">
      <c r="B191" s="165" t="s">
        <v>1357</v>
      </c>
      <c r="C191" s="177">
        <v>12898</v>
      </c>
      <c r="D191" s="177">
        <v>13446.4</v>
      </c>
      <c r="E191" s="177">
        <v>11390.3</v>
      </c>
      <c r="F191" s="177">
        <v>10961.4</v>
      </c>
      <c r="G191" s="177">
        <v>10520.9</v>
      </c>
      <c r="H191" s="182"/>
      <c r="I191" s="182"/>
      <c r="K191" s="173" t="s">
        <v>1388</v>
      </c>
      <c r="L191" s="170">
        <v>103</v>
      </c>
      <c r="M191" s="174"/>
      <c r="R191" s="167" t="s">
        <v>1370</v>
      </c>
      <c r="S191" s="170">
        <v>8051</v>
      </c>
    </row>
    <row r="192" spans="2:25" x14ac:dyDescent="0.2">
      <c r="B192" s="165" t="s">
        <v>1359</v>
      </c>
      <c r="C192" s="177">
        <v>12921.8</v>
      </c>
      <c r="D192" s="177">
        <v>13470.3</v>
      </c>
      <c r="E192" s="177">
        <v>11414.8</v>
      </c>
      <c r="F192" s="177">
        <v>10985</v>
      </c>
      <c r="G192" s="177">
        <v>10543.6</v>
      </c>
      <c r="H192" s="182"/>
      <c r="I192" s="182"/>
      <c r="K192" s="167" t="s">
        <v>1390</v>
      </c>
      <c r="L192" s="170">
        <v>127</v>
      </c>
      <c r="M192" s="174"/>
      <c r="R192" s="167" t="s">
        <v>1372</v>
      </c>
      <c r="S192" s="188">
        <v>24003</v>
      </c>
    </row>
    <row r="193" spans="2:19" x14ac:dyDescent="0.2">
      <c r="B193" s="165" t="s">
        <v>1361</v>
      </c>
      <c r="C193" s="177">
        <v>15744.3</v>
      </c>
      <c r="D193" s="177">
        <v>15865.7</v>
      </c>
      <c r="E193" s="177">
        <v>13748.1</v>
      </c>
      <c r="F193" s="177">
        <v>13278</v>
      </c>
      <c r="G193" s="177">
        <v>12913.3</v>
      </c>
      <c r="H193" s="182"/>
      <c r="I193" s="182"/>
      <c r="K193" s="167" t="s">
        <v>1392</v>
      </c>
      <c r="L193" s="171">
        <v>80</v>
      </c>
      <c r="M193" s="169"/>
      <c r="R193" s="163" t="s">
        <v>561</v>
      </c>
      <c r="S193" s="164"/>
    </row>
    <row r="194" spans="2:19" x14ac:dyDescent="0.2">
      <c r="B194" s="165" t="s">
        <v>1363</v>
      </c>
      <c r="C194" s="177">
        <v>10351.6</v>
      </c>
      <c r="D194" s="177">
        <v>11051</v>
      </c>
      <c r="E194" s="2">
        <v>8489.1</v>
      </c>
      <c r="F194" s="2">
        <v>8643</v>
      </c>
      <c r="G194" s="2">
        <v>8289.2999999999993</v>
      </c>
      <c r="H194" s="166"/>
      <c r="I194" s="166"/>
      <c r="K194" s="167" t="s">
        <v>1394</v>
      </c>
      <c r="L194" s="170">
        <v>208</v>
      </c>
      <c r="M194" s="174"/>
      <c r="R194" s="167" t="s">
        <v>1377</v>
      </c>
      <c r="S194" s="188">
        <v>14350</v>
      </c>
    </row>
    <row r="195" spans="2:19" x14ac:dyDescent="0.2">
      <c r="B195" s="165" t="s">
        <v>1365</v>
      </c>
      <c r="C195" s="2">
        <v>130.6</v>
      </c>
      <c r="D195" s="2">
        <v>137.80000000000001</v>
      </c>
      <c r="E195" s="2">
        <v>145.30000000000001</v>
      </c>
      <c r="F195" s="2">
        <v>159.80000000000001</v>
      </c>
      <c r="G195" s="2">
        <v>167.1</v>
      </c>
      <c r="H195" s="166"/>
      <c r="I195" s="166"/>
      <c r="K195" s="163" t="s">
        <v>1389</v>
      </c>
      <c r="L195" s="164"/>
      <c r="M195" s="162"/>
      <c r="R195" s="163" t="s">
        <v>1378</v>
      </c>
      <c r="S195" s="164"/>
    </row>
    <row r="196" spans="2:19" x14ac:dyDescent="0.2">
      <c r="B196" s="165" t="s">
        <v>292</v>
      </c>
      <c r="C196" s="2">
        <v>1611.8</v>
      </c>
      <c r="D196" s="2">
        <v>1026.5999999999999</v>
      </c>
      <c r="E196" s="2">
        <v>1727.3</v>
      </c>
      <c r="F196" s="2">
        <v>945.4</v>
      </c>
      <c r="G196" s="2">
        <v>927.3</v>
      </c>
      <c r="H196" s="166"/>
      <c r="I196" s="166"/>
      <c r="K196" s="167" t="s">
        <v>1391</v>
      </c>
      <c r="L196" s="170">
        <v>9600</v>
      </c>
      <c r="M196" s="174"/>
      <c r="R196" s="167" t="s">
        <v>1379</v>
      </c>
      <c r="S196" s="170">
        <v>1518</v>
      </c>
    </row>
    <row r="197" spans="2:19" x14ac:dyDescent="0.2">
      <c r="B197" s="165" t="s">
        <v>1368</v>
      </c>
      <c r="C197" s="2">
        <v>1428.5</v>
      </c>
      <c r="D197" s="2">
        <v>466.9</v>
      </c>
      <c r="E197" s="2">
        <v>796.2</v>
      </c>
      <c r="F197" s="2">
        <v>784</v>
      </c>
      <c r="G197" s="2">
        <v>692.3</v>
      </c>
      <c r="H197" s="166"/>
      <c r="I197" s="166"/>
      <c r="K197" s="167" t="s">
        <v>1393</v>
      </c>
      <c r="L197" s="170">
        <v>9600</v>
      </c>
      <c r="M197" s="174"/>
      <c r="R197" s="173" t="s">
        <v>1381</v>
      </c>
      <c r="S197" s="170">
        <v>311</v>
      </c>
    </row>
    <row r="198" spans="2:19" x14ac:dyDescent="0.2">
      <c r="B198" s="165" t="s">
        <v>1370</v>
      </c>
      <c r="C198" s="2">
        <v>1810.8</v>
      </c>
      <c r="D198" s="2">
        <v>1142.3</v>
      </c>
      <c r="E198" s="2">
        <v>1849.9</v>
      </c>
      <c r="F198" s="2">
        <v>1047.9000000000001</v>
      </c>
      <c r="G198" s="2">
        <v>1019.2</v>
      </c>
      <c r="H198" s="166"/>
      <c r="I198" s="166"/>
      <c r="R198" s="173" t="s">
        <v>1382</v>
      </c>
      <c r="S198" s="170">
        <v>253</v>
      </c>
    </row>
    <row r="199" spans="2:19" x14ac:dyDescent="0.2">
      <c r="B199" s="165" t="s">
        <v>1372</v>
      </c>
      <c r="C199" s="2">
        <v>8525.1</v>
      </c>
      <c r="D199" s="2">
        <v>8118.6</v>
      </c>
      <c r="E199" s="2">
        <v>7483.4</v>
      </c>
      <c r="F199" s="2">
        <v>6928.6</v>
      </c>
      <c r="G199" s="2">
        <v>6545</v>
      </c>
      <c r="H199" s="166"/>
      <c r="I199" s="166"/>
      <c r="R199" s="173" t="s">
        <v>1384</v>
      </c>
      <c r="S199" s="170">
        <v>214</v>
      </c>
    </row>
    <row r="200" spans="2:19" x14ac:dyDescent="0.2">
      <c r="B200" s="165" t="s">
        <v>1395</v>
      </c>
      <c r="C200" s="177">
        <v>0</v>
      </c>
      <c r="D200" s="177">
        <v>0</v>
      </c>
      <c r="E200" s="177"/>
      <c r="F200" s="177"/>
      <c r="G200" s="177"/>
      <c r="H200" s="182"/>
      <c r="I200" s="182"/>
      <c r="R200" s="173" t="s">
        <v>1385</v>
      </c>
      <c r="S200" s="170">
        <v>172</v>
      </c>
    </row>
    <row r="201" spans="2:19" x14ac:dyDescent="0.2">
      <c r="B201" s="159" t="s">
        <v>561</v>
      </c>
      <c r="C201" s="160"/>
      <c r="D201" s="160"/>
      <c r="E201" s="160"/>
      <c r="F201" s="160"/>
      <c r="G201" s="160"/>
      <c r="R201" s="173" t="s">
        <v>1386</v>
      </c>
      <c r="S201" s="170">
        <v>143</v>
      </c>
    </row>
    <row r="202" spans="2:19" x14ac:dyDescent="0.2">
      <c r="B202" s="165" t="s">
        <v>1377</v>
      </c>
      <c r="C202" s="2">
        <v>1877</v>
      </c>
      <c r="D202" s="2">
        <v>1977</v>
      </c>
      <c r="E202" s="2">
        <v>2058</v>
      </c>
      <c r="F202" s="2">
        <v>2158</v>
      </c>
      <c r="G202" s="2">
        <v>2277</v>
      </c>
      <c r="H202" s="166"/>
      <c r="I202" s="166"/>
      <c r="R202" s="173" t="s">
        <v>1387</v>
      </c>
      <c r="S202" s="170">
        <v>790</v>
      </c>
    </row>
    <row r="203" spans="2:19" x14ac:dyDescent="0.2">
      <c r="B203" s="159" t="s">
        <v>1378</v>
      </c>
      <c r="C203" s="160"/>
      <c r="D203" s="160"/>
      <c r="E203" s="160"/>
      <c r="F203" s="160"/>
      <c r="G203" s="160"/>
      <c r="R203" s="173" t="s">
        <v>1388</v>
      </c>
      <c r="S203" s="170">
        <v>365</v>
      </c>
    </row>
    <row r="204" spans="2:19" x14ac:dyDescent="0.2">
      <c r="B204" s="165" t="s">
        <v>1379</v>
      </c>
      <c r="C204" s="2">
        <v>567.1</v>
      </c>
      <c r="D204" s="2">
        <v>570.70000000000005</v>
      </c>
      <c r="E204" s="2">
        <v>554.70000000000005</v>
      </c>
      <c r="F204" s="2">
        <v>596.5</v>
      </c>
      <c r="G204" s="2">
        <v>691.7</v>
      </c>
      <c r="H204" s="166"/>
      <c r="I204" s="166"/>
      <c r="R204" s="167" t="s">
        <v>1390</v>
      </c>
      <c r="S204" s="170">
        <v>467</v>
      </c>
    </row>
    <row r="205" spans="2:19" x14ac:dyDescent="0.2">
      <c r="B205" s="172" t="s">
        <v>1381</v>
      </c>
      <c r="C205" s="175">
        <v>70.400000000000006</v>
      </c>
      <c r="D205" s="175">
        <v>73.8</v>
      </c>
      <c r="E205" s="175">
        <v>69.8</v>
      </c>
      <c r="F205" s="175">
        <v>70</v>
      </c>
      <c r="G205" s="175">
        <v>72.5</v>
      </c>
      <c r="H205" s="176"/>
      <c r="I205" s="176"/>
      <c r="R205" s="167" t="s">
        <v>1392</v>
      </c>
      <c r="S205" s="170">
        <v>315</v>
      </c>
    </row>
    <row r="206" spans="2:19" x14ac:dyDescent="0.2">
      <c r="B206" s="172" t="s">
        <v>1382</v>
      </c>
      <c r="C206" s="175">
        <v>65.599999999999994</v>
      </c>
      <c r="D206" s="175">
        <v>66.7</v>
      </c>
      <c r="E206" s="175">
        <v>63.9</v>
      </c>
      <c r="F206" s="175">
        <v>65.3</v>
      </c>
      <c r="G206" s="175">
        <v>66</v>
      </c>
      <c r="H206" s="176"/>
      <c r="I206" s="176"/>
      <c r="R206" s="167" t="s">
        <v>1394</v>
      </c>
      <c r="S206" s="170">
        <v>790</v>
      </c>
    </row>
    <row r="207" spans="2:19" x14ac:dyDescent="0.2">
      <c r="B207" s="172" t="s">
        <v>1384</v>
      </c>
      <c r="C207" s="175">
        <v>58.8</v>
      </c>
      <c r="D207" s="175">
        <v>62.2</v>
      </c>
      <c r="E207" s="175">
        <v>57.3</v>
      </c>
      <c r="F207" s="175">
        <v>60.9</v>
      </c>
      <c r="G207" s="175">
        <v>63.3</v>
      </c>
      <c r="H207" s="176"/>
      <c r="I207" s="176"/>
      <c r="R207" s="163" t="s">
        <v>1389</v>
      </c>
      <c r="S207" s="164"/>
    </row>
    <row r="208" spans="2:19" x14ac:dyDescent="0.2">
      <c r="B208" s="172" t="s">
        <v>1385</v>
      </c>
      <c r="C208" s="175">
        <v>54.6</v>
      </c>
      <c r="D208" s="175">
        <v>55.2</v>
      </c>
      <c r="E208" s="175">
        <v>52.8</v>
      </c>
      <c r="F208" s="175">
        <v>54.7</v>
      </c>
      <c r="G208" s="175">
        <v>61</v>
      </c>
      <c r="H208" s="176"/>
      <c r="I208" s="176"/>
      <c r="R208" s="167" t="s">
        <v>1391</v>
      </c>
      <c r="S208" s="188">
        <v>83032</v>
      </c>
    </row>
    <row r="209" spans="2:25" x14ac:dyDescent="0.2">
      <c r="B209" s="172" t="s">
        <v>1386</v>
      </c>
      <c r="C209" s="175">
        <v>51.6</v>
      </c>
      <c r="D209" s="175">
        <v>50.8</v>
      </c>
      <c r="E209" s="175">
        <v>47.4</v>
      </c>
      <c r="F209" s="175">
        <v>50.5</v>
      </c>
      <c r="G209" s="175">
        <v>56.3</v>
      </c>
      <c r="H209" s="176"/>
      <c r="I209" s="176"/>
      <c r="R209" s="167" t="s">
        <v>1393</v>
      </c>
      <c r="S209" s="188">
        <v>83032</v>
      </c>
    </row>
    <row r="210" spans="2:25" x14ac:dyDescent="0.2">
      <c r="B210" s="172" t="s">
        <v>1387</v>
      </c>
      <c r="C210" s="2">
        <v>638.29999999999995</v>
      </c>
      <c r="D210" s="2">
        <v>608.70000000000005</v>
      </c>
      <c r="E210" s="2">
        <v>606.5</v>
      </c>
      <c r="F210" s="2">
        <v>658.3</v>
      </c>
      <c r="G210" s="2">
        <v>797.2</v>
      </c>
      <c r="H210" s="166"/>
      <c r="I210" s="166"/>
    </row>
    <row r="211" spans="2:25" x14ac:dyDescent="0.2">
      <c r="B211" s="172" t="s">
        <v>1388</v>
      </c>
      <c r="C211" s="2">
        <v>372.2</v>
      </c>
      <c r="D211" s="2">
        <v>346.7</v>
      </c>
      <c r="E211" s="2">
        <v>343</v>
      </c>
      <c r="F211" s="2">
        <v>363.2</v>
      </c>
      <c r="G211" s="2">
        <v>424.6</v>
      </c>
      <c r="H211" s="166"/>
      <c r="I211" s="166"/>
    </row>
    <row r="212" spans="2:25" x14ac:dyDescent="0.2">
      <c r="B212" s="165" t="s">
        <v>1390</v>
      </c>
      <c r="C212" s="2">
        <v>124.4</v>
      </c>
      <c r="D212" s="2">
        <v>128.9</v>
      </c>
      <c r="E212" s="2">
        <v>121.2</v>
      </c>
      <c r="F212" s="2">
        <v>126.2</v>
      </c>
      <c r="G212" s="2">
        <v>129.30000000000001</v>
      </c>
      <c r="H212" s="166"/>
      <c r="I212" s="166"/>
    </row>
    <row r="213" spans="2:25" x14ac:dyDescent="0.2">
      <c r="B213" s="165" t="s">
        <v>1392</v>
      </c>
      <c r="C213" s="2">
        <v>106.2</v>
      </c>
      <c r="D213" s="2">
        <v>106</v>
      </c>
      <c r="E213" s="2">
        <v>100.2</v>
      </c>
      <c r="F213" s="2">
        <v>105.2</v>
      </c>
      <c r="G213" s="2">
        <v>117.3</v>
      </c>
      <c r="H213" s="166"/>
      <c r="I213" s="166"/>
    </row>
    <row r="214" spans="2:25" x14ac:dyDescent="0.2">
      <c r="B214" s="165" t="s">
        <v>1394</v>
      </c>
      <c r="C214" s="2">
        <v>638.29999999999995</v>
      </c>
      <c r="D214" s="2">
        <v>608.70000000000005</v>
      </c>
      <c r="E214" s="2">
        <v>606.5</v>
      </c>
      <c r="F214" s="2">
        <v>658.3</v>
      </c>
      <c r="G214" s="2">
        <v>797.2</v>
      </c>
      <c r="H214" s="166"/>
      <c r="I214" s="166"/>
    </row>
    <row r="215" spans="2:25" x14ac:dyDescent="0.2">
      <c r="B215" s="159" t="s">
        <v>1389</v>
      </c>
      <c r="C215" s="160"/>
      <c r="D215" s="160"/>
      <c r="E215" s="160"/>
      <c r="F215" s="160"/>
      <c r="G215" s="160"/>
    </row>
    <row r="216" spans="2:25" x14ac:dyDescent="0.2">
      <c r="B216" s="165" t="s">
        <v>1391</v>
      </c>
      <c r="C216" s="177">
        <v>11172</v>
      </c>
      <c r="D216" s="177">
        <v>11436</v>
      </c>
      <c r="E216" s="177">
        <v>10382</v>
      </c>
      <c r="F216" s="177">
        <v>11397</v>
      </c>
      <c r="G216" s="177">
        <v>11437</v>
      </c>
      <c r="H216" s="182"/>
      <c r="I216" s="182"/>
    </row>
    <row r="217" spans="2:25" x14ac:dyDescent="0.2">
      <c r="B217" s="165" t="s">
        <v>1393</v>
      </c>
      <c r="C217" s="177">
        <v>11172</v>
      </c>
      <c r="D217" s="177">
        <v>11436</v>
      </c>
      <c r="E217" s="177">
        <v>10382</v>
      </c>
      <c r="F217" s="177">
        <v>11397</v>
      </c>
      <c r="G217" s="177">
        <v>11437</v>
      </c>
      <c r="H217" s="182"/>
      <c r="I217" s="182"/>
    </row>
    <row r="218" spans="2:25" x14ac:dyDescent="0.2">
      <c r="B218" s="204"/>
      <c r="C218" s="204"/>
    </row>
    <row r="219" spans="2:25" x14ac:dyDescent="0.2">
      <c r="B219" s="204"/>
      <c r="C219" s="204"/>
    </row>
    <row r="220" spans="2:25" x14ac:dyDescent="0.2">
      <c r="B220" s="151" t="s">
        <v>1396</v>
      </c>
      <c r="C220" s="151"/>
      <c r="D220" s="151"/>
      <c r="E220" s="151"/>
      <c r="F220" s="151"/>
      <c r="G220" s="151"/>
      <c r="H220" s="152"/>
      <c r="I220" s="152"/>
      <c r="K220" s="147" t="s">
        <v>1396</v>
      </c>
      <c r="L220" s="147"/>
      <c r="M220" s="153"/>
      <c r="O220" s="147" t="s">
        <v>1396</v>
      </c>
      <c r="P220" s="147"/>
      <c r="R220" s="147" t="s">
        <v>1396</v>
      </c>
      <c r="S220" s="147"/>
      <c r="U220" s="147" t="s">
        <v>1396</v>
      </c>
      <c r="V220" s="147"/>
      <c r="X220" s="147" t="s">
        <v>1396</v>
      </c>
      <c r="Y220" s="147"/>
    </row>
    <row r="221" spans="2:25" x14ac:dyDescent="0.2">
      <c r="B221" s="151" t="s">
        <v>1140</v>
      </c>
      <c r="C221" s="154" t="s">
        <v>1141</v>
      </c>
      <c r="D221" s="154" t="s">
        <v>1142</v>
      </c>
      <c r="E221" s="154" t="s">
        <v>1143</v>
      </c>
      <c r="F221" s="154" t="s">
        <v>1144</v>
      </c>
      <c r="G221" s="154" t="s">
        <v>1145</v>
      </c>
      <c r="H221" s="155"/>
      <c r="I221" s="155"/>
      <c r="K221" s="147" t="s">
        <v>1140</v>
      </c>
      <c r="L221" s="158" t="s">
        <v>1141</v>
      </c>
      <c r="M221" s="157"/>
      <c r="O221" s="147" t="s">
        <v>1140</v>
      </c>
      <c r="P221" s="158" t="s">
        <v>1141</v>
      </c>
      <c r="R221" s="147" t="s">
        <v>1140</v>
      </c>
      <c r="S221" s="158" t="s">
        <v>1141</v>
      </c>
      <c r="U221" s="147" t="s">
        <v>1140</v>
      </c>
      <c r="V221" s="158" t="s">
        <v>1141</v>
      </c>
      <c r="X221" s="147" t="s">
        <v>1140</v>
      </c>
      <c r="Y221" s="158" t="s">
        <v>1146</v>
      </c>
    </row>
    <row r="222" spans="2:25" x14ac:dyDescent="0.2">
      <c r="B222" s="159" t="s">
        <v>1397</v>
      </c>
      <c r="C222" s="160"/>
      <c r="D222" s="160"/>
      <c r="E222" s="160"/>
      <c r="F222" s="160"/>
      <c r="G222" s="160"/>
      <c r="K222" s="163" t="s">
        <v>1397</v>
      </c>
      <c r="L222" s="164"/>
      <c r="M222" s="162"/>
      <c r="O222" s="163" t="s">
        <v>1397</v>
      </c>
      <c r="P222" s="164"/>
      <c r="R222" s="163" t="s">
        <v>1397</v>
      </c>
      <c r="S222" s="164"/>
      <c r="U222" s="163" t="s">
        <v>1397</v>
      </c>
      <c r="V222" s="164"/>
      <c r="X222" s="163" t="s">
        <v>1397</v>
      </c>
      <c r="Y222" s="164"/>
    </row>
    <row r="223" spans="2:25" x14ac:dyDescent="0.2">
      <c r="B223" s="165" t="s">
        <v>1398</v>
      </c>
      <c r="C223" s="2">
        <v>7941.1</v>
      </c>
      <c r="D223" s="2">
        <v>7417.7</v>
      </c>
      <c r="E223" s="2">
        <v>7781.9</v>
      </c>
      <c r="F223" s="2">
        <v>7315.2</v>
      </c>
      <c r="G223" s="2">
        <v>5552.2</v>
      </c>
      <c r="H223" s="166"/>
      <c r="I223" s="166"/>
      <c r="K223" s="167" t="s">
        <v>1398</v>
      </c>
      <c r="L223" s="170">
        <v>6150</v>
      </c>
      <c r="M223" s="174"/>
      <c r="O223" s="167" t="s">
        <v>1398</v>
      </c>
      <c r="P223" s="170">
        <v>3146.01</v>
      </c>
      <c r="R223" s="167" t="s">
        <v>1398</v>
      </c>
      <c r="S223" s="188">
        <v>37447</v>
      </c>
      <c r="U223" s="167" t="s">
        <v>1398</v>
      </c>
      <c r="V223" s="188">
        <v>16131.88</v>
      </c>
      <c r="X223" s="167" t="s">
        <v>1398</v>
      </c>
      <c r="Y223" s="170">
        <v>2260.5100000000002</v>
      </c>
    </row>
    <row r="224" spans="2:25" x14ac:dyDescent="0.2">
      <c r="B224" s="172" t="s">
        <v>1399</v>
      </c>
      <c r="C224" s="2">
        <v>7941.1</v>
      </c>
      <c r="D224" s="2">
        <v>7417.7</v>
      </c>
      <c r="E224" s="2">
        <v>7781.9</v>
      </c>
      <c r="F224" s="2">
        <v>7315.2</v>
      </c>
      <c r="G224" s="2">
        <v>5552.2</v>
      </c>
      <c r="H224" s="166"/>
      <c r="I224" s="166"/>
      <c r="K224" s="173" t="s">
        <v>1399</v>
      </c>
      <c r="L224" s="170">
        <v>6150</v>
      </c>
      <c r="M224" s="174"/>
      <c r="O224" s="173" t="s">
        <v>1399</v>
      </c>
      <c r="P224" s="170">
        <v>3146.01</v>
      </c>
      <c r="R224" s="173" t="s">
        <v>1399</v>
      </c>
      <c r="S224" s="188">
        <v>37447</v>
      </c>
      <c r="U224" s="178" t="s">
        <v>1400</v>
      </c>
      <c r="V224" s="184">
        <v>16131.88</v>
      </c>
      <c r="X224" s="173" t="s">
        <v>1399</v>
      </c>
      <c r="Y224" s="170">
        <v>2260.5100000000002</v>
      </c>
    </row>
    <row r="225" spans="2:25" x14ac:dyDescent="0.2">
      <c r="B225" s="185" t="s">
        <v>1400</v>
      </c>
      <c r="C225" s="186">
        <v>7941.1</v>
      </c>
      <c r="D225" s="186">
        <v>7417.7</v>
      </c>
      <c r="E225" s="186">
        <v>7781.9</v>
      </c>
      <c r="F225" s="186">
        <v>7315.2</v>
      </c>
      <c r="G225" s="186">
        <v>5552.2</v>
      </c>
      <c r="H225" s="187"/>
      <c r="I225" s="187"/>
      <c r="K225" s="178" t="s">
        <v>1400</v>
      </c>
      <c r="L225" s="179">
        <v>6150</v>
      </c>
      <c r="M225" s="183"/>
      <c r="O225" s="178" t="s">
        <v>1400</v>
      </c>
      <c r="P225" s="179">
        <v>3146.01</v>
      </c>
      <c r="R225" s="178" t="s">
        <v>1400</v>
      </c>
      <c r="S225" s="184">
        <v>37447</v>
      </c>
      <c r="U225" s="163" t="s">
        <v>1401</v>
      </c>
      <c r="V225" s="164"/>
      <c r="X225" s="178" t="s">
        <v>1400</v>
      </c>
      <c r="Y225" s="179">
        <v>2260.5100000000002</v>
      </c>
    </row>
    <row r="226" spans="2:25" x14ac:dyDescent="0.2">
      <c r="B226" s="159" t="s">
        <v>1401</v>
      </c>
      <c r="C226" s="160"/>
      <c r="D226" s="160"/>
      <c r="E226" s="160"/>
      <c r="F226" s="160"/>
      <c r="G226" s="160"/>
      <c r="K226" s="163" t="s">
        <v>1401</v>
      </c>
      <c r="L226" s="164"/>
      <c r="M226" s="162"/>
      <c r="O226" s="163" t="s">
        <v>1401</v>
      </c>
      <c r="P226" s="164"/>
      <c r="R226" s="163" t="s">
        <v>1401</v>
      </c>
      <c r="S226" s="164"/>
      <c r="U226" s="167" t="s">
        <v>1402</v>
      </c>
      <c r="V226" s="188">
        <v>10821.37</v>
      </c>
      <c r="X226" s="163" t="s">
        <v>1401</v>
      </c>
      <c r="Y226" s="164"/>
    </row>
    <row r="227" spans="2:25" x14ac:dyDescent="0.2">
      <c r="B227" s="165" t="s">
        <v>1402</v>
      </c>
      <c r="C227" s="2">
        <v>5766.5</v>
      </c>
      <c r="D227" s="2">
        <v>5418.1</v>
      </c>
      <c r="E227" s="2">
        <v>5833.4</v>
      </c>
      <c r="F227" s="2">
        <v>5757.5</v>
      </c>
      <c r="G227" s="2">
        <v>4178.8</v>
      </c>
      <c r="I227" s="166"/>
      <c r="K227" s="167" t="s">
        <v>1402</v>
      </c>
      <c r="L227" s="170">
        <v>4261</v>
      </c>
      <c r="M227" s="174"/>
      <c r="O227" s="167" t="s">
        <v>1402</v>
      </c>
      <c r="P227" s="170">
        <v>2568.6799999999998</v>
      </c>
      <c r="R227" s="167" t="s">
        <v>1402</v>
      </c>
      <c r="S227" s="188">
        <v>23919</v>
      </c>
      <c r="U227" s="173" t="s">
        <v>1403</v>
      </c>
      <c r="V227" s="188">
        <v>10821.37</v>
      </c>
      <c r="X227" s="167" t="s">
        <v>1402</v>
      </c>
      <c r="Y227" s="170">
        <v>1587.37</v>
      </c>
    </row>
    <row r="228" spans="2:25" x14ac:dyDescent="0.2">
      <c r="B228" s="172" t="s">
        <v>1403</v>
      </c>
      <c r="C228" s="2">
        <v>5766.5</v>
      </c>
      <c r="D228" s="2">
        <v>5418.1</v>
      </c>
      <c r="E228" s="2">
        <v>5833.4</v>
      </c>
      <c r="F228" s="2">
        <v>5757.5</v>
      </c>
      <c r="G228" s="2">
        <v>4178.8</v>
      </c>
      <c r="H228" s="166"/>
      <c r="I228" s="166"/>
      <c r="K228" s="173" t="s">
        <v>1403</v>
      </c>
      <c r="L228" s="170">
        <v>4261</v>
      </c>
      <c r="M228" s="174"/>
      <c r="O228" s="173" t="s">
        <v>1403</v>
      </c>
      <c r="P228" s="170">
        <v>2568.6799999999998</v>
      </c>
      <c r="R228" s="173" t="s">
        <v>1403</v>
      </c>
      <c r="S228" s="188">
        <v>23919</v>
      </c>
      <c r="U228" s="178" t="s">
        <v>1404</v>
      </c>
      <c r="V228" s="179">
        <v>5310.51</v>
      </c>
      <c r="X228" s="173" t="s">
        <v>1403</v>
      </c>
      <c r="Y228" s="170">
        <v>1587.37</v>
      </c>
    </row>
    <row r="229" spans="2:25" x14ac:dyDescent="0.2">
      <c r="B229" s="185" t="s">
        <v>1404</v>
      </c>
      <c r="C229" s="186">
        <v>2174.6</v>
      </c>
      <c r="D229" s="186">
        <v>1999.6</v>
      </c>
      <c r="E229" s="186">
        <v>1948.5</v>
      </c>
      <c r="F229" s="186">
        <v>1557.7</v>
      </c>
      <c r="G229" s="186">
        <v>1373.4</v>
      </c>
      <c r="H229" s="187"/>
      <c r="I229" s="187"/>
      <c r="K229" s="178" t="s">
        <v>1404</v>
      </c>
      <c r="L229" s="179">
        <v>1889</v>
      </c>
      <c r="M229" s="183"/>
      <c r="O229" s="178" t="s">
        <v>1404</v>
      </c>
      <c r="P229" s="179">
        <v>577.33000000000004</v>
      </c>
      <c r="R229" s="173" t="s">
        <v>1405</v>
      </c>
      <c r="S229" s="188">
        <v>23919</v>
      </c>
      <c r="U229" s="167" t="s">
        <v>1406</v>
      </c>
      <c r="V229" s="170">
        <v>3521.37</v>
      </c>
      <c r="X229" s="178" t="s">
        <v>1404</v>
      </c>
      <c r="Y229" s="179">
        <v>673.14</v>
      </c>
    </row>
    <row r="230" spans="2:25" x14ac:dyDescent="0.2">
      <c r="B230" s="165" t="s">
        <v>1406</v>
      </c>
      <c r="C230" s="2">
        <v>564.1</v>
      </c>
      <c r="D230" s="2">
        <v>531.1</v>
      </c>
      <c r="E230" s="2">
        <v>542.79999999999995</v>
      </c>
      <c r="F230" s="2">
        <v>515.1</v>
      </c>
      <c r="G230" s="2">
        <v>417.6</v>
      </c>
      <c r="H230" s="166">
        <f>G229-G230</f>
        <v>955.80000000000007</v>
      </c>
      <c r="I230" s="166"/>
      <c r="K230" s="167" t="s">
        <v>1406</v>
      </c>
      <c r="L230" s="170">
        <v>443</v>
      </c>
      <c r="M230" s="174"/>
      <c r="O230" s="167" t="s">
        <v>1406</v>
      </c>
      <c r="P230" s="170">
        <v>280.64999999999998</v>
      </c>
      <c r="R230" s="173" t="s">
        <v>1407</v>
      </c>
      <c r="S230" s="170">
        <v>292</v>
      </c>
      <c r="U230" s="167" t="s">
        <v>1408</v>
      </c>
      <c r="V230" s="170">
        <v>784.29</v>
      </c>
      <c r="X230" s="167" t="s">
        <v>1406</v>
      </c>
      <c r="Y230" s="171">
        <v>73.94</v>
      </c>
    </row>
    <row r="231" spans="2:25" x14ac:dyDescent="0.2">
      <c r="B231" s="165" t="s">
        <v>1408</v>
      </c>
      <c r="C231" s="175">
        <v>83.1</v>
      </c>
      <c r="D231" s="175">
        <v>72.400000000000006</v>
      </c>
      <c r="E231" s="175">
        <v>83.5</v>
      </c>
      <c r="F231" s="175">
        <v>13.1</v>
      </c>
      <c r="G231" s="198">
        <v>-15.9</v>
      </c>
      <c r="H231" s="199"/>
      <c r="I231" s="199"/>
      <c r="K231" s="173" t="s">
        <v>1409</v>
      </c>
      <c r="L231" s="170">
        <v>397</v>
      </c>
      <c r="M231" s="174"/>
      <c r="O231" s="167" t="s">
        <v>1408</v>
      </c>
      <c r="P231" s="195">
        <v>-0.8</v>
      </c>
      <c r="R231" s="173" t="s">
        <v>1410</v>
      </c>
      <c r="S231" s="170">
        <v>292</v>
      </c>
      <c r="U231" s="173" t="s">
        <v>1411</v>
      </c>
      <c r="V231" s="188">
        <v>0</v>
      </c>
      <c r="X231" s="167" t="s">
        <v>1408</v>
      </c>
      <c r="Y231" s="195">
        <v>-6.42</v>
      </c>
    </row>
    <row r="232" spans="2:25" x14ac:dyDescent="0.2">
      <c r="B232" s="172" t="s">
        <v>1089</v>
      </c>
      <c r="C232" s="175">
        <v>43.3</v>
      </c>
      <c r="D232" s="175">
        <v>69.7</v>
      </c>
      <c r="E232" s="175">
        <v>26.4</v>
      </c>
      <c r="F232" s="175">
        <v>34</v>
      </c>
      <c r="G232" s="175">
        <v>65.099999999999994</v>
      </c>
      <c r="H232" s="176"/>
      <c r="I232" s="176"/>
      <c r="K232" s="173" t="s">
        <v>1412</v>
      </c>
      <c r="L232" s="171">
        <v>46</v>
      </c>
      <c r="M232" s="169"/>
      <c r="O232" s="173" t="s">
        <v>1413</v>
      </c>
      <c r="P232" s="171">
        <v>0.8</v>
      </c>
      <c r="R232" s="178" t="s">
        <v>1404</v>
      </c>
      <c r="S232" s="184">
        <v>13528</v>
      </c>
      <c r="U232" s="173" t="s">
        <v>1089</v>
      </c>
      <c r="V232" s="170">
        <v>784.29</v>
      </c>
      <c r="X232" s="167" t="s">
        <v>1414</v>
      </c>
      <c r="Y232" s="170">
        <v>1654.89</v>
      </c>
    </row>
    <row r="233" spans="2:25" x14ac:dyDescent="0.2">
      <c r="B233" s="172" t="s">
        <v>1413</v>
      </c>
      <c r="C233" s="175">
        <v>2.6</v>
      </c>
      <c r="D233" s="175">
        <v>34</v>
      </c>
      <c r="E233" s="175">
        <v>10</v>
      </c>
      <c r="F233" s="175">
        <v>20.9</v>
      </c>
      <c r="G233" s="175">
        <v>81</v>
      </c>
      <c r="H233" s="176"/>
      <c r="I233" s="176"/>
      <c r="K233" s="167" t="s">
        <v>1408</v>
      </c>
      <c r="L233" s="195">
        <v>-47</v>
      </c>
      <c r="M233" s="197"/>
      <c r="O233" s="167" t="s">
        <v>1414</v>
      </c>
      <c r="P233" s="170">
        <v>2848.54</v>
      </c>
      <c r="R233" s="167" t="s">
        <v>1406</v>
      </c>
      <c r="S233" s="170">
        <v>8205</v>
      </c>
      <c r="U233" s="167" t="s">
        <v>1414</v>
      </c>
      <c r="V233" s="188">
        <v>15127.03</v>
      </c>
      <c r="X233" s="163" t="s">
        <v>1415</v>
      </c>
      <c r="Y233" s="164"/>
    </row>
    <row r="234" spans="2:25" x14ac:dyDescent="0.2">
      <c r="B234" s="172" t="s">
        <v>1416</v>
      </c>
      <c r="C234" s="198">
        <v>-42.4</v>
      </c>
      <c r="D234" s="198">
        <v>-36.700000000000003</v>
      </c>
      <c r="E234" s="198">
        <v>-67.099999999999994</v>
      </c>
      <c r="F234" s="177"/>
      <c r="G234" s="177"/>
      <c r="H234" s="182"/>
      <c r="I234" s="182"/>
      <c r="K234" s="167" t="s">
        <v>1414</v>
      </c>
      <c r="L234" s="170">
        <v>4657</v>
      </c>
      <c r="M234" s="174"/>
      <c r="O234" s="163" t="s">
        <v>1415</v>
      </c>
      <c r="P234" s="164"/>
      <c r="R234" s="173" t="s">
        <v>1409</v>
      </c>
      <c r="S234" s="170">
        <v>8013</v>
      </c>
      <c r="U234" s="163" t="s">
        <v>1415</v>
      </c>
      <c r="V234" s="164"/>
      <c r="X234" s="178" t="s">
        <v>1417</v>
      </c>
      <c r="Y234" s="179">
        <v>605.62</v>
      </c>
    </row>
    <row r="235" spans="2:25" x14ac:dyDescent="0.2">
      <c r="B235" s="165" t="s">
        <v>1414</v>
      </c>
      <c r="C235" s="2">
        <v>6413.7</v>
      </c>
      <c r="D235" s="2">
        <v>6021.6</v>
      </c>
      <c r="E235" s="2">
        <v>6459.7</v>
      </c>
      <c r="F235" s="2">
        <v>6285.7</v>
      </c>
      <c r="G235" s="2">
        <v>4580.5</v>
      </c>
      <c r="H235" s="166"/>
      <c r="I235" s="166"/>
      <c r="K235" s="163" t="s">
        <v>1415</v>
      </c>
      <c r="L235" s="164"/>
      <c r="M235" s="162"/>
      <c r="O235" s="178" t="s">
        <v>1417</v>
      </c>
      <c r="P235" s="179">
        <v>297.47000000000003</v>
      </c>
      <c r="R235" s="173" t="s">
        <v>1418</v>
      </c>
      <c r="S235" s="170">
        <v>192</v>
      </c>
      <c r="U235" s="178" t="s">
        <v>1417</v>
      </c>
      <c r="V235" s="179">
        <v>1004.85</v>
      </c>
      <c r="X235" s="163" t="s">
        <v>1419</v>
      </c>
      <c r="Y235" s="164"/>
    </row>
    <row r="236" spans="2:25" x14ac:dyDescent="0.2">
      <c r="B236" s="159" t="s">
        <v>1415</v>
      </c>
      <c r="C236" s="160"/>
      <c r="D236" s="160"/>
      <c r="E236" s="160"/>
      <c r="F236" s="160"/>
      <c r="G236" s="160"/>
      <c r="K236" s="178" t="s">
        <v>1417</v>
      </c>
      <c r="L236" s="179">
        <v>1493</v>
      </c>
      <c r="M236" s="183"/>
      <c r="O236" s="163" t="s">
        <v>1419</v>
      </c>
      <c r="P236" s="164"/>
      <c r="R236" s="167" t="s">
        <v>1414</v>
      </c>
      <c r="S236" s="188">
        <v>32124</v>
      </c>
      <c r="U236" s="163" t="s">
        <v>1419</v>
      </c>
      <c r="V236" s="164"/>
      <c r="X236" s="167" t="s">
        <v>1420</v>
      </c>
      <c r="Y236" s="195">
        <v>-40.53</v>
      </c>
    </row>
    <row r="237" spans="2:25" x14ac:dyDescent="0.2">
      <c r="B237" s="185" t="s">
        <v>1417</v>
      </c>
      <c r="C237" s="186">
        <v>1527.4</v>
      </c>
      <c r="D237" s="186">
        <v>1396.1</v>
      </c>
      <c r="E237" s="186">
        <v>1322.2</v>
      </c>
      <c r="F237" s="186">
        <v>1029.5</v>
      </c>
      <c r="G237" s="186">
        <v>971.7</v>
      </c>
      <c r="H237" s="187"/>
      <c r="I237" s="187"/>
      <c r="K237" s="163" t="s">
        <v>1419</v>
      </c>
      <c r="L237" s="164"/>
      <c r="M237" s="162"/>
      <c r="O237" s="167" t="s">
        <v>1420</v>
      </c>
      <c r="P237" s="195">
        <v>-81.94</v>
      </c>
      <c r="R237" s="163" t="s">
        <v>1415</v>
      </c>
      <c r="S237" s="164"/>
      <c r="U237" s="167" t="s">
        <v>1420</v>
      </c>
      <c r="V237" s="180">
        <v>-262.27999999999997</v>
      </c>
      <c r="X237" s="173" t="s">
        <v>1421</v>
      </c>
      <c r="Y237" s="171">
        <v>38.520000000000003</v>
      </c>
    </row>
    <row r="238" spans="2:25" x14ac:dyDescent="0.2">
      <c r="B238" s="159" t="s">
        <v>1419</v>
      </c>
      <c r="C238" s="160"/>
      <c r="D238" s="160"/>
      <c r="E238" s="160"/>
      <c r="F238" s="160"/>
      <c r="G238" s="160"/>
      <c r="K238" s="167" t="s">
        <v>1420</v>
      </c>
      <c r="L238" s="180">
        <v>-240</v>
      </c>
      <c r="M238" s="181"/>
      <c r="O238" s="173" t="s">
        <v>1421</v>
      </c>
      <c r="P238" s="171">
        <v>81.94</v>
      </c>
      <c r="R238" s="178" t="s">
        <v>1417</v>
      </c>
      <c r="S238" s="179">
        <v>5323</v>
      </c>
      <c r="U238" s="173" t="s">
        <v>1421</v>
      </c>
      <c r="V238" s="170">
        <v>284.88</v>
      </c>
      <c r="X238" s="173" t="s">
        <v>1422</v>
      </c>
      <c r="Y238" s="171">
        <v>1.72</v>
      </c>
    </row>
    <row r="239" spans="2:25" x14ac:dyDescent="0.2">
      <c r="B239" s="165" t="s">
        <v>1420</v>
      </c>
      <c r="C239" s="190">
        <v>-226.3</v>
      </c>
      <c r="D239" s="190">
        <v>-170.3</v>
      </c>
      <c r="E239" s="190">
        <v>-179.6</v>
      </c>
      <c r="F239" s="190">
        <v>-168.4</v>
      </c>
      <c r="G239" s="190">
        <v>-147.69999999999999</v>
      </c>
      <c r="H239" s="191"/>
      <c r="I239" s="191"/>
      <c r="K239" s="173" t="s">
        <v>1421</v>
      </c>
      <c r="L239" s="170">
        <v>220</v>
      </c>
      <c r="M239" s="174"/>
      <c r="O239" s="173" t="s">
        <v>1423</v>
      </c>
      <c r="P239" s="171">
        <v>81.94</v>
      </c>
      <c r="R239" s="163" t="s">
        <v>1419</v>
      </c>
      <c r="S239" s="164"/>
      <c r="U239" s="173" t="s">
        <v>1422</v>
      </c>
      <c r="V239" s="171">
        <v>15.9</v>
      </c>
      <c r="X239" s="173" t="s">
        <v>1423</v>
      </c>
      <c r="Y239" s="171">
        <v>40.24</v>
      </c>
    </row>
    <row r="240" spans="2:25" x14ac:dyDescent="0.2">
      <c r="B240" s="172" t="s">
        <v>1421</v>
      </c>
      <c r="C240" s="2">
        <v>226.3</v>
      </c>
      <c r="D240" s="2">
        <v>170.3</v>
      </c>
      <c r="E240" s="2">
        <v>179.6</v>
      </c>
      <c r="F240" s="2">
        <v>168.4</v>
      </c>
      <c r="G240" s="2">
        <v>147.69999999999999</v>
      </c>
      <c r="H240" s="166"/>
      <c r="I240" s="166"/>
      <c r="K240" s="173" t="s">
        <v>1422</v>
      </c>
      <c r="L240" s="171">
        <v>10</v>
      </c>
      <c r="M240" s="169"/>
      <c r="O240" s="167" t="s">
        <v>1424</v>
      </c>
      <c r="P240" s="171">
        <v>5.77</v>
      </c>
      <c r="R240" s="167" t="s">
        <v>1420</v>
      </c>
      <c r="S240" s="180">
        <v>-664</v>
      </c>
      <c r="U240" s="173" t="s">
        <v>1423</v>
      </c>
      <c r="V240" s="170">
        <v>300.77999999999997</v>
      </c>
      <c r="X240" s="173" t="s">
        <v>1425</v>
      </c>
      <c r="Y240" s="195">
        <v>-2.0099999999999998</v>
      </c>
    </row>
    <row r="241" spans="2:25" x14ac:dyDescent="0.2">
      <c r="B241" s="172" t="s">
        <v>1422</v>
      </c>
      <c r="C241" s="175">
        <v>13.4</v>
      </c>
      <c r="D241" s="175">
        <v>20.9</v>
      </c>
      <c r="E241" s="175">
        <v>16.5</v>
      </c>
      <c r="F241" s="175">
        <v>0.8</v>
      </c>
      <c r="G241" s="175">
        <v>1.6</v>
      </c>
      <c r="H241" s="176"/>
      <c r="I241" s="176"/>
      <c r="K241" s="173" t="s">
        <v>1423</v>
      </c>
      <c r="L241" s="170">
        <v>230</v>
      </c>
      <c r="M241" s="174"/>
      <c r="O241" s="167" t="s">
        <v>1426</v>
      </c>
      <c r="P241" s="170">
        <v>221.31</v>
      </c>
      <c r="R241" s="173" t="s">
        <v>1421</v>
      </c>
      <c r="S241" s="170">
        <v>664</v>
      </c>
      <c r="U241" s="173" t="s">
        <v>1425</v>
      </c>
      <c r="V241" s="171">
        <v>22.6</v>
      </c>
      <c r="X241" s="173" t="s">
        <v>1427</v>
      </c>
      <c r="Y241" s="195">
        <v>-2.0099999999999998</v>
      </c>
    </row>
    <row r="242" spans="2:25" x14ac:dyDescent="0.2">
      <c r="B242" s="172" t="s">
        <v>1423</v>
      </c>
      <c r="C242" s="2">
        <v>239.7</v>
      </c>
      <c r="D242" s="2">
        <v>191.2</v>
      </c>
      <c r="E242" s="2">
        <v>196.1</v>
      </c>
      <c r="F242" s="2">
        <v>169.2</v>
      </c>
      <c r="G242" s="2">
        <v>149.30000000000001</v>
      </c>
      <c r="H242" s="166"/>
      <c r="I242" s="166"/>
      <c r="K242" s="173" t="s">
        <v>1428</v>
      </c>
      <c r="L242" s="170">
        <v>230</v>
      </c>
      <c r="M242" s="174"/>
      <c r="O242" s="163" t="s">
        <v>1429</v>
      </c>
      <c r="P242" s="164"/>
      <c r="R242" s="173" t="s">
        <v>1422</v>
      </c>
      <c r="S242" s="170">
        <v>146</v>
      </c>
      <c r="U242" s="173" t="s">
        <v>1430</v>
      </c>
      <c r="V242" s="170">
        <v>231.8</v>
      </c>
      <c r="X242" s="167" t="s">
        <v>1431</v>
      </c>
      <c r="Y242" s="171">
        <v>26.4</v>
      </c>
    </row>
    <row r="243" spans="2:25" x14ac:dyDescent="0.2">
      <c r="B243" s="172" t="s">
        <v>1428</v>
      </c>
      <c r="C243" s="2">
        <v>247.6</v>
      </c>
      <c r="D243" s="2">
        <v>195.2</v>
      </c>
      <c r="E243" s="2">
        <v>199.8</v>
      </c>
      <c r="F243" s="2">
        <v>172.8</v>
      </c>
      <c r="G243" s="186">
        <v>153.5</v>
      </c>
      <c r="H243" s="166"/>
      <c r="I243" s="166"/>
      <c r="K243" s="173" t="s">
        <v>1425</v>
      </c>
      <c r="L243" s="195">
        <v>-20</v>
      </c>
      <c r="M243" s="197"/>
      <c r="O243" s="167" t="s">
        <v>1432</v>
      </c>
      <c r="P243" s="195">
        <v>-8.1</v>
      </c>
      <c r="R243" s="173" t="s">
        <v>1423</v>
      </c>
      <c r="S243" s="170">
        <v>810</v>
      </c>
      <c r="U243" s="173" t="s">
        <v>1427</v>
      </c>
      <c r="V243" s="180">
        <v>-209.2</v>
      </c>
      <c r="X243" s="167" t="s">
        <v>1426</v>
      </c>
      <c r="Y243" s="170">
        <v>591.49</v>
      </c>
    </row>
    <row r="244" spans="2:25" x14ac:dyDescent="0.2">
      <c r="B244" s="172" t="s">
        <v>1433</v>
      </c>
      <c r="C244" s="175">
        <v>7.9</v>
      </c>
      <c r="D244" s="175">
        <v>4</v>
      </c>
      <c r="E244" s="175">
        <v>3.7</v>
      </c>
      <c r="F244" s="175">
        <v>3.6</v>
      </c>
      <c r="G244" s="175">
        <v>4.2</v>
      </c>
      <c r="H244" s="176"/>
      <c r="I244" s="176"/>
      <c r="K244" s="173" t="s">
        <v>1434</v>
      </c>
      <c r="L244" s="171">
        <v>20</v>
      </c>
      <c r="M244" s="169"/>
      <c r="O244" s="173" t="s">
        <v>1435</v>
      </c>
      <c r="P244" s="171">
        <v>2.9</v>
      </c>
      <c r="R244" s="167" t="s">
        <v>1436</v>
      </c>
      <c r="S244" s="170">
        <v>235</v>
      </c>
      <c r="U244" s="167" t="s">
        <v>1431</v>
      </c>
      <c r="V244" s="171">
        <v>89.67</v>
      </c>
      <c r="X244" s="163" t="s">
        <v>117</v>
      </c>
      <c r="Y244" s="164"/>
    </row>
    <row r="245" spans="2:25" x14ac:dyDescent="0.2">
      <c r="B245" s="185" t="s">
        <v>1436</v>
      </c>
      <c r="C245" s="430">
        <v>94.8</v>
      </c>
      <c r="D245" s="430">
        <v>89</v>
      </c>
      <c r="E245" s="186">
        <v>143.5</v>
      </c>
      <c r="F245" s="430">
        <v>10.7</v>
      </c>
      <c r="G245" s="186">
        <v>120.1</v>
      </c>
      <c r="H245" s="166"/>
      <c r="I245" s="166"/>
      <c r="K245" s="167" t="s">
        <v>1424</v>
      </c>
      <c r="L245" s="171">
        <v>9</v>
      </c>
      <c r="M245" s="169"/>
      <c r="O245" s="173" t="s">
        <v>1437</v>
      </c>
      <c r="P245" s="195">
        <v>-10.8</v>
      </c>
      <c r="R245" s="167" t="s">
        <v>1424</v>
      </c>
      <c r="S245" s="171">
        <v>28</v>
      </c>
      <c r="U245" s="167" t="s">
        <v>1426</v>
      </c>
      <c r="V245" s="170">
        <v>832.24</v>
      </c>
      <c r="X245" s="178" t="s">
        <v>1438</v>
      </c>
      <c r="Y245" s="179">
        <v>591.49</v>
      </c>
    </row>
    <row r="246" spans="2:25" x14ac:dyDescent="0.2">
      <c r="B246" s="165" t="s">
        <v>1424</v>
      </c>
      <c r="C246" s="198">
        <v>-3.2</v>
      </c>
      <c r="D246" s="198">
        <v>-22.1</v>
      </c>
      <c r="E246" s="198">
        <v>-2.7</v>
      </c>
      <c r="F246" s="175">
        <v>5.0999999999999996</v>
      </c>
      <c r="G246" s="175">
        <v>10.7</v>
      </c>
      <c r="H246" s="176"/>
      <c r="I246" s="176"/>
      <c r="K246" s="167" t="s">
        <v>1426</v>
      </c>
      <c r="L246" s="170">
        <v>1262</v>
      </c>
      <c r="M246" s="174"/>
      <c r="O246" s="173" t="s">
        <v>1439</v>
      </c>
      <c r="P246" s="195">
        <v>-3.7</v>
      </c>
      <c r="R246" s="167" t="s">
        <v>1426</v>
      </c>
      <c r="S246" s="170">
        <v>4922</v>
      </c>
      <c r="U246" s="163" t="s">
        <v>1429</v>
      </c>
      <c r="V246" s="164"/>
      <c r="X246" s="163" t="s">
        <v>1090</v>
      </c>
      <c r="Y246" s="164"/>
    </row>
    <row r="247" spans="2:25" x14ac:dyDescent="0.2">
      <c r="B247" s="165" t="s">
        <v>1426</v>
      </c>
      <c r="C247" s="2">
        <v>1392.7</v>
      </c>
      <c r="D247" s="2">
        <v>1292.7</v>
      </c>
      <c r="E247" s="2">
        <v>1283.4000000000001</v>
      </c>
      <c r="F247" s="2">
        <v>876.9</v>
      </c>
      <c r="G247" s="2">
        <v>954.8</v>
      </c>
      <c r="H247" s="166"/>
      <c r="I247" s="166"/>
      <c r="K247" s="163" t="s">
        <v>1429</v>
      </c>
      <c r="L247" s="164"/>
      <c r="M247" s="162"/>
      <c r="O247" s="173" t="s">
        <v>1440</v>
      </c>
      <c r="P247" s="171">
        <v>3.5</v>
      </c>
      <c r="R247" s="163" t="s">
        <v>1429</v>
      </c>
      <c r="S247" s="164"/>
      <c r="U247" s="167" t="s">
        <v>1432</v>
      </c>
      <c r="V247" s="195">
        <v>-42.9</v>
      </c>
      <c r="X247" s="167" t="s">
        <v>119</v>
      </c>
      <c r="Y247" s="170">
        <v>128.07</v>
      </c>
    </row>
    <row r="248" spans="2:25" x14ac:dyDescent="0.2">
      <c r="B248" s="159" t="s">
        <v>1429</v>
      </c>
      <c r="C248" s="160"/>
      <c r="D248" s="160"/>
      <c r="E248" s="160"/>
      <c r="F248" s="160"/>
      <c r="G248" s="160"/>
      <c r="K248" s="167" t="s">
        <v>1432</v>
      </c>
      <c r="L248" s="195">
        <v>-36</v>
      </c>
      <c r="M248" s="197"/>
      <c r="O248" s="163" t="s">
        <v>117</v>
      </c>
      <c r="P248" s="164"/>
      <c r="R248" s="167" t="s">
        <v>1432</v>
      </c>
      <c r="S248" s="180">
        <v>-117</v>
      </c>
      <c r="U248" s="173" t="s">
        <v>1435</v>
      </c>
      <c r="V248" s="195">
        <v>-42.9</v>
      </c>
      <c r="X248" s="173" t="s">
        <v>1441</v>
      </c>
      <c r="Y248" s="170">
        <v>133.02000000000001</v>
      </c>
    </row>
    <row r="249" spans="2:25" x14ac:dyDescent="0.2">
      <c r="B249" s="165" t="s">
        <v>1432</v>
      </c>
      <c r="C249" s="198">
        <v>-2.6</v>
      </c>
      <c r="D249" s="190">
        <v>-120.6</v>
      </c>
      <c r="E249" s="198">
        <v>-38.299999999999997</v>
      </c>
      <c r="F249" s="198">
        <v>-88.8</v>
      </c>
      <c r="G249" s="198">
        <v>-81</v>
      </c>
      <c r="H249" s="199"/>
      <c r="I249" s="199"/>
      <c r="K249" s="173" t="s">
        <v>1437</v>
      </c>
      <c r="L249" s="195">
        <v>-15</v>
      </c>
      <c r="M249" s="197"/>
      <c r="O249" s="178" t="s">
        <v>1438</v>
      </c>
      <c r="P249" s="179">
        <v>213.21</v>
      </c>
      <c r="R249" s="173" t="s">
        <v>1442</v>
      </c>
      <c r="S249" s="171">
        <v>40</v>
      </c>
      <c r="U249" s="163" t="s">
        <v>117</v>
      </c>
      <c r="V249" s="164"/>
      <c r="X249" s="173" t="s">
        <v>1443</v>
      </c>
      <c r="Y249" s="170">
        <v>133.02000000000001</v>
      </c>
    </row>
    <row r="250" spans="2:25" x14ac:dyDescent="0.2">
      <c r="B250" s="172" t="s">
        <v>1442</v>
      </c>
      <c r="C250" s="177">
        <v>0</v>
      </c>
      <c r="D250" s="175">
        <v>86.6</v>
      </c>
      <c r="E250" s="175">
        <v>28.3</v>
      </c>
      <c r="F250" s="175">
        <v>67.900000000000006</v>
      </c>
      <c r="G250" s="177"/>
      <c r="H250" s="182"/>
      <c r="I250" s="182"/>
      <c r="K250" s="173" t="s">
        <v>1440</v>
      </c>
      <c r="L250" s="195">
        <v>-21</v>
      </c>
      <c r="M250" s="197"/>
      <c r="O250" s="163" t="s">
        <v>1090</v>
      </c>
      <c r="P250" s="164"/>
      <c r="R250" s="173" t="s">
        <v>1444</v>
      </c>
      <c r="S250" s="171">
        <v>40</v>
      </c>
      <c r="U250" s="178" t="s">
        <v>1438</v>
      </c>
      <c r="V250" s="179">
        <v>789.35</v>
      </c>
      <c r="X250" s="173" t="s">
        <v>1445</v>
      </c>
      <c r="Y250" s="195">
        <v>-4.95</v>
      </c>
    </row>
    <row r="251" spans="2:25" x14ac:dyDescent="0.2">
      <c r="B251" s="172" t="s">
        <v>1444</v>
      </c>
      <c r="C251" s="177">
        <v>0</v>
      </c>
      <c r="D251" s="175">
        <v>86.6</v>
      </c>
      <c r="E251" s="175">
        <v>28.3</v>
      </c>
      <c r="F251" s="175">
        <v>67.900000000000006</v>
      </c>
      <c r="G251" s="177"/>
      <c r="H251" s="182"/>
      <c r="I251" s="182"/>
      <c r="K251" s="163" t="s">
        <v>117</v>
      </c>
      <c r="L251" s="164"/>
      <c r="M251" s="162"/>
      <c r="O251" s="167" t="s">
        <v>119</v>
      </c>
      <c r="P251" s="171">
        <v>56.14</v>
      </c>
      <c r="R251" s="173" t="s">
        <v>1437</v>
      </c>
      <c r="S251" s="195">
        <v>-77</v>
      </c>
      <c r="U251" s="163" t="s">
        <v>1090</v>
      </c>
      <c r="V251" s="164"/>
      <c r="X251" s="173" t="s">
        <v>1446</v>
      </c>
      <c r="Y251" s="195">
        <v>-4.95</v>
      </c>
    </row>
    <row r="252" spans="2:25" x14ac:dyDescent="0.2">
      <c r="B252" s="172" t="s">
        <v>1447</v>
      </c>
      <c r="C252" s="177"/>
      <c r="D252" s="177"/>
      <c r="E252" s="177"/>
      <c r="F252" s="175">
        <v>7.2</v>
      </c>
      <c r="G252" s="175">
        <v>15</v>
      </c>
      <c r="H252" s="176"/>
      <c r="I252" s="176"/>
      <c r="K252" s="178" t="s">
        <v>1438</v>
      </c>
      <c r="L252" s="179">
        <v>1226</v>
      </c>
      <c r="M252" s="183"/>
      <c r="O252" s="173" t="s">
        <v>1441</v>
      </c>
      <c r="P252" s="171">
        <v>30.65</v>
      </c>
      <c r="R252" s="163" t="s">
        <v>117</v>
      </c>
      <c r="S252" s="164"/>
      <c r="U252" s="167" t="s">
        <v>119</v>
      </c>
      <c r="V252" s="170">
        <v>385.01</v>
      </c>
      <c r="X252" s="163" t="s">
        <v>1448</v>
      </c>
      <c r="Y252" s="164"/>
    </row>
    <row r="253" spans="2:25" x14ac:dyDescent="0.2">
      <c r="B253" s="172" t="s">
        <v>1437</v>
      </c>
      <c r="C253" s="198">
        <v>-2.6</v>
      </c>
      <c r="D253" s="198">
        <v>-34</v>
      </c>
      <c r="E253" s="198">
        <v>-10</v>
      </c>
      <c r="F253" s="198">
        <v>-3.1</v>
      </c>
      <c r="G253" s="198">
        <v>-1.5</v>
      </c>
      <c r="H253" s="199"/>
      <c r="I253" s="199"/>
      <c r="K253" s="163" t="s">
        <v>1090</v>
      </c>
      <c r="L253" s="164"/>
      <c r="M253" s="162"/>
      <c r="O253" s="173" t="s">
        <v>1443</v>
      </c>
      <c r="P253" s="171">
        <v>30.65</v>
      </c>
      <c r="R253" s="178" t="s">
        <v>1438</v>
      </c>
      <c r="S253" s="179">
        <v>4805</v>
      </c>
      <c r="U253" s="173" t="s">
        <v>1441</v>
      </c>
      <c r="V253" s="170">
        <v>198.53</v>
      </c>
      <c r="X253" s="167" t="s">
        <v>1449</v>
      </c>
      <c r="Y253" s="170">
        <v>463.42</v>
      </c>
    </row>
    <row r="254" spans="2:25" x14ac:dyDescent="0.2">
      <c r="B254" s="172" t="s">
        <v>1450</v>
      </c>
      <c r="C254" s="177"/>
      <c r="D254" s="177"/>
      <c r="E254" s="177"/>
      <c r="F254" s="177">
        <v>0</v>
      </c>
      <c r="G254" s="198">
        <v>-13.4</v>
      </c>
      <c r="H254" s="199"/>
      <c r="I254" s="199"/>
      <c r="K254" s="167" t="s">
        <v>119</v>
      </c>
      <c r="L254" s="170">
        <v>236</v>
      </c>
      <c r="M254" s="174"/>
      <c r="O254" s="173" t="s">
        <v>1445</v>
      </c>
      <c r="P254" s="171">
        <v>25.49</v>
      </c>
      <c r="R254" s="163" t="s">
        <v>1090</v>
      </c>
      <c r="S254" s="164"/>
      <c r="U254" s="173" t="s">
        <v>1445</v>
      </c>
      <c r="V254" s="170">
        <v>186.47</v>
      </c>
      <c r="X254" s="163" t="s">
        <v>1451</v>
      </c>
      <c r="Y254" s="164"/>
    </row>
    <row r="255" spans="2:25" x14ac:dyDescent="0.2">
      <c r="B255" s="172" t="s">
        <v>1452</v>
      </c>
      <c r="C255" s="177"/>
      <c r="D255" s="177"/>
      <c r="E255" s="177"/>
      <c r="F255" s="177">
        <v>0</v>
      </c>
      <c r="G255" s="198">
        <v>-13.4</v>
      </c>
      <c r="H255" s="199"/>
      <c r="I255" s="199"/>
      <c r="K255" s="173" t="s">
        <v>1441</v>
      </c>
      <c r="L255" s="170">
        <v>171</v>
      </c>
      <c r="M255" s="174"/>
      <c r="O255" s="173" t="s">
        <v>1446</v>
      </c>
      <c r="P255" s="171">
        <v>25.49</v>
      </c>
      <c r="R255" s="167" t="s">
        <v>119</v>
      </c>
      <c r="S255" s="170">
        <v>1041</v>
      </c>
      <c r="U255" s="163" t="s">
        <v>1448</v>
      </c>
      <c r="V255" s="164"/>
      <c r="X255" s="178" t="s">
        <v>1453</v>
      </c>
      <c r="Y255" s="179">
        <v>463.42</v>
      </c>
    </row>
    <row r="256" spans="2:25" x14ac:dyDescent="0.2">
      <c r="B256" s="172" t="s">
        <v>1440</v>
      </c>
      <c r="C256" s="177"/>
      <c r="D256" s="177"/>
      <c r="E256" s="177"/>
      <c r="F256" s="198">
        <v>-10.6</v>
      </c>
      <c r="G256" s="198">
        <v>-51.1</v>
      </c>
      <c r="H256" s="199"/>
      <c r="I256" s="199"/>
      <c r="K256" s="173" t="s">
        <v>1443</v>
      </c>
      <c r="L256" s="170">
        <v>169</v>
      </c>
      <c r="M256" s="174"/>
      <c r="O256" s="163" t="s">
        <v>1448</v>
      </c>
      <c r="P256" s="164"/>
      <c r="R256" s="173" t="s">
        <v>1441</v>
      </c>
      <c r="S256" s="170">
        <v>874</v>
      </c>
      <c r="U256" s="167" t="s">
        <v>1449</v>
      </c>
      <c r="V256" s="170">
        <v>404.34</v>
      </c>
      <c r="X256" s="167" t="s">
        <v>1454</v>
      </c>
      <c r="Y256" s="170">
        <v>463.42</v>
      </c>
    </row>
    <row r="257" spans="2:25" x14ac:dyDescent="0.2">
      <c r="B257" s="159" t="s">
        <v>117</v>
      </c>
      <c r="C257" s="160"/>
      <c r="D257" s="160"/>
      <c r="E257" s="160"/>
      <c r="F257" s="160"/>
      <c r="G257" s="160"/>
      <c r="K257" s="173" t="s">
        <v>1455</v>
      </c>
      <c r="L257" s="171">
        <v>2</v>
      </c>
      <c r="M257" s="169"/>
      <c r="O257" s="167" t="s">
        <v>1449</v>
      </c>
      <c r="P257" s="170">
        <v>157.07</v>
      </c>
      <c r="R257" s="173" t="s">
        <v>1443</v>
      </c>
      <c r="S257" s="170">
        <v>454</v>
      </c>
      <c r="U257" s="163" t="s">
        <v>1451</v>
      </c>
      <c r="V257" s="164"/>
      <c r="X257" s="167" t="s">
        <v>1456</v>
      </c>
      <c r="Y257" s="170">
        <v>463.42</v>
      </c>
    </row>
    <row r="258" spans="2:25" x14ac:dyDescent="0.2">
      <c r="B258" s="185" t="s">
        <v>1438</v>
      </c>
      <c r="C258" s="186">
        <v>1390.1</v>
      </c>
      <c r="D258" s="186">
        <v>1172.0999999999999</v>
      </c>
      <c r="E258" s="186">
        <v>1245.0999999999999</v>
      </c>
      <c r="F258" s="186">
        <v>788.1</v>
      </c>
      <c r="G258" s="186">
        <v>873.8</v>
      </c>
      <c r="H258" s="187"/>
      <c r="I258" s="187"/>
      <c r="K258" s="173" t="s">
        <v>1445</v>
      </c>
      <c r="L258" s="171">
        <v>65</v>
      </c>
      <c r="M258" s="169"/>
      <c r="O258" s="163" t="s">
        <v>1451</v>
      </c>
      <c r="P258" s="164"/>
      <c r="R258" s="173" t="s">
        <v>1455</v>
      </c>
      <c r="S258" s="170">
        <v>420</v>
      </c>
      <c r="U258" s="178" t="s">
        <v>1453</v>
      </c>
      <c r="V258" s="179">
        <v>404.34</v>
      </c>
      <c r="X258" s="163" t="s">
        <v>73</v>
      </c>
      <c r="Y258" s="164"/>
    </row>
    <row r="259" spans="2:25" x14ac:dyDescent="0.2">
      <c r="B259" s="159" t="s">
        <v>1090</v>
      </c>
      <c r="C259" s="160"/>
      <c r="D259" s="160"/>
      <c r="E259" s="160"/>
      <c r="F259" s="160"/>
      <c r="G259" s="160"/>
      <c r="K259" s="173" t="s">
        <v>1446</v>
      </c>
      <c r="L259" s="171">
        <v>64</v>
      </c>
      <c r="M259" s="169"/>
      <c r="O259" s="178" t="s">
        <v>1453</v>
      </c>
      <c r="P259" s="179">
        <v>157.07</v>
      </c>
      <c r="R259" s="173" t="s">
        <v>1445</v>
      </c>
      <c r="S259" s="170">
        <v>167</v>
      </c>
      <c r="U259" s="167" t="s">
        <v>1457</v>
      </c>
      <c r="V259" s="170">
        <v>565.38</v>
      </c>
      <c r="X259" s="178" t="s">
        <v>1458</v>
      </c>
      <c r="Y259" s="179">
        <v>463.42</v>
      </c>
    </row>
    <row r="260" spans="2:25" x14ac:dyDescent="0.2">
      <c r="B260" s="165" t="s">
        <v>119</v>
      </c>
      <c r="C260" s="2">
        <v>307.5</v>
      </c>
      <c r="D260" s="2">
        <v>251.4</v>
      </c>
      <c r="E260" s="2">
        <v>299.39999999999998</v>
      </c>
      <c r="F260" s="2">
        <v>193</v>
      </c>
      <c r="G260" s="2">
        <v>200.1</v>
      </c>
      <c r="H260" s="166"/>
      <c r="I260" s="166"/>
      <c r="K260" s="173" t="s">
        <v>1459</v>
      </c>
      <c r="L260" s="171">
        <v>1</v>
      </c>
      <c r="M260" s="169"/>
      <c r="O260" s="167" t="s">
        <v>1454</v>
      </c>
      <c r="P260" s="170">
        <v>157.07</v>
      </c>
      <c r="R260" s="173" t="s">
        <v>1446</v>
      </c>
      <c r="S260" s="170">
        <v>255</v>
      </c>
      <c r="U260" s="173" t="s">
        <v>1460</v>
      </c>
      <c r="V260" s="170">
        <v>565.38</v>
      </c>
      <c r="X260" s="163" t="s">
        <v>1461</v>
      </c>
      <c r="Y260" s="164"/>
    </row>
    <row r="261" spans="2:25" x14ac:dyDescent="0.2">
      <c r="B261" s="172" t="s">
        <v>1441</v>
      </c>
      <c r="C261" s="2">
        <v>281.60000000000002</v>
      </c>
      <c r="D261" s="2">
        <v>261.3</v>
      </c>
      <c r="E261" s="2">
        <v>343.6</v>
      </c>
      <c r="F261" s="2">
        <v>133.4</v>
      </c>
      <c r="G261" s="2">
        <v>133.5</v>
      </c>
      <c r="H261" s="166"/>
      <c r="I261" s="166"/>
      <c r="K261" s="163" t="s">
        <v>1448</v>
      </c>
      <c r="L261" s="164"/>
      <c r="M261" s="162"/>
      <c r="O261" s="167" t="s">
        <v>1456</v>
      </c>
      <c r="P261" s="170">
        <v>157.07</v>
      </c>
      <c r="R261" s="173" t="s">
        <v>1459</v>
      </c>
      <c r="S261" s="195">
        <v>-88</v>
      </c>
      <c r="U261" s="173" t="s">
        <v>1462</v>
      </c>
      <c r="V261" s="170">
        <v>565.38</v>
      </c>
      <c r="X261" s="167" t="s">
        <v>1463</v>
      </c>
      <c r="Y261" s="170">
        <v>463.42</v>
      </c>
    </row>
    <row r="262" spans="2:25" x14ac:dyDescent="0.2">
      <c r="B262" s="172" t="s">
        <v>1443</v>
      </c>
      <c r="C262" s="2">
        <v>276.5</v>
      </c>
      <c r="D262" s="2">
        <v>256.5</v>
      </c>
      <c r="E262" s="2">
        <v>338.8</v>
      </c>
      <c r="F262" s="2">
        <v>128.80000000000001</v>
      </c>
      <c r="G262" s="2">
        <v>138.5</v>
      </c>
      <c r="H262" s="166"/>
      <c r="I262" s="166"/>
      <c r="K262" s="167" t="s">
        <v>1449</v>
      </c>
      <c r="L262" s="170">
        <v>990</v>
      </c>
      <c r="M262" s="174"/>
      <c r="O262" s="163" t="s">
        <v>73</v>
      </c>
      <c r="P262" s="164"/>
      <c r="R262" s="163" t="s">
        <v>1448</v>
      </c>
      <c r="S262" s="164"/>
      <c r="U262" s="167" t="s">
        <v>1454</v>
      </c>
      <c r="V262" s="170">
        <v>969.72</v>
      </c>
      <c r="X262" s="167" t="s">
        <v>1464</v>
      </c>
      <c r="Y262" s="171">
        <v>0.25</v>
      </c>
    </row>
    <row r="263" spans="2:25" x14ac:dyDescent="0.2">
      <c r="B263" s="172" t="s">
        <v>1455</v>
      </c>
      <c r="C263" s="175">
        <v>5.0999999999999996</v>
      </c>
      <c r="D263" s="175">
        <v>4.8</v>
      </c>
      <c r="E263" s="175">
        <v>4.8</v>
      </c>
      <c r="F263" s="175">
        <v>4.5999999999999996</v>
      </c>
      <c r="G263" s="198">
        <v>-5</v>
      </c>
      <c r="H263" s="199"/>
      <c r="I263" s="199"/>
      <c r="K263" s="163" t="s">
        <v>1451</v>
      </c>
      <c r="L263" s="164"/>
      <c r="M263" s="162"/>
      <c r="O263" s="178" t="s">
        <v>1458</v>
      </c>
      <c r="P263" s="179">
        <v>157.07</v>
      </c>
      <c r="R263" s="167" t="s">
        <v>1449</v>
      </c>
      <c r="S263" s="170">
        <v>3764</v>
      </c>
      <c r="U263" s="167" t="s">
        <v>150</v>
      </c>
      <c r="V263" s="171">
        <v>9.57</v>
      </c>
      <c r="X263" s="167" t="s">
        <v>1465</v>
      </c>
      <c r="Y263" s="171">
        <v>0.25</v>
      </c>
    </row>
    <row r="264" spans="2:25" x14ac:dyDescent="0.2">
      <c r="B264" s="172" t="s">
        <v>1445</v>
      </c>
      <c r="C264" s="175">
        <v>25.9</v>
      </c>
      <c r="D264" s="198">
        <v>-9.9</v>
      </c>
      <c r="E264" s="198">
        <v>-44.2</v>
      </c>
      <c r="F264" s="175">
        <v>59.6</v>
      </c>
      <c r="G264" s="175">
        <v>66.599999999999994</v>
      </c>
      <c r="H264" s="176"/>
      <c r="I264" s="176"/>
      <c r="K264" s="178" t="s">
        <v>1453</v>
      </c>
      <c r="L264" s="179">
        <v>990</v>
      </c>
      <c r="M264" s="183"/>
      <c r="O264" s="163" t="s">
        <v>1461</v>
      </c>
      <c r="P264" s="164"/>
      <c r="R264" s="163" t="s">
        <v>1451</v>
      </c>
      <c r="S264" s="164"/>
      <c r="U264" s="167" t="s">
        <v>1456</v>
      </c>
      <c r="V264" s="170">
        <v>960.16</v>
      </c>
      <c r="X264" s="178" t="s">
        <v>1466</v>
      </c>
      <c r="Y264" s="179">
        <v>463.66</v>
      </c>
    </row>
    <row r="265" spans="2:25" x14ac:dyDescent="0.2">
      <c r="B265" s="172" t="s">
        <v>1446</v>
      </c>
      <c r="C265" s="175">
        <v>33.299999999999997</v>
      </c>
      <c r="D265" s="198">
        <v>-6.9</v>
      </c>
      <c r="E265" s="198">
        <v>-48.3</v>
      </c>
      <c r="F265" s="175">
        <v>46.7</v>
      </c>
      <c r="G265" s="175">
        <v>65.7</v>
      </c>
      <c r="H265" s="176"/>
      <c r="I265" s="176"/>
      <c r="K265" s="167" t="s">
        <v>1457</v>
      </c>
      <c r="L265" s="170">
        <v>147</v>
      </c>
      <c r="M265" s="174"/>
      <c r="O265" s="167" t="s">
        <v>1463</v>
      </c>
      <c r="P265" s="170">
        <v>157.07</v>
      </c>
      <c r="R265" s="167" t="s">
        <v>1467</v>
      </c>
      <c r="S265" s="171">
        <v>26</v>
      </c>
      <c r="U265" s="163" t="s">
        <v>73</v>
      </c>
      <c r="V265" s="164"/>
      <c r="X265" s="167" t="s">
        <v>1468</v>
      </c>
      <c r="Y265" s="170">
        <v>463.66</v>
      </c>
    </row>
    <row r="266" spans="2:25" x14ac:dyDescent="0.2">
      <c r="B266" s="172" t="s">
        <v>1459</v>
      </c>
      <c r="C266" s="198">
        <v>-7.4</v>
      </c>
      <c r="D266" s="198">
        <v>-3</v>
      </c>
      <c r="E266" s="175">
        <v>4.0999999999999996</v>
      </c>
      <c r="F266" s="175">
        <v>12.9</v>
      </c>
      <c r="G266" s="175">
        <v>0.9</v>
      </c>
      <c r="H266" s="176"/>
      <c r="I266" s="176"/>
      <c r="K266" s="173" t="s">
        <v>1460</v>
      </c>
      <c r="L266" s="170">
        <v>147</v>
      </c>
      <c r="M266" s="174"/>
      <c r="O266" s="167" t="s">
        <v>1469</v>
      </c>
      <c r="P266" s="188">
        <v>0</v>
      </c>
      <c r="R266" s="178" t="s">
        <v>1453</v>
      </c>
      <c r="S266" s="179">
        <v>3790</v>
      </c>
      <c r="U266" s="178" t="s">
        <v>1458</v>
      </c>
      <c r="V266" s="179">
        <v>960.16</v>
      </c>
      <c r="X266" s="163" t="s">
        <v>1470</v>
      </c>
      <c r="Y266" s="164"/>
    </row>
    <row r="267" spans="2:25" x14ac:dyDescent="0.2">
      <c r="B267" s="159" t="s">
        <v>1448</v>
      </c>
      <c r="C267" s="160"/>
      <c r="D267" s="160"/>
      <c r="E267" s="160"/>
      <c r="F267" s="160"/>
      <c r="G267" s="160"/>
      <c r="K267" s="173" t="s">
        <v>1462</v>
      </c>
      <c r="L267" s="170">
        <v>147</v>
      </c>
      <c r="M267" s="174"/>
      <c r="O267" s="167" t="s">
        <v>1464</v>
      </c>
      <c r="P267" s="195">
        <v>-0.96</v>
      </c>
      <c r="R267" s="167" t="s">
        <v>1454</v>
      </c>
      <c r="S267" s="170">
        <v>3790</v>
      </c>
      <c r="U267" s="163" t="s">
        <v>1470</v>
      </c>
      <c r="V267" s="164"/>
      <c r="X267" s="167" t="s">
        <v>1471</v>
      </c>
      <c r="Y267" s="170">
        <v>463.42</v>
      </c>
    </row>
    <row r="268" spans="2:25" x14ac:dyDescent="0.2">
      <c r="B268" s="165" t="s">
        <v>1449</v>
      </c>
      <c r="C268" s="2">
        <v>1082.5999999999999</v>
      </c>
      <c r="D268" s="2">
        <v>920.7</v>
      </c>
      <c r="E268" s="2">
        <v>945.7</v>
      </c>
      <c r="F268" s="2">
        <v>595.1</v>
      </c>
      <c r="G268" s="2">
        <v>673.7</v>
      </c>
      <c r="H268" s="166"/>
      <c r="I268" s="166"/>
      <c r="K268" s="167" t="s">
        <v>1454</v>
      </c>
      <c r="L268" s="170">
        <v>1137</v>
      </c>
      <c r="M268" s="174"/>
      <c r="O268" s="167" t="s">
        <v>1465</v>
      </c>
      <c r="P268" s="195">
        <v>-0.96</v>
      </c>
      <c r="R268" s="167" t="s">
        <v>150</v>
      </c>
      <c r="S268" s="171">
        <v>37</v>
      </c>
      <c r="U268" s="167" t="s">
        <v>1471</v>
      </c>
      <c r="V268" s="170">
        <v>960.16</v>
      </c>
      <c r="X268" s="173" t="s">
        <v>1472</v>
      </c>
      <c r="Y268" s="170">
        <v>463.42</v>
      </c>
    </row>
    <row r="269" spans="2:25" x14ac:dyDescent="0.2">
      <c r="B269" s="159" t="s">
        <v>1451</v>
      </c>
      <c r="C269" s="160"/>
      <c r="D269" s="160"/>
      <c r="E269" s="160"/>
      <c r="F269" s="160"/>
      <c r="G269" s="160"/>
      <c r="K269" s="167" t="s">
        <v>150</v>
      </c>
      <c r="L269" s="188">
        <v>0</v>
      </c>
      <c r="M269" s="189"/>
      <c r="O269" s="178" t="s">
        <v>1466</v>
      </c>
      <c r="P269" s="179">
        <v>156.11000000000001</v>
      </c>
      <c r="R269" s="167" t="s">
        <v>1456</v>
      </c>
      <c r="S269" s="170">
        <v>3753</v>
      </c>
      <c r="U269" s="173" t="s">
        <v>1472</v>
      </c>
      <c r="V269" s="170">
        <v>394.77</v>
      </c>
      <c r="X269" s="173" t="s">
        <v>1473</v>
      </c>
      <c r="Y269" s="171">
        <v>33.380000000000003</v>
      </c>
    </row>
    <row r="270" spans="2:25" x14ac:dyDescent="0.2">
      <c r="B270" s="185" t="s">
        <v>1453</v>
      </c>
      <c r="C270" s="186">
        <v>1082.5999999999999</v>
      </c>
      <c r="D270" s="186">
        <v>920.7</v>
      </c>
      <c r="E270" s="186">
        <v>945.7</v>
      </c>
      <c r="F270" s="186">
        <v>595.1</v>
      </c>
      <c r="G270" s="186">
        <v>673.7</v>
      </c>
      <c r="H270" s="187"/>
      <c r="I270" s="187"/>
      <c r="K270" s="167" t="s">
        <v>1456</v>
      </c>
      <c r="L270" s="170">
        <v>1137</v>
      </c>
      <c r="M270" s="174"/>
      <c r="O270" s="167" t="s">
        <v>1468</v>
      </c>
      <c r="P270" s="170">
        <v>156.11000000000001</v>
      </c>
      <c r="R270" s="163" t="s">
        <v>73</v>
      </c>
      <c r="S270" s="164"/>
      <c r="U270" s="173" t="s">
        <v>1473</v>
      </c>
      <c r="V270" s="188">
        <v>14508.33</v>
      </c>
      <c r="X270" s="173" t="s">
        <v>1474</v>
      </c>
      <c r="Y270" s="171">
        <v>13.88</v>
      </c>
    </row>
    <row r="271" spans="2:25" x14ac:dyDescent="0.2">
      <c r="B271" s="165" t="s">
        <v>1457</v>
      </c>
      <c r="C271" s="198">
        <v>-4.5</v>
      </c>
      <c r="D271" s="198">
        <v>-7.6</v>
      </c>
      <c r="E271" s="198">
        <v>-10.8</v>
      </c>
      <c r="F271" s="198">
        <v>-18.600000000000001</v>
      </c>
      <c r="G271" s="198">
        <v>-3.3</v>
      </c>
      <c r="H271" s="199"/>
      <c r="I271" s="199"/>
      <c r="K271" s="163" t="s">
        <v>73</v>
      </c>
      <c r="L271" s="164"/>
      <c r="M271" s="162"/>
      <c r="O271" s="163" t="s">
        <v>1470</v>
      </c>
      <c r="P271" s="164"/>
      <c r="R271" s="178" t="s">
        <v>1458</v>
      </c>
      <c r="S271" s="179">
        <v>3753</v>
      </c>
      <c r="U271" s="173" t="s">
        <v>1474</v>
      </c>
      <c r="V271" s="171">
        <v>7.0000000000000007E-2</v>
      </c>
      <c r="X271" s="173" t="s">
        <v>1475</v>
      </c>
      <c r="Y271" s="171">
        <v>13.88</v>
      </c>
    </row>
    <row r="272" spans="2:25" x14ac:dyDescent="0.2">
      <c r="B272" s="172" t="s">
        <v>1460</v>
      </c>
      <c r="C272" s="198">
        <v>-4.5</v>
      </c>
      <c r="D272" s="198">
        <v>-7.6</v>
      </c>
      <c r="E272" s="198">
        <v>-10.8</v>
      </c>
      <c r="F272" s="198">
        <v>-18.600000000000001</v>
      </c>
      <c r="G272" s="198">
        <v>-3.3</v>
      </c>
      <c r="H272" s="199"/>
      <c r="I272" s="199"/>
      <c r="K272" s="178" t="s">
        <v>1458</v>
      </c>
      <c r="L272" s="179">
        <v>1137</v>
      </c>
      <c r="M272" s="183"/>
      <c r="O272" s="167" t="s">
        <v>1471</v>
      </c>
      <c r="P272" s="170">
        <v>157.07</v>
      </c>
      <c r="R272" s="163" t="s">
        <v>1461</v>
      </c>
      <c r="S272" s="164"/>
      <c r="U272" s="173" t="s">
        <v>1475</v>
      </c>
      <c r="V272" s="171">
        <v>0.03</v>
      </c>
      <c r="X272" s="173" t="s">
        <v>1476</v>
      </c>
      <c r="Y272" s="171">
        <v>13.88</v>
      </c>
    </row>
    <row r="273" spans="2:25" x14ac:dyDescent="0.2">
      <c r="B273" s="172" t="s">
        <v>1477</v>
      </c>
      <c r="C273" s="198">
        <v>-6.1</v>
      </c>
      <c r="D273" s="198">
        <v>-10.199999999999999</v>
      </c>
      <c r="E273" s="198">
        <v>-14.7</v>
      </c>
      <c r="F273" s="198">
        <v>-25.2</v>
      </c>
      <c r="G273" s="198">
        <v>-4.5</v>
      </c>
      <c r="H273" s="199"/>
      <c r="I273" s="199"/>
      <c r="K273" s="163" t="s">
        <v>1461</v>
      </c>
      <c r="L273" s="164"/>
      <c r="M273" s="162"/>
      <c r="O273" s="173" t="s">
        <v>1472</v>
      </c>
      <c r="P273" s="170">
        <v>157.07</v>
      </c>
      <c r="R273" s="167" t="s">
        <v>1463</v>
      </c>
      <c r="S273" s="170">
        <v>3790</v>
      </c>
      <c r="U273" s="173" t="s">
        <v>1476</v>
      </c>
      <c r="V273" s="171">
        <v>0.03</v>
      </c>
      <c r="X273" s="167" t="s">
        <v>1478</v>
      </c>
      <c r="Y273" s="170">
        <v>463.42</v>
      </c>
    </row>
    <row r="274" spans="2:25" x14ac:dyDescent="0.2">
      <c r="B274" s="172" t="s">
        <v>1479</v>
      </c>
      <c r="C274" s="198">
        <v>-6.1</v>
      </c>
      <c r="D274" s="198">
        <v>-10.199999999999999</v>
      </c>
      <c r="E274" s="198">
        <v>-14.7</v>
      </c>
      <c r="F274" s="198">
        <v>-25.2</v>
      </c>
      <c r="G274" s="198">
        <v>-4.5</v>
      </c>
      <c r="H274" s="199"/>
      <c r="I274" s="199"/>
      <c r="K274" s="167" t="s">
        <v>1463</v>
      </c>
      <c r="L274" s="170">
        <v>1137</v>
      </c>
      <c r="M274" s="174"/>
      <c r="O274" s="173" t="s">
        <v>1473</v>
      </c>
      <c r="P274" s="171">
        <v>56.65</v>
      </c>
      <c r="R274" s="167" t="s">
        <v>1480</v>
      </c>
      <c r="S274" s="170">
        <v>713</v>
      </c>
      <c r="U274" s="167" t="s">
        <v>1481</v>
      </c>
      <c r="V274" s="171">
        <v>1</v>
      </c>
      <c r="X274" s="167" t="s">
        <v>1481</v>
      </c>
      <c r="Y274" s="171">
        <v>1</v>
      </c>
    </row>
    <row r="275" spans="2:25" x14ac:dyDescent="0.2">
      <c r="B275" s="172" t="s">
        <v>1482</v>
      </c>
      <c r="C275" s="175">
        <v>1.6</v>
      </c>
      <c r="D275" s="175">
        <v>2.6</v>
      </c>
      <c r="E275" s="175">
        <v>3.9</v>
      </c>
      <c r="F275" s="175">
        <v>6.6</v>
      </c>
      <c r="G275" s="175">
        <v>1.2</v>
      </c>
      <c r="H275" s="176"/>
      <c r="I275" s="176"/>
      <c r="K275" s="167" t="s">
        <v>1480</v>
      </c>
      <c r="L275" s="171">
        <v>2</v>
      </c>
      <c r="M275" s="169"/>
      <c r="O275" s="173" t="s">
        <v>1474</v>
      </c>
      <c r="P275" s="171">
        <v>2.77</v>
      </c>
      <c r="R275" s="167" t="s">
        <v>1469</v>
      </c>
      <c r="S275" s="171">
        <v>15</v>
      </c>
      <c r="U275" s="173" t="s">
        <v>1483</v>
      </c>
      <c r="V275" s="188">
        <v>14508.33</v>
      </c>
      <c r="X275" s="173" t="s">
        <v>1484</v>
      </c>
      <c r="Y275" s="171">
        <v>33.380000000000003</v>
      </c>
    </row>
    <row r="276" spans="2:25" x14ac:dyDescent="0.2">
      <c r="B276" s="165" t="s">
        <v>1454</v>
      </c>
      <c r="C276" s="2">
        <v>1078.0999999999999</v>
      </c>
      <c r="D276" s="2">
        <v>913.1</v>
      </c>
      <c r="E276" s="2">
        <v>934.9</v>
      </c>
      <c r="F276" s="2">
        <v>576.5</v>
      </c>
      <c r="G276" s="2">
        <v>670.4</v>
      </c>
      <c r="H276" s="166"/>
      <c r="I276" s="166"/>
      <c r="K276" s="167" t="s">
        <v>1464</v>
      </c>
      <c r="L276" s="171">
        <v>71</v>
      </c>
      <c r="M276" s="169"/>
      <c r="O276" s="173" t="s">
        <v>1475</v>
      </c>
      <c r="P276" s="171">
        <v>2.77</v>
      </c>
      <c r="R276" s="167" t="s">
        <v>1464</v>
      </c>
      <c r="S276" s="171">
        <v>64</v>
      </c>
      <c r="U276" s="173" t="s">
        <v>1485</v>
      </c>
      <c r="V276" s="171">
        <v>0.2</v>
      </c>
      <c r="X276" s="173" t="s">
        <v>1486</v>
      </c>
      <c r="Y276" s="171">
        <v>13.88</v>
      </c>
    </row>
    <row r="277" spans="2:25" x14ac:dyDescent="0.2">
      <c r="B277" s="165" t="s">
        <v>150</v>
      </c>
      <c r="C277" s="175">
        <v>1.4</v>
      </c>
      <c r="D277" s="175">
        <v>1.2</v>
      </c>
      <c r="E277" s="175">
        <v>1.7</v>
      </c>
      <c r="F277" s="175">
        <v>0.9</v>
      </c>
      <c r="G277" s="198">
        <v>-0.4</v>
      </c>
      <c r="H277" s="199"/>
      <c r="I277" s="199"/>
      <c r="K277" s="167" t="s">
        <v>1465</v>
      </c>
      <c r="L277" s="171">
        <v>73</v>
      </c>
      <c r="M277" s="169"/>
      <c r="O277" s="173" t="s">
        <v>1476</v>
      </c>
      <c r="P277" s="171">
        <v>2.92</v>
      </c>
      <c r="R277" s="167" t="s">
        <v>1465</v>
      </c>
      <c r="S277" s="170">
        <v>792</v>
      </c>
      <c r="U277" s="173" t="s">
        <v>1487</v>
      </c>
      <c r="V277" s="171">
        <v>0.08</v>
      </c>
      <c r="X277" s="173" t="s">
        <v>1488</v>
      </c>
      <c r="Y277" s="171">
        <v>13.88</v>
      </c>
    </row>
    <row r="278" spans="2:25" x14ac:dyDescent="0.2">
      <c r="B278" s="165" t="s">
        <v>1456</v>
      </c>
      <c r="C278" s="2">
        <v>1076.7</v>
      </c>
      <c r="D278" s="2">
        <v>911.9</v>
      </c>
      <c r="E278" s="2">
        <v>933.2</v>
      </c>
      <c r="F278" s="2">
        <v>575.6</v>
      </c>
      <c r="G278" s="2">
        <v>670.8</v>
      </c>
      <c r="H278" s="166"/>
      <c r="I278" s="166"/>
      <c r="K278" s="178" t="s">
        <v>1466</v>
      </c>
      <c r="L278" s="179">
        <v>1210</v>
      </c>
      <c r="M278" s="183"/>
      <c r="O278" s="167" t="s">
        <v>1478</v>
      </c>
      <c r="P278" s="170">
        <v>157.07</v>
      </c>
      <c r="R278" s="178" t="s">
        <v>1466</v>
      </c>
      <c r="S278" s="179">
        <v>4582</v>
      </c>
      <c r="U278" s="173" t="s">
        <v>1489</v>
      </c>
      <c r="V278" s="171">
        <v>0.03</v>
      </c>
      <c r="X278" s="173" t="s">
        <v>1490</v>
      </c>
      <c r="Y278" s="171">
        <v>13.88</v>
      </c>
    </row>
    <row r="279" spans="2:25" x14ac:dyDescent="0.2">
      <c r="B279" s="159" t="s">
        <v>73</v>
      </c>
      <c r="C279" s="160"/>
      <c r="D279" s="160"/>
      <c r="E279" s="160"/>
      <c r="F279" s="160"/>
      <c r="G279" s="160"/>
      <c r="K279" s="167" t="s">
        <v>1468</v>
      </c>
      <c r="L279" s="170">
        <v>1210</v>
      </c>
      <c r="M279" s="174"/>
      <c r="O279" s="167" t="s">
        <v>1481</v>
      </c>
      <c r="P279" s="171">
        <v>1</v>
      </c>
      <c r="R279" s="167" t="s">
        <v>1491</v>
      </c>
      <c r="S279" s="195">
        <v>-53</v>
      </c>
      <c r="U279" s="167" t="s">
        <v>1481</v>
      </c>
      <c r="V279" s="171">
        <v>1</v>
      </c>
      <c r="X279" s="167" t="s">
        <v>1492</v>
      </c>
      <c r="Y279" s="188">
        <v>0</v>
      </c>
    </row>
    <row r="280" spans="2:25" x14ac:dyDescent="0.2">
      <c r="B280" s="185" t="s">
        <v>1458</v>
      </c>
      <c r="C280" s="186">
        <v>1076.7</v>
      </c>
      <c r="D280" s="186">
        <v>911.9</v>
      </c>
      <c r="E280" s="186">
        <v>933.2</v>
      </c>
      <c r="F280" s="186">
        <v>575.6</v>
      </c>
      <c r="G280" s="186">
        <v>670.8</v>
      </c>
      <c r="H280" s="187"/>
      <c r="I280" s="187"/>
      <c r="K280" s="163" t="s">
        <v>1470</v>
      </c>
      <c r="L280" s="164"/>
      <c r="M280" s="162"/>
      <c r="O280" s="173" t="s">
        <v>1484</v>
      </c>
      <c r="P280" s="171">
        <v>56.65</v>
      </c>
      <c r="R280" s="167" t="s">
        <v>1468</v>
      </c>
      <c r="S280" s="195">
        <v>-28</v>
      </c>
      <c r="U280" s="173" t="s">
        <v>1493</v>
      </c>
      <c r="V280" s="170">
        <v>1450.83</v>
      </c>
      <c r="X280" s="167" t="s">
        <v>1494</v>
      </c>
      <c r="Y280" s="171">
        <v>13.89</v>
      </c>
    </row>
    <row r="281" spans="2:25" x14ac:dyDescent="0.2">
      <c r="B281" s="159" t="s">
        <v>1461</v>
      </c>
      <c r="C281" s="160"/>
      <c r="D281" s="160"/>
      <c r="E281" s="160"/>
      <c r="F281" s="160"/>
      <c r="G281" s="160"/>
      <c r="K281" s="167" t="s">
        <v>1471</v>
      </c>
      <c r="L281" s="170">
        <v>1137</v>
      </c>
      <c r="M281" s="174"/>
      <c r="O281" s="173" t="s">
        <v>1486</v>
      </c>
      <c r="P281" s="171">
        <v>2.77</v>
      </c>
      <c r="R281" s="163" t="s">
        <v>1470</v>
      </c>
      <c r="S281" s="164"/>
      <c r="U281" s="173" t="s">
        <v>1495</v>
      </c>
      <c r="V281" s="171">
        <v>1.99</v>
      </c>
      <c r="X281" s="163" t="s">
        <v>1496</v>
      </c>
      <c r="Y281" s="164"/>
    </row>
    <row r="282" spans="2:25" x14ac:dyDescent="0.2">
      <c r="B282" s="165" t="s">
        <v>1463</v>
      </c>
      <c r="C282" s="2">
        <v>1082.5999999999999</v>
      </c>
      <c r="D282" s="2">
        <v>911.9</v>
      </c>
      <c r="E282" s="2">
        <v>934.9</v>
      </c>
      <c r="F282" s="2">
        <v>576.5</v>
      </c>
      <c r="G282" s="2">
        <v>670.4</v>
      </c>
      <c r="H282" s="166"/>
      <c r="I282" s="166"/>
      <c r="K282" s="173" t="s">
        <v>1472</v>
      </c>
      <c r="L282" s="170">
        <v>990</v>
      </c>
      <c r="M282" s="174"/>
      <c r="O282" s="173" t="s">
        <v>1488</v>
      </c>
      <c r="P282" s="171">
        <v>2.77</v>
      </c>
      <c r="R282" s="167" t="s">
        <v>1471</v>
      </c>
      <c r="S282" s="170">
        <v>3753</v>
      </c>
      <c r="U282" s="173" t="s">
        <v>1497</v>
      </c>
      <c r="V282" s="171">
        <v>0.82</v>
      </c>
      <c r="X282" s="167" t="s">
        <v>1498</v>
      </c>
      <c r="Y282" s="170">
        <v>463.42</v>
      </c>
    </row>
    <row r="283" spans="2:25" x14ac:dyDescent="0.2">
      <c r="B283" s="165" t="s">
        <v>1469</v>
      </c>
      <c r="C283" s="175">
        <v>1.7</v>
      </c>
      <c r="D283" s="175">
        <v>1.7</v>
      </c>
      <c r="E283" s="175">
        <v>1.6</v>
      </c>
      <c r="F283" s="175">
        <v>1.5</v>
      </c>
      <c r="G283" s="175">
        <v>1.5</v>
      </c>
      <c r="H283" s="176"/>
      <c r="I283" s="176"/>
      <c r="K283" s="173" t="s">
        <v>1473</v>
      </c>
      <c r="L283" s="171">
        <v>60.5</v>
      </c>
      <c r="M283" s="169"/>
      <c r="O283" s="173" t="s">
        <v>1490</v>
      </c>
      <c r="P283" s="171">
        <v>2.92</v>
      </c>
      <c r="R283" s="173" t="s">
        <v>1472</v>
      </c>
      <c r="S283" s="170">
        <v>3753</v>
      </c>
      <c r="U283" s="173" t="s">
        <v>1499</v>
      </c>
      <c r="V283" s="171">
        <v>0.3</v>
      </c>
      <c r="X283" s="173" t="s">
        <v>1500</v>
      </c>
      <c r="Y283" s="170">
        <v>463.42</v>
      </c>
    </row>
    <row r="284" spans="2:25" x14ac:dyDescent="0.2">
      <c r="B284" s="165" t="s">
        <v>1464</v>
      </c>
      <c r="C284" s="175">
        <v>0.1</v>
      </c>
      <c r="D284" s="175">
        <v>14.7</v>
      </c>
      <c r="E284" s="175">
        <v>9.3000000000000007</v>
      </c>
      <c r="F284" s="198">
        <v>-3.5</v>
      </c>
      <c r="G284" s="175">
        <v>27.1</v>
      </c>
      <c r="H284" s="176"/>
      <c r="I284" s="176"/>
      <c r="K284" s="173" t="s">
        <v>1474</v>
      </c>
      <c r="L284" s="171">
        <v>18.79</v>
      </c>
      <c r="M284" s="169"/>
      <c r="O284" s="167" t="s">
        <v>1492</v>
      </c>
      <c r="P284" s="188">
        <v>0</v>
      </c>
      <c r="R284" s="173" t="s">
        <v>1473</v>
      </c>
      <c r="S284" s="170">
        <v>673.2</v>
      </c>
      <c r="U284" s="167" t="s">
        <v>1492</v>
      </c>
      <c r="V284" s="171">
        <v>0.04</v>
      </c>
      <c r="X284" s="173" t="s">
        <v>1501</v>
      </c>
      <c r="Y284" s="171">
        <v>33.65</v>
      </c>
    </row>
    <row r="285" spans="2:25" x14ac:dyDescent="0.2">
      <c r="B285" s="165" t="s">
        <v>1465</v>
      </c>
      <c r="C285" s="175">
        <v>1.8</v>
      </c>
      <c r="D285" s="175">
        <v>16.399999999999999</v>
      </c>
      <c r="E285" s="175">
        <v>10.9</v>
      </c>
      <c r="F285" s="198">
        <v>-2</v>
      </c>
      <c r="G285" s="175">
        <v>28.6</v>
      </c>
      <c r="H285" s="176"/>
      <c r="I285" s="176"/>
      <c r="K285" s="173" t="s">
        <v>1475</v>
      </c>
      <c r="L285" s="171">
        <v>16.36</v>
      </c>
      <c r="M285" s="169"/>
      <c r="O285" s="167" t="s">
        <v>1494</v>
      </c>
      <c r="P285" s="171">
        <v>2.76</v>
      </c>
      <c r="R285" s="173" t="s">
        <v>1474</v>
      </c>
      <c r="S285" s="171">
        <v>5.57</v>
      </c>
      <c r="U285" s="163" t="s">
        <v>1496</v>
      </c>
      <c r="V285" s="164"/>
      <c r="X285" s="173" t="s">
        <v>1502</v>
      </c>
      <c r="Y285" s="171">
        <v>13.77</v>
      </c>
    </row>
    <row r="286" spans="2:25" x14ac:dyDescent="0.2">
      <c r="B286" s="185" t="s">
        <v>1466</v>
      </c>
      <c r="C286" s="186">
        <v>2158.4</v>
      </c>
      <c r="D286" s="186">
        <v>928.3</v>
      </c>
      <c r="E286" s="186">
        <v>945.8</v>
      </c>
      <c r="F286" s="186">
        <v>574.5</v>
      </c>
      <c r="G286" s="186">
        <v>699.4</v>
      </c>
      <c r="H286" s="187"/>
      <c r="I286" s="187"/>
      <c r="K286" s="173" t="s">
        <v>1476</v>
      </c>
      <c r="L286" s="171">
        <v>16.96</v>
      </c>
      <c r="M286" s="169"/>
      <c r="O286" s="163" t="s">
        <v>1496</v>
      </c>
      <c r="P286" s="164"/>
      <c r="R286" s="173" t="s">
        <v>1475</v>
      </c>
      <c r="S286" s="171">
        <v>5.57</v>
      </c>
      <c r="U286" s="167" t="s">
        <v>1498</v>
      </c>
      <c r="V286" s="170">
        <v>960.16</v>
      </c>
      <c r="X286" s="173" t="s">
        <v>1503</v>
      </c>
      <c r="Y286" s="171">
        <v>13.77</v>
      </c>
    </row>
    <row r="287" spans="2:25" x14ac:dyDescent="0.2">
      <c r="B287" s="165" t="s">
        <v>1491</v>
      </c>
      <c r="C287" s="198">
        <v>-1.4</v>
      </c>
      <c r="D287" s="198">
        <v>-1.2</v>
      </c>
      <c r="E287" s="198">
        <v>-1.7</v>
      </c>
      <c r="F287" s="198">
        <v>-0.9</v>
      </c>
      <c r="G287" s="175">
        <v>0.4</v>
      </c>
      <c r="H287" s="176"/>
      <c r="I287" s="176"/>
      <c r="K287" s="167" t="s">
        <v>1478</v>
      </c>
      <c r="L287" s="170">
        <v>1137</v>
      </c>
      <c r="M287" s="174"/>
      <c r="O287" s="167" t="s">
        <v>1498</v>
      </c>
      <c r="P287" s="170">
        <v>157.07</v>
      </c>
      <c r="R287" s="173" t="s">
        <v>1476</v>
      </c>
      <c r="S287" s="171">
        <v>5.75</v>
      </c>
      <c r="U287" s="173" t="s">
        <v>1500</v>
      </c>
      <c r="V287" s="170">
        <v>394.77</v>
      </c>
      <c r="X287" s="173" t="s">
        <v>1504</v>
      </c>
      <c r="Y287" s="171">
        <v>13.77</v>
      </c>
    </row>
    <row r="288" spans="2:25" x14ac:dyDescent="0.2">
      <c r="B288" s="165" t="s">
        <v>1468</v>
      </c>
      <c r="C288" s="2">
        <v>1079.9000000000001</v>
      </c>
      <c r="D288" s="2">
        <v>929.5</v>
      </c>
      <c r="E288" s="2">
        <v>947.5</v>
      </c>
      <c r="F288" s="2">
        <v>575.4</v>
      </c>
      <c r="G288" s="2">
        <v>699</v>
      </c>
      <c r="H288" s="166"/>
      <c r="I288" s="166"/>
      <c r="K288" s="167" t="s">
        <v>1481</v>
      </c>
      <c r="L288" s="171">
        <v>1</v>
      </c>
      <c r="M288" s="169"/>
      <c r="O288" s="173" t="s">
        <v>1500</v>
      </c>
      <c r="P288" s="170">
        <v>157.07</v>
      </c>
      <c r="R288" s="167" t="s">
        <v>1478</v>
      </c>
      <c r="S288" s="170">
        <v>3753</v>
      </c>
      <c r="U288" s="173" t="s">
        <v>1501</v>
      </c>
      <c r="V288" s="188">
        <v>14508.33</v>
      </c>
      <c r="X288" s="167" t="s">
        <v>1505</v>
      </c>
      <c r="Y288" s="170">
        <v>463.42</v>
      </c>
    </row>
    <row r="289" spans="2:25" x14ac:dyDescent="0.2">
      <c r="B289" s="159" t="s">
        <v>1470</v>
      </c>
      <c r="C289" s="160"/>
      <c r="D289" s="160"/>
      <c r="E289" s="160"/>
      <c r="F289" s="160"/>
      <c r="G289" s="160"/>
      <c r="K289" s="173" t="s">
        <v>1484</v>
      </c>
      <c r="L289" s="171">
        <v>60.5</v>
      </c>
      <c r="M289" s="169"/>
      <c r="O289" s="173" t="s">
        <v>1501</v>
      </c>
      <c r="P289" s="171">
        <v>56.9</v>
      </c>
      <c r="R289" s="167" t="s">
        <v>1481</v>
      </c>
      <c r="S289" s="171">
        <v>1</v>
      </c>
      <c r="U289" s="173" t="s">
        <v>1502</v>
      </c>
      <c r="V289" s="171">
        <v>7.0000000000000007E-2</v>
      </c>
      <c r="X289" s="167" t="s">
        <v>1506</v>
      </c>
      <c r="Y289" s="171">
        <v>1</v>
      </c>
    </row>
    <row r="290" spans="2:25" x14ac:dyDescent="0.2">
      <c r="B290" s="165" t="s">
        <v>1471</v>
      </c>
      <c r="C290" s="2">
        <v>1076.7</v>
      </c>
      <c r="D290" s="2">
        <v>911.9</v>
      </c>
      <c r="E290" s="2">
        <v>933.2</v>
      </c>
      <c r="F290" s="2">
        <v>575.6</v>
      </c>
      <c r="G290" s="2">
        <v>670.8</v>
      </c>
      <c r="H290" s="166"/>
      <c r="I290" s="166"/>
      <c r="K290" s="173" t="s">
        <v>1486</v>
      </c>
      <c r="L290" s="171">
        <v>18.79</v>
      </c>
      <c r="M290" s="169"/>
      <c r="O290" s="173" t="s">
        <v>1502</v>
      </c>
      <c r="P290" s="171">
        <v>2.76</v>
      </c>
      <c r="R290" s="173" t="s">
        <v>1484</v>
      </c>
      <c r="S290" s="170">
        <v>673.2</v>
      </c>
      <c r="U290" s="173" t="s">
        <v>1503</v>
      </c>
      <c r="V290" s="171">
        <v>0.03</v>
      </c>
      <c r="X290" s="173" t="s">
        <v>1507</v>
      </c>
      <c r="Y290" s="171">
        <v>33.65</v>
      </c>
    </row>
    <row r="291" spans="2:25" x14ac:dyDescent="0.2">
      <c r="B291" s="172" t="s">
        <v>1472</v>
      </c>
      <c r="C291" s="2">
        <v>1081.2</v>
      </c>
      <c r="D291" s="2">
        <v>919.5</v>
      </c>
      <c r="E291" s="2">
        <v>944</v>
      </c>
      <c r="F291" s="2">
        <v>594.20000000000005</v>
      </c>
      <c r="G291" s="2">
        <v>674.1</v>
      </c>
      <c r="H291" s="166"/>
      <c r="I291" s="166"/>
      <c r="K291" s="173" t="s">
        <v>1488</v>
      </c>
      <c r="L291" s="171">
        <v>16.36</v>
      </c>
      <c r="M291" s="169"/>
      <c r="O291" s="173" t="s">
        <v>1503</v>
      </c>
      <c r="P291" s="171">
        <v>2.76</v>
      </c>
      <c r="R291" s="173" t="s">
        <v>1486</v>
      </c>
      <c r="S291" s="171">
        <v>5.57</v>
      </c>
      <c r="U291" s="173" t="s">
        <v>1504</v>
      </c>
      <c r="V291" s="171">
        <v>0.03</v>
      </c>
      <c r="X291" s="173" t="s">
        <v>1508</v>
      </c>
      <c r="Y291" s="171">
        <v>13.77</v>
      </c>
    </row>
    <row r="292" spans="2:25" x14ac:dyDescent="0.2">
      <c r="B292" s="172" t="s">
        <v>1473</v>
      </c>
      <c r="C292" s="2">
        <v>132</v>
      </c>
      <c r="D292" s="2">
        <v>132.30000000000001</v>
      </c>
      <c r="E292" s="2">
        <v>133</v>
      </c>
      <c r="F292" s="2">
        <v>133</v>
      </c>
      <c r="G292" s="2">
        <v>132.80000000000001</v>
      </c>
      <c r="H292" s="166"/>
      <c r="I292" s="166"/>
      <c r="K292" s="173" t="s">
        <v>1490</v>
      </c>
      <c r="L292" s="171">
        <v>16.96</v>
      </c>
      <c r="M292" s="169"/>
      <c r="O292" s="173" t="s">
        <v>1504</v>
      </c>
      <c r="P292" s="171">
        <v>2.9</v>
      </c>
      <c r="R292" s="173" t="s">
        <v>1488</v>
      </c>
      <c r="S292" s="171">
        <v>5.57</v>
      </c>
      <c r="U292" s="167" t="s">
        <v>1506</v>
      </c>
      <c r="V292" s="171">
        <v>1</v>
      </c>
      <c r="X292" s="173" t="s">
        <v>1509</v>
      </c>
      <c r="Y292" s="171">
        <v>13.77</v>
      </c>
    </row>
    <row r="293" spans="2:25" x14ac:dyDescent="0.2">
      <c r="B293" s="172" t="s">
        <v>1474</v>
      </c>
      <c r="C293" s="175">
        <v>8.16</v>
      </c>
      <c r="D293" s="175">
        <v>6.89</v>
      </c>
      <c r="E293" s="175">
        <v>7.02</v>
      </c>
      <c r="F293" s="175">
        <v>4.33</v>
      </c>
      <c r="G293" s="175">
        <v>5.05</v>
      </c>
      <c r="H293" s="176"/>
      <c r="I293" s="176"/>
      <c r="K293" s="167" t="s">
        <v>1492</v>
      </c>
      <c r="L293" s="171">
        <v>2.4300000000000002</v>
      </c>
      <c r="M293" s="169"/>
      <c r="O293" s="167" t="s">
        <v>1505</v>
      </c>
      <c r="P293" s="170">
        <v>157.07</v>
      </c>
      <c r="R293" s="173" t="s">
        <v>1490</v>
      </c>
      <c r="S293" s="171">
        <v>5.75</v>
      </c>
      <c r="U293" s="173" t="s">
        <v>1510</v>
      </c>
      <c r="V293" s="188">
        <v>14508.33</v>
      </c>
      <c r="X293" s="173" t="s">
        <v>1511</v>
      </c>
      <c r="Y293" s="171">
        <v>13.77</v>
      </c>
    </row>
    <row r="294" spans="2:25" x14ac:dyDescent="0.2">
      <c r="B294" s="172" t="s">
        <v>1475</v>
      </c>
      <c r="C294" s="175">
        <v>8.19</v>
      </c>
      <c r="D294" s="175">
        <v>6.95</v>
      </c>
      <c r="E294" s="175">
        <v>7.1</v>
      </c>
      <c r="F294" s="175">
        <v>4.47</v>
      </c>
      <c r="G294" s="175">
        <v>5.08</v>
      </c>
      <c r="H294" s="176"/>
      <c r="I294" s="176"/>
      <c r="K294" s="167" t="s">
        <v>1494</v>
      </c>
      <c r="L294" s="171">
        <v>20</v>
      </c>
      <c r="M294" s="169"/>
      <c r="O294" s="167" t="s">
        <v>1506</v>
      </c>
      <c r="P294" s="171">
        <v>1</v>
      </c>
      <c r="R294" s="167" t="s">
        <v>1481</v>
      </c>
      <c r="S294" s="171">
        <v>1</v>
      </c>
      <c r="U294" s="173" t="s">
        <v>1512</v>
      </c>
      <c r="V294" s="171">
        <v>0.2</v>
      </c>
      <c r="X294" s="167" t="s">
        <v>1513</v>
      </c>
      <c r="Y294" s="188">
        <v>0</v>
      </c>
    </row>
    <row r="295" spans="2:25" x14ac:dyDescent="0.2">
      <c r="B295" s="172" t="s">
        <v>1476</v>
      </c>
      <c r="C295" s="175">
        <v>8.2100000000000009</v>
      </c>
      <c r="D295" s="175">
        <v>7.86</v>
      </c>
      <c r="E295" s="175">
        <v>7.39</v>
      </c>
      <c r="F295" s="175">
        <v>5.14</v>
      </c>
      <c r="G295" s="175">
        <v>5.69</v>
      </c>
      <c r="H295" s="176"/>
      <c r="I295" s="176"/>
      <c r="K295" s="163" t="s">
        <v>1496</v>
      </c>
      <c r="L295" s="164"/>
      <c r="M295" s="162"/>
      <c r="O295" s="173" t="s">
        <v>1507</v>
      </c>
      <c r="P295" s="171">
        <v>56.9</v>
      </c>
      <c r="R295" s="173" t="s">
        <v>1493</v>
      </c>
      <c r="S295" s="170">
        <v>673.2</v>
      </c>
      <c r="U295" s="173" t="s">
        <v>1514</v>
      </c>
      <c r="V295" s="171">
        <v>0.08</v>
      </c>
      <c r="X295" s="167" t="s">
        <v>1515</v>
      </c>
      <c r="Y295" s="171">
        <v>13.78</v>
      </c>
    </row>
    <row r="296" spans="2:25" x14ac:dyDescent="0.2">
      <c r="B296" s="165" t="s">
        <v>1478</v>
      </c>
      <c r="C296" s="2">
        <v>1076.7</v>
      </c>
      <c r="D296" s="2">
        <v>911.9</v>
      </c>
      <c r="E296" s="2">
        <v>933.2</v>
      </c>
      <c r="F296" s="2">
        <v>575.6</v>
      </c>
      <c r="G296" s="2">
        <v>670.8</v>
      </c>
      <c r="H296" s="166"/>
      <c r="I296" s="166"/>
      <c r="K296" s="167" t="s">
        <v>1498</v>
      </c>
      <c r="L296" s="170">
        <v>1137</v>
      </c>
      <c r="M296" s="174"/>
      <c r="O296" s="173" t="s">
        <v>1508</v>
      </c>
      <c r="P296" s="171">
        <v>2.76</v>
      </c>
      <c r="R296" s="173" t="s">
        <v>1495</v>
      </c>
      <c r="S296" s="171">
        <v>5.54</v>
      </c>
      <c r="U296" s="173" t="s">
        <v>1516</v>
      </c>
      <c r="V296" s="171">
        <v>0.03</v>
      </c>
      <c r="X296" s="163" t="s">
        <v>1517</v>
      </c>
      <c r="Y296" s="164"/>
    </row>
    <row r="297" spans="2:25" x14ac:dyDescent="0.2">
      <c r="B297" s="165" t="s">
        <v>1481</v>
      </c>
      <c r="C297" s="175">
        <v>1</v>
      </c>
      <c r="D297" s="175">
        <v>1</v>
      </c>
      <c r="E297" s="175">
        <v>1</v>
      </c>
      <c r="F297" s="175">
        <v>1</v>
      </c>
      <c r="G297" s="175">
        <v>1</v>
      </c>
      <c r="H297" s="176"/>
      <c r="I297" s="176"/>
      <c r="K297" s="173" t="s">
        <v>1500</v>
      </c>
      <c r="L297" s="170">
        <v>990</v>
      </c>
      <c r="M297" s="174"/>
      <c r="O297" s="173" t="s">
        <v>1509</v>
      </c>
      <c r="P297" s="171">
        <v>2.76</v>
      </c>
      <c r="R297" s="173" t="s">
        <v>1497</v>
      </c>
      <c r="S297" s="171">
        <v>5.54</v>
      </c>
      <c r="U297" s="167" t="s">
        <v>1506</v>
      </c>
      <c r="V297" s="171">
        <v>1</v>
      </c>
      <c r="X297" s="167" t="s">
        <v>1518</v>
      </c>
      <c r="Y297" s="171">
        <v>1</v>
      </c>
    </row>
    <row r="298" spans="2:25" x14ac:dyDescent="0.2">
      <c r="B298" s="172" t="s">
        <v>1484</v>
      </c>
      <c r="C298" s="2">
        <v>132</v>
      </c>
      <c r="D298" s="2">
        <v>132.30000000000001</v>
      </c>
      <c r="E298" s="2">
        <v>133</v>
      </c>
      <c r="F298" s="2">
        <v>133</v>
      </c>
      <c r="G298" s="2">
        <v>132.80000000000001</v>
      </c>
      <c r="H298" s="166"/>
      <c r="I298" s="166"/>
      <c r="K298" s="173" t="s">
        <v>1501</v>
      </c>
      <c r="L298" s="171">
        <v>60.6</v>
      </c>
      <c r="M298" s="169"/>
      <c r="O298" s="173" t="s">
        <v>1511</v>
      </c>
      <c r="P298" s="171">
        <v>2.9</v>
      </c>
      <c r="R298" s="173" t="s">
        <v>1499</v>
      </c>
      <c r="S298" s="171">
        <v>5.75</v>
      </c>
      <c r="U298" s="173" t="s">
        <v>1519</v>
      </c>
      <c r="V298" s="170">
        <v>1450.83</v>
      </c>
      <c r="X298" s="167" t="s">
        <v>1520</v>
      </c>
      <c r="Y298" s="171">
        <v>1</v>
      </c>
    </row>
    <row r="299" spans="2:25" x14ac:dyDescent="0.2">
      <c r="B299" s="172" t="s">
        <v>1486</v>
      </c>
      <c r="C299" s="175">
        <v>8.16</v>
      </c>
      <c r="D299" s="175">
        <v>6.89</v>
      </c>
      <c r="E299" s="175">
        <v>7.02</v>
      </c>
      <c r="F299" s="175">
        <v>4.33</v>
      </c>
      <c r="G299" s="175">
        <v>5.05</v>
      </c>
      <c r="H299" s="176"/>
      <c r="I299" s="176"/>
      <c r="K299" s="173" t="s">
        <v>1502</v>
      </c>
      <c r="L299" s="171">
        <v>18.760000000000002</v>
      </c>
      <c r="M299" s="169"/>
      <c r="O299" s="167" t="s">
        <v>1513</v>
      </c>
      <c r="P299" s="188">
        <v>0</v>
      </c>
      <c r="R299" s="167" t="s">
        <v>1492</v>
      </c>
      <c r="S299" s="188">
        <v>0</v>
      </c>
      <c r="U299" s="173" t="s">
        <v>1521</v>
      </c>
      <c r="V299" s="171">
        <v>1.99</v>
      </c>
      <c r="X299" s="163" t="s">
        <v>1522</v>
      </c>
      <c r="Y299" s="164"/>
    </row>
    <row r="300" spans="2:25" x14ac:dyDescent="0.2">
      <c r="B300" s="172" t="s">
        <v>1488</v>
      </c>
      <c r="C300" s="175">
        <v>8.19</v>
      </c>
      <c r="D300" s="175">
        <v>6.95</v>
      </c>
      <c r="E300" s="175">
        <v>7.1</v>
      </c>
      <c r="F300" s="175">
        <v>4.47</v>
      </c>
      <c r="G300" s="175">
        <v>5.08</v>
      </c>
      <c r="H300" s="176"/>
      <c r="I300" s="176"/>
      <c r="K300" s="173" t="s">
        <v>1503</v>
      </c>
      <c r="L300" s="171">
        <v>16.34</v>
      </c>
      <c r="M300" s="169"/>
      <c r="O300" s="167" t="s">
        <v>1515</v>
      </c>
      <c r="P300" s="171">
        <v>2.74</v>
      </c>
      <c r="R300" s="167" t="s">
        <v>1494</v>
      </c>
      <c r="S300" s="195">
        <v>-0.04</v>
      </c>
      <c r="U300" s="173" t="s">
        <v>1523</v>
      </c>
      <c r="V300" s="171">
        <v>0.82</v>
      </c>
      <c r="X300" s="167" t="s">
        <v>1524</v>
      </c>
      <c r="Y300" s="170">
        <v>605.62</v>
      </c>
    </row>
    <row r="301" spans="2:25" x14ac:dyDescent="0.2">
      <c r="B301" s="172" t="s">
        <v>1490</v>
      </c>
      <c r="C301" s="175">
        <v>8.2100000000000009</v>
      </c>
      <c r="D301" s="175">
        <v>7.86</v>
      </c>
      <c r="E301" s="175">
        <v>7.39</v>
      </c>
      <c r="F301" s="175">
        <v>5.14</v>
      </c>
      <c r="G301" s="175">
        <v>5.69</v>
      </c>
      <c r="H301" s="176"/>
      <c r="I301" s="176"/>
      <c r="K301" s="173" t="s">
        <v>1504</v>
      </c>
      <c r="L301" s="171">
        <v>16.93</v>
      </c>
      <c r="M301" s="169"/>
      <c r="O301" s="163" t="s">
        <v>1517</v>
      </c>
      <c r="P301" s="164"/>
      <c r="R301" s="167" t="s">
        <v>1525</v>
      </c>
      <c r="S301" s="195">
        <v>-0.04</v>
      </c>
      <c r="U301" s="173" t="s">
        <v>1526</v>
      </c>
      <c r="V301" s="171">
        <v>0.3</v>
      </c>
      <c r="X301" s="167" t="s">
        <v>1527</v>
      </c>
      <c r="Y301" s="170">
        <v>764.52</v>
      </c>
    </row>
    <row r="302" spans="2:25" x14ac:dyDescent="0.2">
      <c r="B302" s="165" t="s">
        <v>1492</v>
      </c>
      <c r="C302" s="198">
        <v>-0.03</v>
      </c>
      <c r="D302" s="198">
        <v>-0.06</v>
      </c>
      <c r="E302" s="198">
        <v>-0.08</v>
      </c>
      <c r="F302" s="198">
        <v>-0.14000000000000001</v>
      </c>
      <c r="G302" s="198">
        <v>-0.02</v>
      </c>
      <c r="H302" s="199"/>
      <c r="I302" s="199"/>
      <c r="K302" s="167" t="s">
        <v>1505</v>
      </c>
      <c r="L302" s="170">
        <v>1137</v>
      </c>
      <c r="M302" s="174"/>
      <c r="O302" s="167" t="s">
        <v>1518</v>
      </c>
      <c r="P302" s="188">
        <v>0</v>
      </c>
      <c r="R302" s="163" t="s">
        <v>1496</v>
      </c>
      <c r="S302" s="164"/>
      <c r="U302" s="167" t="s">
        <v>1513</v>
      </c>
      <c r="V302" s="171">
        <v>0.04</v>
      </c>
      <c r="X302" s="167" t="s">
        <v>1528</v>
      </c>
      <c r="Y302" s="170">
        <v>772.47</v>
      </c>
    </row>
    <row r="303" spans="2:25" x14ac:dyDescent="0.2">
      <c r="B303" s="165" t="s">
        <v>1494</v>
      </c>
      <c r="C303" s="175">
        <v>8.18</v>
      </c>
      <c r="D303" s="175">
        <v>7.03</v>
      </c>
      <c r="E303" s="175">
        <v>7.12</v>
      </c>
      <c r="F303" s="175">
        <v>4.33</v>
      </c>
      <c r="G303" s="175">
        <v>5.26</v>
      </c>
      <c r="H303" s="176"/>
      <c r="I303" s="176"/>
      <c r="K303" s="167" t="s">
        <v>1506</v>
      </c>
      <c r="L303" s="171">
        <v>1</v>
      </c>
      <c r="M303" s="169"/>
      <c r="O303" s="167" t="s">
        <v>1520</v>
      </c>
      <c r="P303" s="188">
        <v>0</v>
      </c>
      <c r="R303" s="167" t="s">
        <v>1498</v>
      </c>
      <c r="S303" s="170">
        <v>3753</v>
      </c>
      <c r="U303" s="163" t="s">
        <v>1517</v>
      </c>
      <c r="V303" s="164"/>
      <c r="X303" s="163" t="s">
        <v>1529</v>
      </c>
      <c r="Y303" s="164"/>
    </row>
    <row r="304" spans="2:25" x14ac:dyDescent="0.2">
      <c r="B304" s="159" t="s">
        <v>1496</v>
      </c>
      <c r="C304" s="160"/>
      <c r="D304" s="160"/>
      <c r="E304" s="160"/>
      <c r="F304" s="160"/>
      <c r="G304" s="160"/>
      <c r="K304" s="173" t="s">
        <v>1507</v>
      </c>
      <c r="L304" s="171">
        <v>60.6</v>
      </c>
      <c r="M304" s="169"/>
      <c r="O304" s="163" t="s">
        <v>1522</v>
      </c>
      <c r="P304" s="164"/>
      <c r="R304" s="173" t="s">
        <v>1500</v>
      </c>
      <c r="S304" s="170">
        <v>3753</v>
      </c>
      <c r="U304" s="167" t="s">
        <v>1518</v>
      </c>
      <c r="V304" s="188">
        <v>0</v>
      </c>
      <c r="X304" s="167" t="s">
        <v>1530</v>
      </c>
      <c r="Y304" s="170">
        <v>158.9</v>
      </c>
    </row>
    <row r="305" spans="2:25" x14ac:dyDescent="0.2">
      <c r="B305" s="165" t="s">
        <v>1498</v>
      </c>
      <c r="C305" s="2">
        <v>1076.7</v>
      </c>
      <c r="D305" s="2">
        <v>911.9</v>
      </c>
      <c r="E305" s="2">
        <v>933.2</v>
      </c>
      <c r="F305" s="2">
        <v>575.6</v>
      </c>
      <c r="G305" s="2">
        <v>670.8</v>
      </c>
      <c r="H305" s="166"/>
      <c r="I305" s="166"/>
      <c r="K305" s="173" t="s">
        <v>1508</v>
      </c>
      <c r="L305" s="171">
        <v>18.760000000000002</v>
      </c>
      <c r="M305" s="169"/>
      <c r="O305" s="167" t="s">
        <v>1524</v>
      </c>
      <c r="P305" s="170">
        <v>297.47000000000003</v>
      </c>
      <c r="R305" s="173" t="s">
        <v>1501</v>
      </c>
      <c r="S305" s="170">
        <v>677</v>
      </c>
      <c r="U305" s="167" t="s">
        <v>1518</v>
      </c>
      <c r="V305" s="188">
        <v>0</v>
      </c>
      <c r="X305" s="173" t="s">
        <v>1531</v>
      </c>
      <c r="Y305" s="170">
        <v>147.6</v>
      </c>
    </row>
    <row r="306" spans="2:25" x14ac:dyDescent="0.2">
      <c r="B306" s="172" t="s">
        <v>1500</v>
      </c>
      <c r="C306" s="2">
        <v>1081.2</v>
      </c>
      <c r="D306" s="2">
        <v>919.5</v>
      </c>
      <c r="E306" s="2">
        <v>944</v>
      </c>
      <c r="F306" s="2">
        <v>594.20000000000005</v>
      </c>
      <c r="G306" s="2">
        <v>674.1</v>
      </c>
      <c r="H306" s="166"/>
      <c r="I306" s="166"/>
      <c r="K306" s="173" t="s">
        <v>1509</v>
      </c>
      <c r="L306" s="171">
        <v>16.34</v>
      </c>
      <c r="M306" s="169"/>
      <c r="O306" s="167" t="s">
        <v>1527</v>
      </c>
      <c r="P306" s="170">
        <v>491.21</v>
      </c>
      <c r="R306" s="173" t="s">
        <v>1502</v>
      </c>
      <c r="S306" s="171">
        <v>5.54</v>
      </c>
      <c r="U306" s="167" t="s">
        <v>1520</v>
      </c>
      <c r="V306" s="188">
        <v>0</v>
      </c>
      <c r="X306" s="173" t="s">
        <v>1532</v>
      </c>
      <c r="Y306" s="171">
        <v>8.4</v>
      </c>
    </row>
    <row r="307" spans="2:25" x14ac:dyDescent="0.2">
      <c r="B307" s="172" t="s">
        <v>1501</v>
      </c>
      <c r="C307" s="2">
        <v>132.69999999999999</v>
      </c>
      <c r="D307" s="2">
        <v>133.1</v>
      </c>
      <c r="E307" s="2">
        <v>133.69999999999999</v>
      </c>
      <c r="F307" s="2">
        <v>133.6</v>
      </c>
      <c r="G307" s="2">
        <v>133.5</v>
      </c>
      <c r="H307" s="166"/>
      <c r="I307" s="166"/>
      <c r="K307" s="173" t="s">
        <v>1511</v>
      </c>
      <c r="L307" s="171">
        <v>16.93</v>
      </c>
      <c r="M307" s="169"/>
      <c r="O307" s="167" t="s">
        <v>1528</v>
      </c>
      <c r="P307" s="170">
        <v>509.78</v>
      </c>
      <c r="R307" s="173" t="s">
        <v>1503</v>
      </c>
      <c r="S307" s="171">
        <v>5.54</v>
      </c>
      <c r="U307" s="167" t="s">
        <v>1520</v>
      </c>
      <c r="V307" s="188">
        <v>0</v>
      </c>
      <c r="X307" s="173" t="s">
        <v>1533</v>
      </c>
      <c r="Y307" s="171">
        <v>8.4</v>
      </c>
    </row>
    <row r="308" spans="2:25" x14ac:dyDescent="0.2">
      <c r="B308" s="172" t="s">
        <v>1502</v>
      </c>
      <c r="C308" s="175">
        <v>8.11</v>
      </c>
      <c r="D308" s="175">
        <v>6.85</v>
      </c>
      <c r="E308" s="175">
        <v>6.98</v>
      </c>
      <c r="F308" s="175">
        <v>4.3099999999999996</v>
      </c>
      <c r="G308" s="175">
        <v>5.0199999999999996</v>
      </c>
      <c r="H308" s="176"/>
      <c r="I308" s="176"/>
      <c r="K308" s="167" t="s">
        <v>1513</v>
      </c>
      <c r="L308" s="171">
        <v>2.4300000000000002</v>
      </c>
      <c r="M308" s="169"/>
      <c r="O308" s="163" t="s">
        <v>1529</v>
      </c>
      <c r="P308" s="164"/>
      <c r="R308" s="173" t="s">
        <v>1504</v>
      </c>
      <c r="S308" s="171">
        <v>5.72</v>
      </c>
      <c r="U308" s="167" t="s">
        <v>1534</v>
      </c>
      <c r="V308" s="171">
        <v>0.09</v>
      </c>
      <c r="X308" s="163" t="s">
        <v>1535</v>
      </c>
      <c r="Y308" s="164"/>
    </row>
    <row r="309" spans="2:25" x14ac:dyDescent="0.2">
      <c r="B309" s="172" t="s">
        <v>1503</v>
      </c>
      <c r="C309" s="175">
        <v>8.15</v>
      </c>
      <c r="D309" s="175">
        <v>6.91</v>
      </c>
      <c r="E309" s="175">
        <v>7.06</v>
      </c>
      <c r="F309" s="175">
        <v>4.45</v>
      </c>
      <c r="G309" s="175">
        <v>5.05</v>
      </c>
      <c r="H309" s="176"/>
      <c r="I309" s="176"/>
      <c r="K309" s="167" t="s">
        <v>1515</v>
      </c>
      <c r="L309" s="171">
        <v>19.97</v>
      </c>
      <c r="M309" s="169"/>
      <c r="O309" s="167" t="s">
        <v>1530</v>
      </c>
      <c r="P309" s="170">
        <v>190.3</v>
      </c>
      <c r="R309" s="167" t="s">
        <v>1505</v>
      </c>
      <c r="S309" s="170">
        <v>3753</v>
      </c>
      <c r="U309" s="167" t="s">
        <v>1536</v>
      </c>
      <c r="V309" s="171">
        <v>0.09</v>
      </c>
      <c r="X309" s="167" t="s">
        <v>1537</v>
      </c>
      <c r="Y309" s="170">
        <v>158.9</v>
      </c>
    </row>
    <row r="310" spans="2:25" x14ac:dyDescent="0.2">
      <c r="B310" s="172" t="s">
        <v>1504</v>
      </c>
      <c r="C310" s="175">
        <v>8.17</v>
      </c>
      <c r="D310" s="175">
        <v>7.81</v>
      </c>
      <c r="E310" s="175">
        <v>7.35</v>
      </c>
      <c r="F310" s="175">
        <v>5.1100000000000003</v>
      </c>
      <c r="G310" s="175">
        <v>5.66</v>
      </c>
      <c r="H310" s="176"/>
      <c r="I310" s="176"/>
      <c r="K310" s="163" t="s">
        <v>1517</v>
      </c>
      <c r="L310" s="164"/>
      <c r="M310" s="162"/>
      <c r="O310" s="173" t="s">
        <v>1531</v>
      </c>
      <c r="P310" s="170">
        <v>175.5</v>
      </c>
      <c r="R310" s="167" t="s">
        <v>1506</v>
      </c>
      <c r="S310" s="171">
        <v>1</v>
      </c>
      <c r="U310" s="167" t="s">
        <v>1538</v>
      </c>
      <c r="V310" s="188">
        <v>0</v>
      </c>
      <c r="X310" s="173" t="s">
        <v>1539</v>
      </c>
      <c r="Y310" s="170">
        <v>147.6</v>
      </c>
    </row>
    <row r="311" spans="2:25" x14ac:dyDescent="0.2">
      <c r="B311" s="165" t="s">
        <v>1505</v>
      </c>
      <c r="C311" s="2">
        <v>1076.7</v>
      </c>
      <c r="D311" s="2">
        <v>911.9</v>
      </c>
      <c r="E311" s="2">
        <v>933.2</v>
      </c>
      <c r="F311" s="2">
        <v>575.6</v>
      </c>
      <c r="G311" s="2">
        <v>670.8</v>
      </c>
      <c r="H311" s="166"/>
      <c r="I311" s="166"/>
      <c r="K311" s="167" t="s">
        <v>1518</v>
      </c>
      <c r="L311" s="171">
        <v>3.24</v>
      </c>
      <c r="M311" s="169"/>
      <c r="O311" s="173" t="s">
        <v>1532</v>
      </c>
      <c r="P311" s="171">
        <v>14.8</v>
      </c>
      <c r="R311" s="173" t="s">
        <v>1507</v>
      </c>
      <c r="S311" s="170">
        <v>677</v>
      </c>
      <c r="U311" s="167" t="s">
        <v>1540</v>
      </c>
      <c r="V311" s="188">
        <v>0</v>
      </c>
      <c r="X311" s="173" t="s">
        <v>1541</v>
      </c>
      <c r="Y311" s="171">
        <v>8.4</v>
      </c>
    </row>
    <row r="312" spans="2:25" x14ac:dyDescent="0.2">
      <c r="B312" s="165" t="s">
        <v>1506</v>
      </c>
      <c r="C312" s="175">
        <v>1</v>
      </c>
      <c r="D312" s="175">
        <v>1</v>
      </c>
      <c r="E312" s="175">
        <v>1</v>
      </c>
      <c r="F312" s="175">
        <v>1</v>
      </c>
      <c r="G312" s="175">
        <v>1</v>
      </c>
      <c r="H312" s="176"/>
      <c r="I312" s="176"/>
      <c r="K312" s="167" t="s">
        <v>1520</v>
      </c>
      <c r="L312" s="171">
        <v>3.24</v>
      </c>
      <c r="M312" s="169"/>
      <c r="O312" s="173" t="s">
        <v>1533</v>
      </c>
      <c r="P312" s="171">
        <v>14.8</v>
      </c>
      <c r="R312" s="173" t="s">
        <v>1508</v>
      </c>
      <c r="S312" s="171">
        <v>5.54</v>
      </c>
      <c r="U312" s="163" t="s">
        <v>1522</v>
      </c>
      <c r="V312" s="164"/>
      <c r="X312" s="163" t="s">
        <v>1542</v>
      </c>
      <c r="Y312" s="164"/>
    </row>
    <row r="313" spans="2:25" x14ac:dyDescent="0.2">
      <c r="B313" s="172" t="s">
        <v>1507</v>
      </c>
      <c r="C313" s="2">
        <v>132.69999999999999</v>
      </c>
      <c r="D313" s="2">
        <v>133.1</v>
      </c>
      <c r="E313" s="2">
        <v>133.69999999999999</v>
      </c>
      <c r="F313" s="2">
        <v>133.6</v>
      </c>
      <c r="G313" s="2">
        <v>133.5</v>
      </c>
      <c r="H313" s="166"/>
      <c r="I313" s="166"/>
      <c r="K313" s="163" t="s">
        <v>1522</v>
      </c>
      <c r="L313" s="164"/>
      <c r="M313" s="162"/>
      <c r="O313" s="163" t="s">
        <v>1535</v>
      </c>
      <c r="P313" s="164"/>
      <c r="R313" s="173" t="s">
        <v>1509</v>
      </c>
      <c r="S313" s="171">
        <v>5.54</v>
      </c>
      <c r="U313" s="167" t="s">
        <v>1524</v>
      </c>
      <c r="V313" s="170">
        <v>1004.85</v>
      </c>
      <c r="X313" s="167" t="s">
        <v>1543</v>
      </c>
      <c r="Y313" s="188"/>
    </row>
    <row r="314" spans="2:25" x14ac:dyDescent="0.2">
      <c r="B314" s="172" t="s">
        <v>1508</v>
      </c>
      <c r="C314" s="175">
        <v>8.11</v>
      </c>
      <c r="D314" s="175">
        <v>6.85</v>
      </c>
      <c r="E314" s="175">
        <v>6.98</v>
      </c>
      <c r="F314" s="175">
        <v>4.3099999999999996</v>
      </c>
      <c r="G314" s="175">
        <v>5.0199999999999996</v>
      </c>
      <c r="H314" s="176"/>
      <c r="I314" s="176"/>
      <c r="K314" s="167" t="s">
        <v>1524</v>
      </c>
      <c r="L314" s="170">
        <v>1493</v>
      </c>
      <c r="M314" s="174"/>
      <c r="O314" s="167" t="s">
        <v>1537</v>
      </c>
      <c r="P314" s="170">
        <v>193.74</v>
      </c>
      <c r="R314" s="173" t="s">
        <v>1511</v>
      </c>
      <c r="S314" s="171">
        <v>5.72</v>
      </c>
      <c r="U314" s="167" t="s">
        <v>1527</v>
      </c>
      <c r="V314" s="170">
        <v>2295.7800000000002</v>
      </c>
      <c r="X314" s="173" t="s">
        <v>1544</v>
      </c>
      <c r="Y314" s="171">
        <v>14.81</v>
      </c>
    </row>
    <row r="315" spans="2:25" x14ac:dyDescent="0.2">
      <c r="B315" s="172" t="s">
        <v>1509</v>
      </c>
      <c r="C315" s="175">
        <v>8.15</v>
      </c>
      <c r="D315" s="175">
        <v>6.91</v>
      </c>
      <c r="E315" s="175">
        <v>7.06</v>
      </c>
      <c r="F315" s="175">
        <v>4.45</v>
      </c>
      <c r="G315" s="175">
        <v>5.05</v>
      </c>
      <c r="H315" s="176"/>
      <c r="I315" s="176"/>
      <c r="K315" s="167" t="s">
        <v>1527</v>
      </c>
      <c r="L315" s="170">
        <v>2130</v>
      </c>
      <c r="M315" s="174"/>
      <c r="O315" s="173" t="s">
        <v>1539</v>
      </c>
      <c r="P315" s="170">
        <v>175.5</v>
      </c>
      <c r="R315" s="167" t="s">
        <v>1506</v>
      </c>
      <c r="S315" s="171">
        <v>1</v>
      </c>
      <c r="U315" s="163" t="s">
        <v>1529</v>
      </c>
      <c r="V315" s="164"/>
      <c r="X315" s="173" t="s">
        <v>1545</v>
      </c>
      <c r="Y315" s="171">
        <v>18.739999999999998</v>
      </c>
    </row>
    <row r="316" spans="2:25" x14ac:dyDescent="0.2">
      <c r="B316" s="172" t="s">
        <v>1511</v>
      </c>
      <c r="C316" s="175">
        <v>8.17</v>
      </c>
      <c r="D316" s="175">
        <v>7.81</v>
      </c>
      <c r="E316" s="175">
        <v>7.35</v>
      </c>
      <c r="F316" s="175">
        <v>5.1100000000000003</v>
      </c>
      <c r="G316" s="175">
        <v>5.66</v>
      </c>
      <c r="H316" s="176"/>
      <c r="I316" s="176"/>
      <c r="K316" s="167" t="s">
        <v>1528</v>
      </c>
      <c r="L316" s="170">
        <v>2209</v>
      </c>
      <c r="M316" s="174"/>
      <c r="O316" s="173" t="s">
        <v>1541</v>
      </c>
      <c r="P316" s="171">
        <v>14.8</v>
      </c>
      <c r="R316" s="173" t="s">
        <v>1519</v>
      </c>
      <c r="S316" s="170">
        <v>677</v>
      </c>
      <c r="U316" s="167" t="s">
        <v>1530</v>
      </c>
      <c r="V316" s="170">
        <v>1290.93</v>
      </c>
      <c r="X316" s="173" t="s">
        <v>1546</v>
      </c>
      <c r="Y316" s="171">
        <v>3.94</v>
      </c>
    </row>
    <row r="317" spans="2:25" x14ac:dyDescent="0.2">
      <c r="B317" s="165" t="s">
        <v>1513</v>
      </c>
      <c r="C317" s="198">
        <v>-0.03</v>
      </c>
      <c r="D317" s="198">
        <v>-0.06</v>
      </c>
      <c r="E317" s="198">
        <v>-0.08</v>
      </c>
      <c r="F317" s="198">
        <v>-0.14000000000000001</v>
      </c>
      <c r="G317" s="198">
        <v>-0.02</v>
      </c>
      <c r="H317" s="199"/>
      <c r="I317" s="199"/>
      <c r="K317" s="163" t="s">
        <v>1529</v>
      </c>
      <c r="L317" s="164"/>
      <c r="M317" s="162"/>
      <c r="O317" s="163" t="s">
        <v>1542</v>
      </c>
      <c r="P317" s="164"/>
      <c r="R317" s="173" t="s">
        <v>1521</v>
      </c>
      <c r="S317" s="171">
        <v>5.51</v>
      </c>
      <c r="U317" s="163" t="s">
        <v>1535</v>
      </c>
      <c r="V317" s="164"/>
      <c r="X317" s="163" t="s">
        <v>1547</v>
      </c>
      <c r="Y317" s="164"/>
    </row>
    <row r="318" spans="2:25" x14ac:dyDescent="0.2">
      <c r="B318" s="165" t="s">
        <v>1515</v>
      </c>
      <c r="C318" s="175">
        <v>8.14</v>
      </c>
      <c r="D318" s="175">
        <v>6.98</v>
      </c>
      <c r="E318" s="175">
        <v>7.09</v>
      </c>
      <c r="F318" s="175">
        <v>4.3099999999999996</v>
      </c>
      <c r="G318" s="175">
        <v>5.24</v>
      </c>
      <c r="H318" s="176"/>
      <c r="I318" s="176"/>
      <c r="K318" s="167" t="s">
        <v>1530</v>
      </c>
      <c r="L318" s="170">
        <v>588</v>
      </c>
      <c r="M318" s="174"/>
      <c r="O318" s="167" t="s">
        <v>1543</v>
      </c>
      <c r="P318" s="188"/>
      <c r="R318" s="173" t="s">
        <v>1523</v>
      </c>
      <c r="S318" s="171">
        <v>5.51</v>
      </c>
      <c r="U318" s="167" t="s">
        <v>1537</v>
      </c>
      <c r="V318" s="170">
        <v>1290.93</v>
      </c>
      <c r="X318" s="167" t="s">
        <v>1547</v>
      </c>
      <c r="Y318" s="171">
        <v>2.6</v>
      </c>
    </row>
    <row r="319" spans="2:25" x14ac:dyDescent="0.2">
      <c r="B319" s="159" t="s">
        <v>1517</v>
      </c>
      <c r="C319" s="160"/>
      <c r="D319" s="160"/>
      <c r="E319" s="160"/>
      <c r="F319" s="160"/>
      <c r="G319" s="160"/>
      <c r="K319" s="173" t="s">
        <v>1531</v>
      </c>
      <c r="L319" s="170">
        <v>562</v>
      </c>
      <c r="M319" s="174"/>
      <c r="O319" s="173" t="s">
        <v>1544</v>
      </c>
      <c r="P319" s="171">
        <v>9</v>
      </c>
      <c r="R319" s="173" t="s">
        <v>1526</v>
      </c>
      <c r="S319" s="171">
        <v>5.72</v>
      </c>
      <c r="U319" s="163" t="s">
        <v>1548</v>
      </c>
      <c r="V319" s="164"/>
      <c r="X319" s="173" t="s">
        <v>1549</v>
      </c>
      <c r="Y319" s="171">
        <v>2.6</v>
      </c>
    </row>
    <row r="320" spans="2:25" x14ac:dyDescent="0.2">
      <c r="B320" s="165" t="s">
        <v>1518</v>
      </c>
      <c r="C320" s="175">
        <v>1.96</v>
      </c>
      <c r="D320" s="175">
        <v>1.84</v>
      </c>
      <c r="E320" s="175">
        <v>1.72</v>
      </c>
      <c r="F320" s="175">
        <v>1.6</v>
      </c>
      <c r="G320" s="175">
        <v>1.48</v>
      </c>
      <c r="H320" s="176"/>
      <c r="I320" s="176"/>
      <c r="K320" s="173" t="s">
        <v>1550</v>
      </c>
      <c r="L320" s="171">
        <v>21</v>
      </c>
      <c r="M320" s="169"/>
      <c r="O320" s="173" t="s">
        <v>1545</v>
      </c>
      <c r="P320" s="171">
        <v>11.39</v>
      </c>
      <c r="R320" s="167" t="s">
        <v>1513</v>
      </c>
      <c r="S320" s="188">
        <v>0</v>
      </c>
      <c r="U320" s="167" t="s">
        <v>1551</v>
      </c>
      <c r="V320" s="170">
        <v>447.24</v>
      </c>
      <c r="X320" s="173" t="s">
        <v>1552</v>
      </c>
      <c r="Y320" s="188">
        <v>0</v>
      </c>
    </row>
    <row r="321" spans="2:25" x14ac:dyDescent="0.2">
      <c r="B321" s="165" t="s">
        <v>1520</v>
      </c>
      <c r="C321" s="175">
        <v>1.96</v>
      </c>
      <c r="D321" s="175">
        <v>1.84</v>
      </c>
      <c r="E321" s="175">
        <v>1.72</v>
      </c>
      <c r="F321" s="175">
        <v>1.6</v>
      </c>
      <c r="G321" s="175">
        <v>1.48</v>
      </c>
      <c r="H321" s="176"/>
      <c r="I321" s="176"/>
      <c r="K321" s="173" t="s">
        <v>1532</v>
      </c>
      <c r="L321" s="171">
        <v>26</v>
      </c>
      <c r="M321" s="169"/>
      <c r="O321" s="173" t="s">
        <v>1546</v>
      </c>
      <c r="P321" s="171">
        <v>2.39</v>
      </c>
      <c r="R321" s="167" t="s">
        <v>1515</v>
      </c>
      <c r="S321" s="195">
        <v>-0.04</v>
      </c>
      <c r="U321" s="167" t="s">
        <v>1553</v>
      </c>
      <c r="V321" s="170">
        <v>447.24</v>
      </c>
      <c r="X321" s="173" t="s">
        <v>1554</v>
      </c>
      <c r="Y321" s="188">
        <v>0</v>
      </c>
    </row>
    <row r="322" spans="2:25" x14ac:dyDescent="0.2">
      <c r="B322" s="159" t="s">
        <v>1522</v>
      </c>
      <c r="C322" s="160"/>
      <c r="D322" s="160"/>
      <c r="E322" s="160"/>
      <c r="F322" s="160"/>
      <c r="G322" s="160"/>
      <c r="K322" s="173" t="s">
        <v>1533</v>
      </c>
      <c r="L322" s="171">
        <v>26</v>
      </c>
      <c r="M322" s="169"/>
      <c r="O322" s="163" t="s">
        <v>1555</v>
      </c>
      <c r="P322" s="164"/>
      <c r="R322" s="167" t="s">
        <v>1556</v>
      </c>
      <c r="S322" s="195">
        <v>-0.04</v>
      </c>
      <c r="U322" s="167" t="s">
        <v>1557</v>
      </c>
      <c r="V322" s="170">
        <v>437.67</v>
      </c>
      <c r="X322" s="163" t="s">
        <v>1548</v>
      </c>
      <c r="Y322" s="164"/>
    </row>
    <row r="323" spans="2:25" x14ac:dyDescent="0.2">
      <c r="B323" s="165" t="s">
        <v>1524</v>
      </c>
      <c r="C323" s="2">
        <v>1527.4</v>
      </c>
      <c r="D323" s="2">
        <v>1396.1</v>
      </c>
      <c r="E323" s="2">
        <v>1322.2</v>
      </c>
      <c r="F323" s="2">
        <v>1029.5</v>
      </c>
      <c r="G323" s="2">
        <v>971.7</v>
      </c>
      <c r="H323" s="166"/>
      <c r="I323" s="166"/>
      <c r="K323" s="163" t="s">
        <v>1535</v>
      </c>
      <c r="L323" s="164"/>
      <c r="M323" s="162"/>
      <c r="O323" s="167" t="s">
        <v>1558</v>
      </c>
      <c r="P323" s="170">
        <v>496.5</v>
      </c>
      <c r="R323" s="163" t="s">
        <v>1517</v>
      </c>
      <c r="S323" s="164"/>
      <c r="U323" s="167" t="s">
        <v>1559</v>
      </c>
      <c r="V323" s="170">
        <v>1117.1199999999999</v>
      </c>
      <c r="X323" s="167" t="s">
        <v>1551</v>
      </c>
      <c r="Y323" s="170">
        <v>463.42</v>
      </c>
    </row>
    <row r="324" spans="2:25" x14ac:dyDescent="0.2">
      <c r="B324" s="165" t="s">
        <v>1527</v>
      </c>
      <c r="C324" s="2">
        <v>2275.9</v>
      </c>
      <c r="D324" s="2">
        <v>2028.3</v>
      </c>
      <c r="E324" s="2">
        <v>1939.2</v>
      </c>
      <c r="F324" s="2">
        <v>1617</v>
      </c>
      <c r="G324" s="2">
        <v>1434.7</v>
      </c>
      <c r="H324" s="166"/>
      <c r="I324" s="166"/>
      <c r="K324" s="167" t="s">
        <v>1537</v>
      </c>
      <c r="L324" s="170">
        <v>637</v>
      </c>
      <c r="M324" s="174"/>
      <c r="O324" s="163" t="s">
        <v>1548</v>
      </c>
      <c r="P324" s="164"/>
      <c r="R324" s="167" t="s">
        <v>1518</v>
      </c>
      <c r="S324" s="171">
        <v>1.48</v>
      </c>
      <c r="U324" s="167" t="s">
        <v>1560</v>
      </c>
      <c r="V324" s="170">
        <v>2408.0500000000002</v>
      </c>
      <c r="X324" s="167" t="s">
        <v>1553</v>
      </c>
      <c r="Y324" s="170">
        <v>463.42</v>
      </c>
    </row>
    <row r="325" spans="2:25" x14ac:dyDescent="0.2">
      <c r="B325" s="165" t="s">
        <v>1528</v>
      </c>
      <c r="C325" s="2">
        <v>2357.9</v>
      </c>
      <c r="D325" s="2">
        <v>2103.9</v>
      </c>
      <c r="E325" s="2">
        <v>2016.7</v>
      </c>
      <c r="F325" s="2">
        <v>1702.6</v>
      </c>
      <c r="G325" s="2">
        <v>1505.7</v>
      </c>
      <c r="H325" s="166"/>
      <c r="I325" s="166"/>
      <c r="K325" s="173" t="s">
        <v>1539</v>
      </c>
      <c r="L325" s="170">
        <v>562</v>
      </c>
      <c r="M325" s="174"/>
      <c r="O325" s="167" t="s">
        <v>1551</v>
      </c>
      <c r="P325" s="170">
        <v>165.17</v>
      </c>
      <c r="R325" s="167" t="s">
        <v>1518</v>
      </c>
      <c r="S325" s="188">
        <v>0</v>
      </c>
      <c r="U325" s="163" t="s">
        <v>1338</v>
      </c>
      <c r="V325" s="164"/>
      <c r="X325" s="167" t="s">
        <v>1557</v>
      </c>
      <c r="Y325" s="170">
        <v>463.42</v>
      </c>
    </row>
    <row r="326" spans="2:25" x14ac:dyDescent="0.2">
      <c r="B326" s="159" t="s">
        <v>1529</v>
      </c>
      <c r="C326" s="160"/>
      <c r="D326" s="160"/>
      <c r="E326" s="160"/>
      <c r="F326" s="160"/>
      <c r="G326" s="160"/>
      <c r="K326" s="173" t="s">
        <v>1541</v>
      </c>
      <c r="L326" s="171">
        <v>26</v>
      </c>
      <c r="M326" s="169"/>
      <c r="O326" s="167" t="s">
        <v>1553</v>
      </c>
      <c r="P326" s="170">
        <v>165.17</v>
      </c>
      <c r="R326" s="167" t="s">
        <v>1518</v>
      </c>
      <c r="S326" s="171">
        <v>0.1</v>
      </c>
      <c r="U326" s="167" t="s">
        <v>1561</v>
      </c>
      <c r="V326" s="188">
        <v>10821.37</v>
      </c>
      <c r="X326" s="167" t="s">
        <v>1559</v>
      </c>
      <c r="Y326" s="170">
        <v>630</v>
      </c>
    </row>
    <row r="327" spans="2:25" x14ac:dyDescent="0.2">
      <c r="B327" s="165" t="s">
        <v>1530</v>
      </c>
      <c r="C327" s="2">
        <v>748.5</v>
      </c>
      <c r="D327" s="2">
        <v>632.20000000000005</v>
      </c>
      <c r="E327" s="2">
        <v>617</v>
      </c>
      <c r="F327" s="2">
        <v>587.5</v>
      </c>
      <c r="G327" s="2">
        <v>463</v>
      </c>
      <c r="H327" s="166"/>
      <c r="I327" s="166"/>
      <c r="K327" s="163" t="s">
        <v>1542</v>
      </c>
      <c r="L327" s="164"/>
      <c r="M327" s="162"/>
      <c r="O327" s="167" t="s">
        <v>1557</v>
      </c>
      <c r="P327" s="170">
        <v>165.17</v>
      </c>
      <c r="R327" s="167" t="s">
        <v>1520</v>
      </c>
      <c r="S327" s="171">
        <v>1.48</v>
      </c>
      <c r="U327" s="167" t="s">
        <v>1562</v>
      </c>
      <c r="V327" s="188">
        <v>10821.37</v>
      </c>
      <c r="X327" s="167" t="s">
        <v>1560</v>
      </c>
      <c r="Y327" s="170">
        <v>788.91</v>
      </c>
    </row>
    <row r="328" spans="2:25" x14ac:dyDescent="0.2">
      <c r="B328" s="172" t="s">
        <v>1531</v>
      </c>
      <c r="C328" s="2">
        <v>659.5</v>
      </c>
      <c r="D328" s="2">
        <v>548.29999999999995</v>
      </c>
      <c r="E328" s="2">
        <v>528.9</v>
      </c>
      <c r="F328" s="2">
        <v>489.9</v>
      </c>
      <c r="G328" s="2">
        <v>394.8</v>
      </c>
      <c r="H328" s="166"/>
      <c r="I328" s="166"/>
      <c r="K328" s="167" t="s">
        <v>1543</v>
      </c>
      <c r="L328" s="188"/>
      <c r="M328" s="189"/>
      <c r="O328" s="167" t="s">
        <v>1559</v>
      </c>
      <c r="P328" s="170">
        <v>303.25</v>
      </c>
      <c r="R328" s="167" t="s">
        <v>1520</v>
      </c>
      <c r="S328" s="188">
        <v>0</v>
      </c>
      <c r="U328" s="167" t="s">
        <v>111</v>
      </c>
      <c r="V328" s="170">
        <v>300.77999999999997</v>
      </c>
      <c r="X328" s="163" t="s">
        <v>1563</v>
      </c>
      <c r="Y328" s="164"/>
    </row>
    <row r="329" spans="2:25" x14ac:dyDescent="0.2">
      <c r="B329" s="172" t="s">
        <v>1550</v>
      </c>
      <c r="C329" s="175">
        <v>8</v>
      </c>
      <c r="D329" s="175">
        <v>9.5</v>
      </c>
      <c r="E329" s="175">
        <v>12.8</v>
      </c>
      <c r="F329" s="175">
        <v>16.5</v>
      </c>
      <c r="G329" s="175">
        <v>7.1</v>
      </c>
      <c r="H329" s="176"/>
      <c r="I329" s="176"/>
      <c r="K329" s="173" t="s">
        <v>1544</v>
      </c>
      <c r="L329" s="171">
        <v>36.340000000000003</v>
      </c>
      <c r="M329" s="169"/>
      <c r="O329" s="167" t="s">
        <v>1560</v>
      </c>
      <c r="P329" s="170">
        <v>496.99</v>
      </c>
      <c r="R329" s="167" t="s">
        <v>1520</v>
      </c>
      <c r="S329" s="171">
        <v>0.1</v>
      </c>
      <c r="U329" s="167" t="s">
        <v>1401</v>
      </c>
      <c r="V329" s="188">
        <v>15127.03</v>
      </c>
      <c r="X329" s="167" t="s">
        <v>1564</v>
      </c>
      <c r="Y329" s="171">
        <v>9.26</v>
      </c>
    </row>
    <row r="330" spans="2:25" x14ac:dyDescent="0.2">
      <c r="B330" s="172" t="s">
        <v>1532</v>
      </c>
      <c r="C330" s="175">
        <v>89</v>
      </c>
      <c r="D330" s="175">
        <v>83.9</v>
      </c>
      <c r="E330" s="175">
        <v>88.1</v>
      </c>
      <c r="F330" s="175">
        <v>97.6</v>
      </c>
      <c r="G330" s="175">
        <v>68.2</v>
      </c>
      <c r="H330" s="176"/>
      <c r="I330" s="176"/>
      <c r="K330" s="173" t="s">
        <v>1545</v>
      </c>
      <c r="L330" s="171">
        <v>46</v>
      </c>
      <c r="M330" s="169"/>
      <c r="O330" s="163" t="s">
        <v>1563</v>
      </c>
      <c r="P330" s="164"/>
      <c r="R330" s="167" t="s">
        <v>1534</v>
      </c>
      <c r="S330" s="188">
        <v>0</v>
      </c>
      <c r="U330" s="167" t="s">
        <v>1565</v>
      </c>
      <c r="V330" s="170">
        <v>3521.37</v>
      </c>
      <c r="X330" s="173" t="s">
        <v>1566</v>
      </c>
      <c r="Y330" s="171">
        <v>7.95</v>
      </c>
    </row>
    <row r="331" spans="2:25" x14ac:dyDescent="0.2">
      <c r="B331" s="172" t="s">
        <v>1533</v>
      </c>
      <c r="C331" s="175">
        <v>89</v>
      </c>
      <c r="D331" s="175">
        <v>83.9</v>
      </c>
      <c r="E331" s="175">
        <v>88.1</v>
      </c>
      <c r="F331" s="175">
        <v>97.6</v>
      </c>
      <c r="G331" s="175">
        <v>68.2</v>
      </c>
      <c r="H331" s="176"/>
      <c r="I331" s="176"/>
      <c r="K331" s="173" t="s">
        <v>1546</v>
      </c>
      <c r="L331" s="171">
        <v>9.66</v>
      </c>
      <c r="M331" s="169"/>
      <c r="O331" s="167" t="s">
        <v>1564</v>
      </c>
      <c r="P331" s="188"/>
      <c r="R331" s="167" t="s">
        <v>1536</v>
      </c>
      <c r="S331" s="188">
        <v>0</v>
      </c>
      <c r="X331" s="173" t="s">
        <v>1567</v>
      </c>
      <c r="Y331" s="171">
        <v>1.31</v>
      </c>
    </row>
    <row r="332" spans="2:25" x14ac:dyDescent="0.2">
      <c r="B332" s="159" t="s">
        <v>1535</v>
      </c>
      <c r="C332" s="160"/>
      <c r="D332" s="160"/>
      <c r="E332" s="160"/>
      <c r="F332" s="160"/>
      <c r="G332" s="160"/>
      <c r="K332" s="163" t="s">
        <v>1555</v>
      </c>
      <c r="L332" s="164"/>
      <c r="M332" s="162"/>
      <c r="O332" s="173" t="s">
        <v>1566</v>
      </c>
      <c r="P332" s="171">
        <v>18.57</v>
      </c>
      <c r="R332" s="163" t="s">
        <v>1522</v>
      </c>
      <c r="S332" s="164"/>
      <c r="X332" s="163" t="s">
        <v>1338</v>
      </c>
      <c r="Y332" s="164"/>
    </row>
    <row r="333" spans="2:25" x14ac:dyDescent="0.2">
      <c r="B333" s="165" t="s">
        <v>1537</v>
      </c>
      <c r="C333" s="2">
        <v>748.5</v>
      </c>
      <c r="D333" s="2">
        <v>632.20000000000005</v>
      </c>
      <c r="E333" s="2">
        <v>617</v>
      </c>
      <c r="F333" s="2">
        <v>587.5</v>
      </c>
      <c r="G333" s="2">
        <v>463</v>
      </c>
      <c r="H333" s="166"/>
      <c r="I333" s="166"/>
      <c r="K333" s="167" t="s">
        <v>1558</v>
      </c>
      <c r="L333" s="170">
        <v>2302</v>
      </c>
      <c r="M333" s="174"/>
      <c r="O333" s="173" t="s">
        <v>1568</v>
      </c>
      <c r="P333" s="171">
        <v>0.22</v>
      </c>
      <c r="R333" s="167" t="s">
        <v>1524</v>
      </c>
      <c r="S333" s="170">
        <v>5323</v>
      </c>
      <c r="X333" s="167" t="s">
        <v>1569</v>
      </c>
      <c r="Y333" s="171">
        <v>7.95</v>
      </c>
    </row>
    <row r="334" spans="2:25" x14ac:dyDescent="0.2">
      <c r="B334" s="172" t="s">
        <v>1539</v>
      </c>
      <c r="C334" s="2">
        <v>659.5</v>
      </c>
      <c r="D334" s="2">
        <v>548.29999999999995</v>
      </c>
      <c r="E334" s="2">
        <v>528.9</v>
      </c>
      <c r="F334" s="2">
        <v>489.9</v>
      </c>
      <c r="G334" s="2">
        <v>394.8</v>
      </c>
      <c r="H334" s="166"/>
      <c r="I334" s="166"/>
      <c r="K334" s="163" t="s">
        <v>1548</v>
      </c>
      <c r="L334" s="164"/>
      <c r="M334" s="162"/>
      <c r="O334" s="173" t="s">
        <v>1567</v>
      </c>
      <c r="P334" s="171">
        <v>52.71</v>
      </c>
      <c r="R334" s="167" t="s">
        <v>1527</v>
      </c>
      <c r="S334" s="170">
        <v>7479</v>
      </c>
      <c r="X334" s="167" t="s">
        <v>1561</v>
      </c>
      <c r="Y334" s="170">
        <v>1587.37</v>
      </c>
    </row>
    <row r="335" spans="2:25" x14ac:dyDescent="0.2">
      <c r="B335" s="172" t="s">
        <v>1541</v>
      </c>
      <c r="C335" s="175">
        <v>89</v>
      </c>
      <c r="D335" s="175">
        <v>83.9</v>
      </c>
      <c r="E335" s="175">
        <v>88.1</v>
      </c>
      <c r="F335" s="175">
        <v>97.6</v>
      </c>
      <c r="G335" s="175">
        <v>68.2</v>
      </c>
      <c r="H335" s="176"/>
      <c r="I335" s="176"/>
      <c r="K335" s="167" t="s">
        <v>1551</v>
      </c>
      <c r="L335" s="170">
        <v>1026</v>
      </c>
      <c r="M335" s="174"/>
      <c r="O335" s="163" t="s">
        <v>1338</v>
      </c>
      <c r="P335" s="164"/>
      <c r="R335" s="167" t="s">
        <v>1528</v>
      </c>
      <c r="S335" s="170">
        <v>7771</v>
      </c>
      <c r="X335" s="167" t="s">
        <v>1562</v>
      </c>
      <c r="Y335" s="170">
        <v>1587.37</v>
      </c>
    </row>
    <row r="336" spans="2:25" x14ac:dyDescent="0.2">
      <c r="B336" s="159" t="s">
        <v>1542</v>
      </c>
      <c r="C336" s="160"/>
      <c r="D336" s="160"/>
      <c r="E336" s="160"/>
      <c r="F336" s="160"/>
      <c r="G336" s="160"/>
      <c r="K336" s="167" t="s">
        <v>1553</v>
      </c>
      <c r="L336" s="170">
        <v>1026</v>
      </c>
      <c r="M336" s="174"/>
      <c r="O336" s="167" t="s">
        <v>1569</v>
      </c>
      <c r="P336" s="171">
        <v>18.57</v>
      </c>
      <c r="R336" s="163" t="s">
        <v>1529</v>
      </c>
      <c r="S336" s="164"/>
      <c r="X336" s="167" t="s">
        <v>111</v>
      </c>
      <c r="Y336" s="171">
        <v>40.24</v>
      </c>
    </row>
    <row r="337" spans="2:25" x14ac:dyDescent="0.2">
      <c r="B337" s="165" t="s">
        <v>1543</v>
      </c>
      <c r="C337" s="177"/>
      <c r="D337" s="177"/>
      <c r="E337" s="177"/>
      <c r="F337" s="177"/>
      <c r="G337" s="177"/>
      <c r="H337" s="182"/>
      <c r="I337" s="182"/>
      <c r="K337" s="167" t="s">
        <v>1557</v>
      </c>
      <c r="L337" s="170">
        <v>1026</v>
      </c>
      <c r="M337" s="174"/>
      <c r="O337" s="167" t="s">
        <v>1561</v>
      </c>
      <c r="P337" s="170">
        <v>2568.6799999999998</v>
      </c>
      <c r="R337" s="167" t="s">
        <v>1530</v>
      </c>
      <c r="S337" s="170">
        <v>2156</v>
      </c>
      <c r="X337" s="167" t="s">
        <v>1401</v>
      </c>
      <c r="Y337" s="170">
        <v>1654.89</v>
      </c>
    </row>
    <row r="338" spans="2:25" x14ac:dyDescent="0.2">
      <c r="B338" s="172" t="s">
        <v>1544</v>
      </c>
      <c r="C338" s="175">
        <v>53.2</v>
      </c>
      <c r="D338" s="175">
        <v>42.9</v>
      </c>
      <c r="E338" s="175">
        <v>51.5</v>
      </c>
      <c r="F338" s="175">
        <v>31.8</v>
      </c>
      <c r="G338" s="175">
        <v>27.8</v>
      </c>
      <c r="H338" s="176"/>
      <c r="I338" s="176"/>
      <c r="K338" s="167" t="s">
        <v>1559</v>
      </c>
      <c r="L338" s="170">
        <v>1482</v>
      </c>
      <c r="M338" s="174"/>
      <c r="O338" s="167" t="s">
        <v>1562</v>
      </c>
      <c r="P338" s="170">
        <v>2568.6799999999998</v>
      </c>
      <c r="R338" s="173" t="s">
        <v>1531</v>
      </c>
      <c r="S338" s="170">
        <v>1964</v>
      </c>
      <c r="X338" s="167" t="s">
        <v>1565</v>
      </c>
      <c r="Y338" s="171">
        <v>73.94</v>
      </c>
    </row>
    <row r="339" spans="2:25" x14ac:dyDescent="0.2">
      <c r="B339" s="172" t="s">
        <v>1545</v>
      </c>
      <c r="C339" s="175">
        <v>60.2</v>
      </c>
      <c r="D339" s="175">
        <v>50.6</v>
      </c>
      <c r="E339" s="175">
        <v>60.6</v>
      </c>
      <c r="F339" s="175">
        <v>38.700000000000003</v>
      </c>
      <c r="G339" s="175">
        <v>32.5</v>
      </c>
      <c r="H339" s="176"/>
      <c r="I339" s="176"/>
      <c r="K339" s="167" t="s">
        <v>1560</v>
      </c>
      <c r="L339" s="170">
        <v>2119</v>
      </c>
      <c r="M339" s="174"/>
      <c r="O339" s="167" t="s">
        <v>111</v>
      </c>
      <c r="P339" s="171">
        <v>81.94</v>
      </c>
      <c r="R339" s="173" t="s">
        <v>1550</v>
      </c>
      <c r="S339" s="171">
        <v>78</v>
      </c>
    </row>
    <row r="340" spans="2:25" x14ac:dyDescent="0.2">
      <c r="B340" s="172" t="s">
        <v>1546</v>
      </c>
      <c r="C340" s="175">
        <v>7</v>
      </c>
      <c r="D340" s="175">
        <v>7.7</v>
      </c>
      <c r="E340" s="175">
        <v>9.1</v>
      </c>
      <c r="F340" s="175">
        <v>6.9</v>
      </c>
      <c r="G340" s="175">
        <v>4.7</v>
      </c>
      <c r="H340" s="176"/>
      <c r="I340" s="176"/>
      <c r="K340" s="163" t="s">
        <v>1563</v>
      </c>
      <c r="L340" s="164"/>
      <c r="M340" s="162"/>
      <c r="O340" s="167" t="s">
        <v>1401</v>
      </c>
      <c r="P340" s="170">
        <v>2848.54</v>
      </c>
      <c r="R340" s="173" t="s">
        <v>1532</v>
      </c>
      <c r="S340" s="170">
        <v>192</v>
      </c>
    </row>
    <row r="341" spans="2:25" x14ac:dyDescent="0.2">
      <c r="B341" s="159" t="s">
        <v>1547</v>
      </c>
      <c r="C341" s="160"/>
      <c r="D341" s="160"/>
      <c r="E341" s="160"/>
      <c r="F341" s="160"/>
      <c r="G341" s="160"/>
      <c r="K341" s="167" t="s">
        <v>1564</v>
      </c>
      <c r="L341" s="170">
        <v>178</v>
      </c>
      <c r="M341" s="174"/>
      <c r="O341" s="167" t="s">
        <v>1565</v>
      </c>
      <c r="P341" s="170">
        <v>280.64999999999998</v>
      </c>
      <c r="R341" s="163" t="s">
        <v>1535</v>
      </c>
      <c r="S341" s="164"/>
    </row>
    <row r="342" spans="2:25" x14ac:dyDescent="0.2">
      <c r="B342" s="165" t="s">
        <v>1547</v>
      </c>
      <c r="C342" s="177"/>
      <c r="D342" s="175">
        <v>4.3600000000000003</v>
      </c>
      <c r="E342" s="175">
        <v>3.83</v>
      </c>
      <c r="F342" s="175">
        <v>3.69</v>
      </c>
      <c r="G342" s="175">
        <v>3.46</v>
      </c>
      <c r="H342" s="176"/>
      <c r="I342" s="176"/>
      <c r="K342" s="173" t="s">
        <v>1566</v>
      </c>
      <c r="L342" s="171">
        <v>79</v>
      </c>
      <c r="M342" s="169"/>
      <c r="R342" s="167" t="s">
        <v>1537</v>
      </c>
      <c r="S342" s="170">
        <v>2156</v>
      </c>
    </row>
    <row r="343" spans="2:25" x14ac:dyDescent="0.2">
      <c r="B343" s="172" t="s">
        <v>1549</v>
      </c>
      <c r="C343" s="177"/>
      <c r="D343" s="175">
        <v>4.3600000000000003</v>
      </c>
      <c r="E343" s="175">
        <v>3.83</v>
      </c>
      <c r="F343" s="175">
        <v>3.69</v>
      </c>
      <c r="G343" s="175">
        <v>3.46</v>
      </c>
      <c r="H343" s="176"/>
      <c r="I343" s="176"/>
      <c r="K343" s="173" t="s">
        <v>1570</v>
      </c>
      <c r="L343" s="171">
        <v>21</v>
      </c>
      <c r="M343" s="169"/>
      <c r="R343" s="173" t="s">
        <v>1539</v>
      </c>
      <c r="S343" s="170">
        <v>1964</v>
      </c>
    </row>
    <row r="344" spans="2:25" x14ac:dyDescent="0.2">
      <c r="B344" s="172" t="s">
        <v>1552</v>
      </c>
      <c r="C344" s="177"/>
      <c r="D344" s="177"/>
      <c r="E344" s="177">
        <v>0</v>
      </c>
      <c r="F344" s="177"/>
      <c r="G344" s="177">
        <v>0</v>
      </c>
      <c r="H344" s="182"/>
      <c r="I344" s="182"/>
      <c r="K344" s="173" t="s">
        <v>1571</v>
      </c>
      <c r="L344" s="171">
        <v>18</v>
      </c>
      <c r="M344" s="169"/>
      <c r="R344" s="173" t="s">
        <v>1541</v>
      </c>
      <c r="S344" s="170">
        <v>192</v>
      </c>
    </row>
    <row r="345" spans="2:25" x14ac:dyDescent="0.2">
      <c r="B345" s="172" t="s">
        <v>1554</v>
      </c>
      <c r="C345" s="177"/>
      <c r="D345" s="177"/>
      <c r="E345" s="177">
        <v>0</v>
      </c>
      <c r="F345" s="177">
        <v>0</v>
      </c>
      <c r="G345" s="177">
        <v>0</v>
      </c>
      <c r="H345" s="182"/>
      <c r="I345" s="182"/>
      <c r="K345" s="173" t="s">
        <v>1572</v>
      </c>
      <c r="L345" s="171">
        <v>10</v>
      </c>
      <c r="M345" s="169"/>
      <c r="R345" s="163" t="s">
        <v>1542</v>
      </c>
      <c r="S345" s="164"/>
    </row>
    <row r="346" spans="2:25" x14ac:dyDescent="0.2">
      <c r="B346" s="159" t="s">
        <v>1555</v>
      </c>
      <c r="C346" s="160"/>
      <c r="D346" s="160"/>
      <c r="E346" s="160"/>
      <c r="F346" s="160"/>
      <c r="G346" s="160"/>
      <c r="K346" s="173" t="s">
        <v>1567</v>
      </c>
      <c r="L346" s="171">
        <v>50</v>
      </c>
      <c r="M346" s="169"/>
      <c r="R346" s="167" t="s">
        <v>1543</v>
      </c>
      <c r="S346" s="188"/>
    </row>
    <row r="347" spans="2:25" x14ac:dyDescent="0.2">
      <c r="B347" s="165" t="s">
        <v>1558</v>
      </c>
      <c r="C347" s="2">
        <v>2323.6</v>
      </c>
      <c r="D347" s="2">
        <v>2057.1999999999998</v>
      </c>
      <c r="E347" s="2">
        <v>2011.3</v>
      </c>
      <c r="F347" s="2">
        <v>1625.6</v>
      </c>
      <c r="G347" s="2">
        <v>1451.3</v>
      </c>
      <c r="H347" s="166"/>
      <c r="I347" s="166"/>
      <c r="K347" s="163" t="s">
        <v>1338</v>
      </c>
      <c r="L347" s="164"/>
      <c r="M347" s="162"/>
      <c r="R347" s="173" t="s">
        <v>1544</v>
      </c>
      <c r="S347" s="170">
        <v>125.13</v>
      </c>
    </row>
    <row r="348" spans="2:25" x14ac:dyDescent="0.2">
      <c r="B348" s="165" t="s">
        <v>1573</v>
      </c>
      <c r="C348" s="175">
        <v>8</v>
      </c>
      <c r="D348" s="175">
        <v>7.53</v>
      </c>
      <c r="E348" s="175">
        <v>7</v>
      </c>
      <c r="F348" s="175">
        <v>5.1100000000000003</v>
      </c>
      <c r="G348" s="175">
        <v>5.04</v>
      </c>
      <c r="H348" s="176"/>
      <c r="I348" s="176"/>
      <c r="K348" s="167" t="s">
        <v>1569</v>
      </c>
      <c r="L348" s="171">
        <v>79</v>
      </c>
      <c r="M348" s="169"/>
      <c r="R348" s="173" t="s">
        <v>1545</v>
      </c>
      <c r="S348" s="170">
        <v>143</v>
      </c>
    </row>
    <row r="349" spans="2:25" x14ac:dyDescent="0.2">
      <c r="B349" s="159" t="s">
        <v>1548</v>
      </c>
      <c r="C349" s="160"/>
      <c r="D349" s="160"/>
      <c r="E349" s="160"/>
      <c r="F349" s="160"/>
      <c r="G349" s="160"/>
      <c r="K349" s="167" t="s">
        <v>1561</v>
      </c>
      <c r="L349" s="170">
        <v>4261</v>
      </c>
      <c r="M349" s="174"/>
      <c r="R349" s="173" t="s">
        <v>1546</v>
      </c>
      <c r="S349" s="171">
        <v>17.88</v>
      </c>
    </row>
    <row r="350" spans="2:25" x14ac:dyDescent="0.2">
      <c r="B350" s="165" t="s">
        <v>1551</v>
      </c>
      <c r="C350" s="2">
        <v>1085.2</v>
      </c>
      <c r="D350" s="2">
        <v>1041.3</v>
      </c>
      <c r="E350" s="2">
        <v>984</v>
      </c>
      <c r="F350" s="2">
        <v>683.9</v>
      </c>
      <c r="G350" s="2">
        <v>754.7</v>
      </c>
      <c r="H350" s="166"/>
      <c r="I350" s="166"/>
      <c r="K350" s="167" t="s">
        <v>1562</v>
      </c>
      <c r="L350" s="170">
        <v>4261</v>
      </c>
      <c r="M350" s="174"/>
      <c r="R350" s="163" t="s">
        <v>1555</v>
      </c>
      <c r="S350" s="164"/>
    </row>
    <row r="351" spans="2:25" x14ac:dyDescent="0.2">
      <c r="B351" s="165" t="s">
        <v>1553</v>
      </c>
      <c r="C351" s="2">
        <v>1085.2</v>
      </c>
      <c r="D351" s="2">
        <v>1041.3</v>
      </c>
      <c r="E351" s="2">
        <v>984</v>
      </c>
      <c r="F351" s="2">
        <v>683.9</v>
      </c>
      <c r="G351" s="2">
        <v>754.7</v>
      </c>
      <c r="H351" s="166"/>
      <c r="I351" s="166"/>
      <c r="K351" s="167" t="s">
        <v>111</v>
      </c>
      <c r="L351" s="170">
        <v>230</v>
      </c>
      <c r="M351" s="174"/>
      <c r="R351" s="167" t="s">
        <v>1558</v>
      </c>
      <c r="S351" s="170">
        <v>7681</v>
      </c>
    </row>
    <row r="352" spans="2:25" x14ac:dyDescent="0.2">
      <c r="B352" s="165" t="s">
        <v>1557</v>
      </c>
      <c r="C352" s="2">
        <v>1083.8</v>
      </c>
      <c r="D352" s="2">
        <v>1040.0999999999999</v>
      </c>
      <c r="E352" s="2">
        <v>982.3</v>
      </c>
      <c r="F352" s="2">
        <v>683</v>
      </c>
      <c r="G352" s="2">
        <v>755.1</v>
      </c>
      <c r="H352" s="166"/>
      <c r="I352" s="166"/>
      <c r="K352" s="167" t="s">
        <v>1401</v>
      </c>
      <c r="L352" s="170">
        <v>4657</v>
      </c>
      <c r="M352" s="174"/>
      <c r="R352" s="163" t="s">
        <v>1548</v>
      </c>
      <c r="S352" s="164"/>
    </row>
    <row r="353" spans="2:19" x14ac:dyDescent="0.2">
      <c r="B353" s="165" t="s">
        <v>1559</v>
      </c>
      <c r="C353" s="2">
        <v>1619</v>
      </c>
      <c r="D353" s="2">
        <v>1463</v>
      </c>
      <c r="E353" s="2">
        <v>1463</v>
      </c>
      <c r="F353" s="2">
        <v>1045.3</v>
      </c>
      <c r="G353" s="2">
        <v>1102.5</v>
      </c>
      <c r="H353" s="166"/>
      <c r="I353" s="166"/>
      <c r="K353" s="167" t="s">
        <v>1565</v>
      </c>
      <c r="L353" s="170">
        <v>443</v>
      </c>
      <c r="M353" s="174"/>
      <c r="R353" s="167" t="s">
        <v>1551</v>
      </c>
      <c r="S353" s="170">
        <v>3881</v>
      </c>
    </row>
    <row r="354" spans="2:19" x14ac:dyDescent="0.2">
      <c r="B354" s="165" t="s">
        <v>1560</v>
      </c>
      <c r="C354" s="2">
        <v>2367.5</v>
      </c>
      <c r="D354" s="2">
        <v>2095.1999999999998</v>
      </c>
      <c r="E354" s="2">
        <v>2080</v>
      </c>
      <c r="F354" s="2">
        <v>1632.8</v>
      </c>
      <c r="G354" s="2">
        <v>1565.5</v>
      </c>
      <c r="H354" s="166"/>
      <c r="I354" s="166"/>
      <c r="R354" s="167" t="s">
        <v>1553</v>
      </c>
      <c r="S354" s="170">
        <v>3907</v>
      </c>
    </row>
    <row r="355" spans="2:19" x14ac:dyDescent="0.2">
      <c r="B355" s="159" t="s">
        <v>1563</v>
      </c>
      <c r="C355" s="160"/>
      <c r="D355" s="160"/>
      <c r="E355" s="160"/>
      <c r="F355" s="160"/>
      <c r="G355" s="160"/>
      <c r="R355" s="167" t="s">
        <v>1557</v>
      </c>
      <c r="S355" s="170">
        <v>3870</v>
      </c>
    </row>
    <row r="356" spans="2:19" x14ac:dyDescent="0.2">
      <c r="B356" s="165" t="s">
        <v>1564</v>
      </c>
      <c r="C356" s="2">
        <v>149.5</v>
      </c>
      <c r="D356" s="2">
        <v>150.5</v>
      </c>
      <c r="E356" s="2">
        <v>161.69999999999999</v>
      </c>
      <c r="F356" s="2">
        <v>161.19999999999999</v>
      </c>
      <c r="G356" s="2">
        <v>113.5</v>
      </c>
      <c r="H356" s="166"/>
      <c r="I356" s="166"/>
      <c r="R356" s="167" t="s">
        <v>1559</v>
      </c>
      <c r="S356" s="170">
        <v>5586</v>
      </c>
    </row>
    <row r="357" spans="2:19" x14ac:dyDescent="0.2">
      <c r="B357" s="172" t="s">
        <v>1566</v>
      </c>
      <c r="C357" s="175">
        <v>82</v>
      </c>
      <c r="D357" s="175">
        <v>75.599999999999994</v>
      </c>
      <c r="E357" s="175">
        <v>77.5</v>
      </c>
      <c r="F357" s="175">
        <v>85.6</v>
      </c>
      <c r="G357" s="175">
        <v>71</v>
      </c>
      <c r="H357" s="176"/>
      <c r="I357" s="176"/>
      <c r="K357" s="365">
        <f>C353-C350</f>
        <v>533.79999999999995</v>
      </c>
      <c r="L357" s="365">
        <f>D353-D350</f>
        <v>421.70000000000005</v>
      </c>
      <c r="M357" s="365">
        <f>E353-E350</f>
        <v>479</v>
      </c>
      <c r="N357" s="365">
        <f>F353-F350</f>
        <v>361.4</v>
      </c>
      <c r="O357" s="365">
        <f>G353-G350</f>
        <v>347.79999999999995</v>
      </c>
      <c r="R357" s="167" t="s">
        <v>1560</v>
      </c>
      <c r="S357" s="170">
        <v>7742</v>
      </c>
    </row>
    <row r="358" spans="2:19" x14ac:dyDescent="0.2">
      <c r="B358" s="172" t="s">
        <v>1570</v>
      </c>
      <c r="C358" s="175">
        <v>8</v>
      </c>
      <c r="D358" s="175">
        <v>9.5</v>
      </c>
      <c r="E358" s="175">
        <v>12.8</v>
      </c>
      <c r="F358" s="175">
        <v>16.5</v>
      </c>
      <c r="G358" s="175">
        <v>7.1</v>
      </c>
      <c r="H358" s="176"/>
      <c r="I358" s="176"/>
      <c r="K358">
        <f>K357/C353</f>
        <v>0.32970969734403949</v>
      </c>
      <c r="L358">
        <f>L357/D353</f>
        <v>0.28824333561175669</v>
      </c>
      <c r="M358">
        <f>M357/E353</f>
        <v>0.32740943267259059</v>
      </c>
      <c r="N358">
        <f>N357/F353</f>
        <v>0.34573806562709269</v>
      </c>
      <c r="O358">
        <f>O357/G353</f>
        <v>0.31546485260770973</v>
      </c>
      <c r="R358" s="163" t="s">
        <v>1563</v>
      </c>
      <c r="S358" s="164"/>
    </row>
    <row r="359" spans="2:19" x14ac:dyDescent="0.2">
      <c r="B359" s="172" t="s">
        <v>1568</v>
      </c>
      <c r="C359" s="175">
        <v>19.2</v>
      </c>
      <c r="D359" s="175">
        <v>20.6</v>
      </c>
      <c r="E359" s="175">
        <v>23.5</v>
      </c>
      <c r="F359" s="175">
        <v>14.4</v>
      </c>
      <c r="G359" s="175">
        <v>10.6</v>
      </c>
      <c r="H359" s="176"/>
      <c r="I359" s="176"/>
      <c r="R359" s="167" t="s">
        <v>1564</v>
      </c>
      <c r="S359" s="188"/>
    </row>
    <row r="360" spans="2:19" x14ac:dyDescent="0.2">
      <c r="B360" s="172" t="s">
        <v>1572</v>
      </c>
      <c r="C360" s="175">
        <v>0.5</v>
      </c>
      <c r="D360" s="175">
        <v>0.7</v>
      </c>
      <c r="E360" s="175">
        <v>0.9</v>
      </c>
      <c r="F360" s="175">
        <v>1.2</v>
      </c>
      <c r="G360" s="175">
        <v>0.6</v>
      </c>
      <c r="H360" s="176"/>
      <c r="I360" s="176"/>
      <c r="R360" s="173" t="s">
        <v>1570</v>
      </c>
      <c r="S360" s="171">
        <v>78</v>
      </c>
    </row>
    <row r="361" spans="2:19" x14ac:dyDescent="0.2">
      <c r="B361" s="172" t="s">
        <v>1567</v>
      </c>
      <c r="C361" s="175">
        <v>47.5</v>
      </c>
      <c r="D361" s="175">
        <v>46.9</v>
      </c>
      <c r="E361" s="175">
        <v>50.4</v>
      </c>
      <c r="F361" s="175">
        <v>46.4</v>
      </c>
      <c r="G361" s="175">
        <v>27.3</v>
      </c>
      <c r="H361" s="176"/>
      <c r="I361" s="176"/>
      <c r="R361" s="173" t="s">
        <v>1574</v>
      </c>
      <c r="S361" s="171">
        <v>78</v>
      </c>
    </row>
    <row r="362" spans="2:19" x14ac:dyDescent="0.2">
      <c r="B362" s="172" t="s">
        <v>1575</v>
      </c>
      <c r="C362" s="175">
        <v>7.7</v>
      </c>
      <c r="D362" s="175">
        <v>2.8</v>
      </c>
      <c r="E362" s="175">
        <v>3.4</v>
      </c>
      <c r="F362" s="175">
        <v>2.9</v>
      </c>
      <c r="G362" s="175">
        <v>3.1</v>
      </c>
      <c r="H362" s="176"/>
      <c r="I362" s="176"/>
      <c r="R362" s="173" t="s">
        <v>1572</v>
      </c>
      <c r="S362" s="171">
        <v>22</v>
      </c>
    </row>
    <row r="363" spans="2:19" x14ac:dyDescent="0.2">
      <c r="B363" s="159" t="s">
        <v>1338</v>
      </c>
      <c r="C363" s="160"/>
      <c r="D363" s="160"/>
      <c r="E363" s="160"/>
      <c r="F363" s="160"/>
      <c r="G363" s="160"/>
      <c r="R363" s="173" t="s">
        <v>1567</v>
      </c>
      <c r="S363" s="170">
        <v>319</v>
      </c>
    </row>
    <row r="364" spans="2:19" x14ac:dyDescent="0.2">
      <c r="B364" s="165" t="s">
        <v>1569</v>
      </c>
      <c r="C364" s="175">
        <v>82</v>
      </c>
      <c r="D364" s="175">
        <v>75.599999999999994</v>
      </c>
      <c r="E364" s="175">
        <v>77.5</v>
      </c>
      <c r="F364" s="175">
        <v>85.6</v>
      </c>
      <c r="G364" s="175">
        <v>71</v>
      </c>
      <c r="H364" s="176"/>
      <c r="I364" s="176"/>
      <c r="R364" s="163" t="s">
        <v>1338</v>
      </c>
      <c r="S364" s="164"/>
    </row>
    <row r="365" spans="2:19" x14ac:dyDescent="0.2">
      <c r="B365" s="165" t="s">
        <v>1561</v>
      </c>
      <c r="C365" s="2">
        <v>5766.5</v>
      </c>
      <c r="D365" s="2">
        <v>5418.1</v>
      </c>
      <c r="E365" s="2">
        <v>5833.4</v>
      </c>
      <c r="F365" s="2">
        <v>5757.5</v>
      </c>
      <c r="G365" s="2">
        <v>4178.8</v>
      </c>
      <c r="H365" s="166"/>
      <c r="I365" s="166"/>
      <c r="R365" s="167" t="s">
        <v>1569</v>
      </c>
      <c r="S365" s="170">
        <v>292</v>
      </c>
    </row>
    <row r="366" spans="2:19" x14ac:dyDescent="0.2">
      <c r="B366" s="165" t="s">
        <v>1562</v>
      </c>
      <c r="C366" s="2">
        <v>5766.5</v>
      </c>
      <c r="D366" s="2">
        <v>5418.1</v>
      </c>
      <c r="E366" s="2">
        <v>5833.4</v>
      </c>
      <c r="F366" s="2">
        <v>5757.5</v>
      </c>
      <c r="G366" s="2">
        <v>4178.8</v>
      </c>
      <c r="H366" s="166"/>
      <c r="I366" s="166"/>
      <c r="R366" s="167" t="s">
        <v>1561</v>
      </c>
      <c r="S366" s="188">
        <v>23919</v>
      </c>
    </row>
    <row r="367" spans="2:19" x14ac:dyDescent="0.2">
      <c r="B367" s="165" t="s">
        <v>111</v>
      </c>
      <c r="C367" s="2">
        <v>239.7</v>
      </c>
      <c r="D367" s="2">
        <v>191.2</v>
      </c>
      <c r="E367" s="2">
        <v>196.1</v>
      </c>
      <c r="F367" s="2">
        <v>169.2</v>
      </c>
      <c r="G367" s="2">
        <v>149.30000000000001</v>
      </c>
      <c r="H367" s="166"/>
      <c r="I367" s="166"/>
      <c r="R367" s="167" t="s">
        <v>1562</v>
      </c>
      <c r="S367" s="188">
        <v>23919</v>
      </c>
    </row>
    <row r="368" spans="2:19" x14ac:dyDescent="0.2">
      <c r="B368" s="165" t="s">
        <v>1401</v>
      </c>
      <c r="C368" s="2">
        <v>6413.7</v>
      </c>
      <c r="D368" s="2">
        <v>6021.6</v>
      </c>
      <c r="E368" s="2">
        <v>6459.7</v>
      </c>
      <c r="F368" s="2">
        <v>6285.7</v>
      </c>
      <c r="G368" s="2">
        <v>4580.5</v>
      </c>
      <c r="H368" s="166"/>
      <c r="I368" s="166"/>
      <c r="R368" s="167" t="s">
        <v>111</v>
      </c>
      <c r="S368" s="170">
        <v>810</v>
      </c>
    </row>
    <row r="369" spans="2:25" x14ac:dyDescent="0.2">
      <c r="B369" s="165" t="s">
        <v>1565</v>
      </c>
      <c r="C369" s="2">
        <v>564.1</v>
      </c>
      <c r="D369" s="2">
        <v>531.1</v>
      </c>
      <c r="E369" s="2">
        <v>542.79999999999995</v>
      </c>
      <c r="F369" s="2">
        <v>515.1</v>
      </c>
      <c r="G369" s="2">
        <v>417.6</v>
      </c>
      <c r="H369" s="166"/>
      <c r="I369" s="166"/>
      <c r="R369" s="167" t="s">
        <v>1401</v>
      </c>
      <c r="S369" s="188">
        <v>32124</v>
      </c>
    </row>
    <row r="370" spans="2:25" x14ac:dyDescent="0.2">
      <c r="B370" s="204"/>
      <c r="C370" s="204"/>
      <c r="R370" s="167" t="s">
        <v>1565</v>
      </c>
      <c r="S370" s="170">
        <v>8205</v>
      </c>
    </row>
    <row r="371" spans="2:25" x14ac:dyDescent="0.2">
      <c r="B371" s="204"/>
      <c r="C371" s="204"/>
    </row>
    <row r="372" spans="2:25" x14ac:dyDescent="0.2">
      <c r="B372" s="147" t="s">
        <v>1576</v>
      </c>
      <c r="C372" s="147"/>
      <c r="D372" s="147"/>
      <c r="E372" s="147"/>
      <c r="F372" s="147"/>
      <c r="G372" s="147"/>
      <c r="H372" s="205"/>
      <c r="I372" s="205"/>
      <c r="K372" s="147" t="s">
        <v>1576</v>
      </c>
      <c r="L372" s="147"/>
      <c r="M372" s="153"/>
      <c r="O372" s="147" t="s">
        <v>1576</v>
      </c>
      <c r="P372" s="147"/>
      <c r="R372" s="147" t="s">
        <v>1576</v>
      </c>
      <c r="S372" s="147" t="s">
        <v>1577</v>
      </c>
      <c r="U372" s="147" t="s">
        <v>1576</v>
      </c>
      <c r="V372" s="147"/>
      <c r="X372" s="147" t="s">
        <v>1576</v>
      </c>
      <c r="Y372" s="147"/>
    </row>
    <row r="373" spans="2:25" x14ac:dyDescent="0.2">
      <c r="B373" s="147" t="s">
        <v>1140</v>
      </c>
      <c r="C373" s="158" t="s">
        <v>1141</v>
      </c>
      <c r="D373" s="158" t="s">
        <v>1142</v>
      </c>
      <c r="E373" s="158" t="s">
        <v>1143</v>
      </c>
      <c r="F373" s="158" t="s">
        <v>1144</v>
      </c>
      <c r="G373" s="158" t="s">
        <v>1145</v>
      </c>
      <c r="H373" s="206"/>
      <c r="I373" s="206"/>
      <c r="K373" s="147" t="s">
        <v>1140</v>
      </c>
      <c r="L373" s="158" t="s">
        <v>1141</v>
      </c>
      <c r="M373" s="157"/>
      <c r="O373" s="147" t="s">
        <v>1140</v>
      </c>
      <c r="P373" s="158" t="s">
        <v>1141</v>
      </c>
      <c r="R373" s="147" t="s">
        <v>1140</v>
      </c>
      <c r="S373" s="158" t="s">
        <v>1141</v>
      </c>
      <c r="U373" s="147" t="s">
        <v>1140</v>
      </c>
      <c r="V373" s="158" t="s">
        <v>1141</v>
      </c>
      <c r="X373" s="147" t="s">
        <v>1140</v>
      </c>
      <c r="Y373" s="158" t="s">
        <v>1146</v>
      </c>
    </row>
    <row r="374" spans="2:25" x14ac:dyDescent="0.2">
      <c r="B374" s="163" t="s">
        <v>1578</v>
      </c>
      <c r="C374" s="164"/>
      <c r="D374" s="164"/>
      <c r="E374" s="164"/>
      <c r="F374" s="164"/>
      <c r="G374" s="164"/>
      <c r="K374" s="163" t="s">
        <v>1578</v>
      </c>
      <c r="L374" s="164"/>
      <c r="M374" s="162"/>
      <c r="O374" s="163" t="s">
        <v>1578</v>
      </c>
      <c r="P374" s="164"/>
      <c r="R374" s="163" t="s">
        <v>1578</v>
      </c>
      <c r="S374" s="164"/>
      <c r="U374" s="163" t="s">
        <v>1578</v>
      </c>
      <c r="V374" s="164"/>
      <c r="X374" s="163" t="s">
        <v>1578</v>
      </c>
      <c r="Y374" s="164"/>
    </row>
    <row r="375" spans="2:25" x14ac:dyDescent="0.2">
      <c r="B375" s="167" t="s">
        <v>1579</v>
      </c>
      <c r="C375" s="170">
        <v>1078.0999999999999</v>
      </c>
      <c r="D375" s="170">
        <v>913.1</v>
      </c>
      <c r="E375" s="170">
        <v>934.9</v>
      </c>
      <c r="F375" s="170">
        <v>576.5</v>
      </c>
      <c r="G375" s="170">
        <v>670.4</v>
      </c>
      <c r="H375" s="174"/>
      <c r="I375" s="174"/>
      <c r="K375" s="167" t="s">
        <v>1579</v>
      </c>
      <c r="L375" s="170">
        <v>1137</v>
      </c>
      <c r="M375" s="174"/>
      <c r="O375" s="167" t="s">
        <v>1579</v>
      </c>
      <c r="P375" s="170">
        <v>157.07</v>
      </c>
      <c r="R375" s="167" t="s">
        <v>1579</v>
      </c>
      <c r="S375" s="170">
        <v>3790</v>
      </c>
      <c r="U375" s="167" t="s">
        <v>1579</v>
      </c>
      <c r="V375" s="170">
        <v>969.72</v>
      </c>
      <c r="X375" s="167" t="s">
        <v>1579</v>
      </c>
      <c r="Y375" s="170">
        <v>463.42</v>
      </c>
    </row>
    <row r="376" spans="2:25" x14ac:dyDescent="0.2">
      <c r="B376" s="167" t="s">
        <v>1580</v>
      </c>
      <c r="C376" s="170">
        <v>824.9</v>
      </c>
      <c r="D376" s="170">
        <v>753.2</v>
      </c>
      <c r="E376" s="170">
        <v>635.29999999999995</v>
      </c>
      <c r="F376" s="170">
        <v>796</v>
      </c>
      <c r="G376" s="170">
        <v>485.4</v>
      </c>
      <c r="H376" s="174"/>
      <c r="I376" s="174"/>
      <c r="K376" s="167" t="s">
        <v>1580</v>
      </c>
      <c r="L376" s="170">
        <v>740</v>
      </c>
      <c r="M376" s="174"/>
      <c r="O376" s="167" t="s">
        <v>1580</v>
      </c>
      <c r="P376" s="170">
        <v>212.22</v>
      </c>
      <c r="R376" s="167" t="s">
        <v>1580</v>
      </c>
      <c r="S376" s="170">
        <v>2549</v>
      </c>
      <c r="U376" s="167" t="s">
        <v>1580</v>
      </c>
      <c r="V376" s="170">
        <v>1788.14</v>
      </c>
      <c r="X376" s="167" t="s">
        <v>1580</v>
      </c>
      <c r="Y376" s="170">
        <v>146.38999999999999</v>
      </c>
    </row>
    <row r="377" spans="2:25" x14ac:dyDescent="0.2">
      <c r="B377" s="173" t="s">
        <v>1581</v>
      </c>
      <c r="C377" s="171">
        <v>39.6</v>
      </c>
      <c r="D377" s="171">
        <v>42.7</v>
      </c>
      <c r="E377" s="171">
        <v>46.5</v>
      </c>
      <c r="F377" s="171">
        <v>52.5</v>
      </c>
      <c r="G377" s="171">
        <v>41</v>
      </c>
      <c r="H377" s="169"/>
      <c r="I377" s="169"/>
      <c r="K377" s="173" t="s">
        <v>1581</v>
      </c>
      <c r="L377" s="171">
        <v>13</v>
      </c>
      <c r="M377" s="169"/>
      <c r="O377" s="173" t="s">
        <v>1582</v>
      </c>
      <c r="P377" s="195">
        <v>-0.26</v>
      </c>
      <c r="R377" s="173" t="s">
        <v>1582</v>
      </c>
      <c r="S377" s="195">
        <v>-26</v>
      </c>
      <c r="U377" s="173" t="s">
        <v>1583</v>
      </c>
      <c r="V377" s="180">
        <v>-565.38</v>
      </c>
      <c r="X377" s="173" t="s">
        <v>1582</v>
      </c>
      <c r="Y377" s="195">
        <v>-26.4</v>
      </c>
    </row>
    <row r="378" spans="2:25" x14ac:dyDescent="0.2">
      <c r="B378" s="173" t="s">
        <v>1584</v>
      </c>
      <c r="C378" s="170">
        <v>748.5</v>
      </c>
      <c r="D378" s="170">
        <v>718.8</v>
      </c>
      <c r="E378" s="170">
        <v>645.29999999999995</v>
      </c>
      <c r="F378" s="170">
        <v>655.4</v>
      </c>
      <c r="G378" s="170">
        <v>463</v>
      </c>
      <c r="H378" s="174"/>
      <c r="I378" s="174"/>
      <c r="K378" s="173" t="s">
        <v>1584</v>
      </c>
      <c r="L378" s="170">
        <v>637</v>
      </c>
      <c r="M378" s="174"/>
      <c r="O378" s="173" t="s">
        <v>1581</v>
      </c>
      <c r="P378" s="171">
        <v>6.57</v>
      </c>
      <c r="R378" s="173" t="s">
        <v>1581</v>
      </c>
      <c r="S378" s="170">
        <v>316</v>
      </c>
      <c r="U378" s="173" t="s">
        <v>1582</v>
      </c>
      <c r="V378" s="195">
        <v>-89.67</v>
      </c>
      <c r="X378" s="173" t="s">
        <v>1584</v>
      </c>
      <c r="Y378" s="170">
        <v>158.9</v>
      </c>
    </row>
    <row r="379" spans="2:25" x14ac:dyDescent="0.2">
      <c r="B379" s="173" t="s">
        <v>1585</v>
      </c>
      <c r="C379" s="170">
        <v>748.5</v>
      </c>
      <c r="D379" s="170">
        <v>632.20000000000005</v>
      </c>
      <c r="E379" s="170">
        <v>617</v>
      </c>
      <c r="F379" s="170">
        <v>587.5</v>
      </c>
      <c r="G379" s="170">
        <v>463</v>
      </c>
      <c r="H379" s="174"/>
      <c r="I379" s="174"/>
      <c r="K379" s="173" t="s">
        <v>1585</v>
      </c>
      <c r="L379" s="170">
        <v>637</v>
      </c>
      <c r="M379" s="174"/>
      <c r="O379" s="173" t="s">
        <v>1584</v>
      </c>
      <c r="P379" s="170">
        <v>193.74</v>
      </c>
      <c r="R379" s="173" t="s">
        <v>1584</v>
      </c>
      <c r="S379" s="170">
        <v>2196</v>
      </c>
      <c r="U379" s="173" t="s">
        <v>1586</v>
      </c>
      <c r="V379" s="170">
        <v>385.01</v>
      </c>
      <c r="X379" s="173" t="s">
        <v>1585</v>
      </c>
      <c r="Y379" s="170">
        <v>158.9</v>
      </c>
    </row>
    <row r="380" spans="2:25" x14ac:dyDescent="0.2">
      <c r="B380" s="173" t="s">
        <v>1587</v>
      </c>
      <c r="C380" s="188">
        <v>0</v>
      </c>
      <c r="D380" s="171">
        <v>86.6</v>
      </c>
      <c r="E380" s="171">
        <v>28.3</v>
      </c>
      <c r="F380" s="171">
        <v>67.900000000000006</v>
      </c>
      <c r="G380" s="188"/>
      <c r="H380" s="189"/>
      <c r="I380" s="189"/>
      <c r="K380" s="173" t="s">
        <v>1588</v>
      </c>
      <c r="L380" s="171">
        <v>69</v>
      </c>
      <c r="M380" s="169"/>
      <c r="O380" s="173" t="s">
        <v>1585</v>
      </c>
      <c r="P380" s="170">
        <v>193.74</v>
      </c>
      <c r="R380" s="173" t="s">
        <v>1585</v>
      </c>
      <c r="S380" s="170">
        <v>2156</v>
      </c>
      <c r="U380" s="173" t="s">
        <v>1589</v>
      </c>
      <c r="V380" s="170">
        <v>406.09</v>
      </c>
      <c r="X380" s="173" t="s">
        <v>1588</v>
      </c>
      <c r="Y380" s="195">
        <v>-4.8600000000000003</v>
      </c>
    </row>
    <row r="381" spans="2:25" x14ac:dyDescent="0.2">
      <c r="B381" s="173" t="s">
        <v>1588</v>
      </c>
      <c r="C381" s="171">
        <v>26.1</v>
      </c>
      <c r="D381" s="195">
        <v>-9.4</v>
      </c>
      <c r="E381" s="195">
        <v>-43.3</v>
      </c>
      <c r="F381" s="171">
        <v>57.7</v>
      </c>
      <c r="G381" s="171">
        <v>66.8</v>
      </c>
      <c r="H381" s="169"/>
      <c r="I381" s="169"/>
      <c r="K381" s="173" t="s">
        <v>1590</v>
      </c>
      <c r="L381" s="195">
        <v>-25</v>
      </c>
      <c r="M381" s="197"/>
      <c r="O381" s="173" t="s">
        <v>1588</v>
      </c>
      <c r="P381" s="171">
        <v>25.49</v>
      </c>
      <c r="R381" s="173" t="s">
        <v>1587</v>
      </c>
      <c r="S381" s="171">
        <v>40</v>
      </c>
      <c r="U381" s="173" t="s">
        <v>1581</v>
      </c>
      <c r="V381" s="180">
        <v>-231.8</v>
      </c>
      <c r="X381" s="173" t="s">
        <v>1591</v>
      </c>
      <c r="Y381" s="171">
        <v>18.739999999999998</v>
      </c>
    </row>
    <row r="382" spans="2:25" x14ac:dyDescent="0.2">
      <c r="B382" s="173" t="s">
        <v>1590</v>
      </c>
      <c r="C382" s="195">
        <v>-52.4</v>
      </c>
      <c r="D382" s="195">
        <v>-52.3</v>
      </c>
      <c r="E382" s="195">
        <v>-76.400000000000006</v>
      </c>
      <c r="F382" s="195">
        <v>-10.7</v>
      </c>
      <c r="G382" s="180">
        <v>-120.1</v>
      </c>
      <c r="H382" s="181"/>
      <c r="I382" s="181"/>
      <c r="K382" s="173" t="s">
        <v>1591</v>
      </c>
      <c r="L382" s="171">
        <v>46</v>
      </c>
      <c r="M382" s="169"/>
      <c r="O382" s="173" t="s">
        <v>1590</v>
      </c>
      <c r="P382" s="195">
        <v>-24.72</v>
      </c>
      <c r="R382" s="173" t="s">
        <v>1588</v>
      </c>
      <c r="S382" s="170">
        <v>167</v>
      </c>
      <c r="U382" s="173" t="s">
        <v>1584</v>
      </c>
      <c r="V382" s="170">
        <v>1828.61</v>
      </c>
      <c r="X382" s="167" t="s">
        <v>1592</v>
      </c>
      <c r="Y382" s="170">
        <v>609.80999999999995</v>
      </c>
    </row>
    <row r="383" spans="2:25" x14ac:dyDescent="0.2">
      <c r="B383" s="173" t="s">
        <v>1591</v>
      </c>
      <c r="C383" s="171">
        <v>63.1</v>
      </c>
      <c r="D383" s="171">
        <v>53.4</v>
      </c>
      <c r="E383" s="171">
        <v>63.2</v>
      </c>
      <c r="F383" s="171">
        <v>41.1</v>
      </c>
      <c r="G383" s="171">
        <v>34.700000000000003</v>
      </c>
      <c r="H383" s="169"/>
      <c r="I383" s="169"/>
      <c r="K383" s="167" t="s">
        <v>1592</v>
      </c>
      <c r="L383" s="170">
        <v>1877</v>
      </c>
      <c r="M383" s="174"/>
      <c r="O383" s="173" t="s">
        <v>1591</v>
      </c>
      <c r="P383" s="171">
        <v>11.39</v>
      </c>
      <c r="R383" s="173" t="s">
        <v>1590</v>
      </c>
      <c r="S383" s="180">
        <v>-247</v>
      </c>
      <c r="U383" s="173" t="s">
        <v>1585</v>
      </c>
      <c r="V383" s="170">
        <v>1290.93</v>
      </c>
      <c r="X383" s="167" t="s">
        <v>1593</v>
      </c>
      <c r="Y383" s="195">
        <v>-61.26</v>
      </c>
    </row>
    <row r="384" spans="2:25" x14ac:dyDescent="0.2">
      <c r="B384" s="167" t="s">
        <v>1592</v>
      </c>
      <c r="C384" s="170">
        <v>1903</v>
      </c>
      <c r="D384" s="170">
        <v>1666.3</v>
      </c>
      <c r="E384" s="170">
        <v>1570.2</v>
      </c>
      <c r="F384" s="170">
        <v>1372.5</v>
      </c>
      <c r="G384" s="170">
        <v>1155.8</v>
      </c>
      <c r="H384" s="174"/>
      <c r="I384" s="174"/>
      <c r="K384" s="167" t="s">
        <v>1593</v>
      </c>
      <c r="L384" s="195">
        <v>-92</v>
      </c>
      <c r="M384" s="197"/>
      <c r="O384" s="167" t="s">
        <v>1592</v>
      </c>
      <c r="P384" s="170">
        <v>369.3</v>
      </c>
      <c r="R384" s="173" t="s">
        <v>1591</v>
      </c>
      <c r="S384" s="170">
        <v>143</v>
      </c>
      <c r="U384" s="173" t="s">
        <v>1587</v>
      </c>
      <c r="V384" s="170">
        <v>537.66999999999996</v>
      </c>
      <c r="X384" s="173" t="s">
        <v>1594</v>
      </c>
      <c r="Y384" s="195">
        <v>-7.9</v>
      </c>
    </row>
    <row r="385" spans="2:25" x14ac:dyDescent="0.2">
      <c r="B385" s="167" t="s">
        <v>1593</v>
      </c>
      <c r="C385" s="195">
        <v>-90</v>
      </c>
      <c r="D385" s="180">
        <v>-256.7</v>
      </c>
      <c r="E385" s="195">
        <v>-33.4</v>
      </c>
      <c r="F385" s="180">
        <v>-224.3</v>
      </c>
      <c r="G385" s="180">
        <v>-143.9</v>
      </c>
      <c r="H385" s="181"/>
      <c r="I385" s="181"/>
      <c r="K385" s="173" t="s">
        <v>1594</v>
      </c>
      <c r="L385" s="195">
        <v>-51</v>
      </c>
      <c r="M385" s="197"/>
      <c r="O385" s="167" t="s">
        <v>1593</v>
      </c>
      <c r="P385" s="195">
        <v>-90.82</v>
      </c>
      <c r="R385" s="167" t="s">
        <v>1592</v>
      </c>
      <c r="S385" s="170">
        <v>6339</v>
      </c>
      <c r="U385" s="173" t="s">
        <v>1590</v>
      </c>
      <c r="V385" s="195">
        <v>-75.59</v>
      </c>
      <c r="X385" s="173" t="s">
        <v>1595</v>
      </c>
      <c r="Y385" s="195">
        <v>-36.83</v>
      </c>
    </row>
    <row r="386" spans="2:25" x14ac:dyDescent="0.2">
      <c r="B386" s="173" t="s">
        <v>1594</v>
      </c>
      <c r="C386" s="171">
        <v>3.8</v>
      </c>
      <c r="D386" s="171">
        <v>63.2</v>
      </c>
      <c r="E386" s="171">
        <v>28.2</v>
      </c>
      <c r="F386" s="195">
        <v>-53.3</v>
      </c>
      <c r="G386" s="195">
        <v>-42</v>
      </c>
      <c r="H386" s="197"/>
      <c r="I386" s="197"/>
      <c r="K386" s="173" t="s">
        <v>1595</v>
      </c>
      <c r="L386" s="195">
        <v>-30</v>
      </c>
      <c r="M386" s="197"/>
      <c r="O386" s="173" t="s">
        <v>1594</v>
      </c>
      <c r="P386" s="195">
        <v>-44.04</v>
      </c>
      <c r="R386" s="167" t="s">
        <v>1593</v>
      </c>
      <c r="S386" s="180">
        <v>-714</v>
      </c>
      <c r="U386" s="173" t="s">
        <v>1596</v>
      </c>
      <c r="V386" s="170">
        <v>130.88</v>
      </c>
      <c r="X386" s="173" t="s">
        <v>1597</v>
      </c>
      <c r="Y386" s="195">
        <v>-16.75</v>
      </c>
    </row>
    <row r="387" spans="2:25" x14ac:dyDescent="0.2">
      <c r="B387" s="173" t="s">
        <v>1595</v>
      </c>
      <c r="C387" s="195">
        <v>-15.5</v>
      </c>
      <c r="D387" s="195">
        <v>-27.4</v>
      </c>
      <c r="E387" s="195">
        <v>-54.6</v>
      </c>
      <c r="F387" s="195">
        <v>-49.5</v>
      </c>
      <c r="G387" s="171">
        <v>8.3000000000000007</v>
      </c>
      <c r="H387" s="169"/>
      <c r="I387" s="169"/>
      <c r="K387" s="173" t="s">
        <v>1598</v>
      </c>
      <c r="L387" s="171">
        <v>21</v>
      </c>
      <c r="M387" s="169"/>
      <c r="O387" s="173" t="s">
        <v>1595</v>
      </c>
      <c r="P387" s="195">
        <v>-13.44</v>
      </c>
      <c r="R387" s="173" t="s">
        <v>1594</v>
      </c>
      <c r="S387" s="170">
        <v>121</v>
      </c>
      <c r="U387" s="167" t="s">
        <v>1599</v>
      </c>
      <c r="V387" s="170">
        <v>300.7</v>
      </c>
      <c r="X387" s="173" t="s">
        <v>1600</v>
      </c>
      <c r="Y387" s="171">
        <v>0.87</v>
      </c>
    </row>
    <row r="388" spans="2:25" x14ac:dyDescent="0.2">
      <c r="B388" s="173" t="s">
        <v>1601</v>
      </c>
      <c r="C388" s="188"/>
      <c r="D388" s="188"/>
      <c r="E388" s="188"/>
      <c r="F388" s="171">
        <v>9.5</v>
      </c>
      <c r="G388" s="195">
        <v>-14.2</v>
      </c>
      <c r="H388" s="197"/>
      <c r="I388" s="197"/>
      <c r="K388" s="173" t="s">
        <v>1602</v>
      </c>
      <c r="L388" s="195">
        <v>-32</v>
      </c>
      <c r="M388" s="197"/>
      <c r="O388" s="173" t="s">
        <v>1597</v>
      </c>
      <c r="P388" s="195">
        <v>-9.0500000000000007</v>
      </c>
      <c r="R388" s="173" t="s">
        <v>1595</v>
      </c>
      <c r="S388" s="180">
        <v>-161</v>
      </c>
      <c r="U388" s="167" t="s">
        <v>1603</v>
      </c>
      <c r="V388" s="170">
        <v>445.98</v>
      </c>
      <c r="X388" s="173" t="s">
        <v>1604</v>
      </c>
      <c r="Y388" s="195">
        <v>-0.65</v>
      </c>
    </row>
    <row r="389" spans="2:25" x14ac:dyDescent="0.2">
      <c r="B389" s="173" t="s">
        <v>1597</v>
      </c>
      <c r="C389" s="195">
        <v>-51.7</v>
      </c>
      <c r="D389" s="195">
        <v>-93</v>
      </c>
      <c r="E389" s="171">
        <v>27.8</v>
      </c>
      <c r="F389" s="180">
        <v>-101.8</v>
      </c>
      <c r="G389" s="195">
        <v>-29.8</v>
      </c>
      <c r="H389" s="197"/>
      <c r="I389" s="197"/>
      <c r="K389" s="178" t="s">
        <v>1605</v>
      </c>
      <c r="L389" s="179">
        <v>1785</v>
      </c>
      <c r="M389" s="183"/>
      <c r="O389" s="173" t="s">
        <v>1598</v>
      </c>
      <c r="P389" s="195">
        <v>-14.99</v>
      </c>
      <c r="R389" s="173" t="s">
        <v>1597</v>
      </c>
      <c r="S389" s="180">
        <v>-210</v>
      </c>
      <c r="U389" s="167" t="s">
        <v>1606</v>
      </c>
      <c r="V389" s="171">
        <v>66.83</v>
      </c>
      <c r="X389" s="178" t="s">
        <v>1605</v>
      </c>
      <c r="Y389" s="179">
        <v>548.54999999999995</v>
      </c>
    </row>
    <row r="390" spans="2:25" x14ac:dyDescent="0.2">
      <c r="B390" s="173" t="s">
        <v>1607</v>
      </c>
      <c r="C390" s="195">
        <v>-7.3</v>
      </c>
      <c r="D390" s="195">
        <v>-6.8</v>
      </c>
      <c r="E390" s="171">
        <v>18.8</v>
      </c>
      <c r="F390" s="171">
        <v>0.4</v>
      </c>
      <c r="G390" s="195">
        <v>-0.4</v>
      </c>
      <c r="H390" s="197"/>
      <c r="I390" s="197"/>
      <c r="K390" s="163" t="s">
        <v>1608</v>
      </c>
      <c r="L390" s="164"/>
      <c r="M390" s="162"/>
      <c r="O390" s="173" t="s">
        <v>1609</v>
      </c>
      <c r="P390" s="195">
        <v>-9.3000000000000007</v>
      </c>
      <c r="R390" s="173" t="s">
        <v>1598</v>
      </c>
      <c r="S390" s="180">
        <v>-158</v>
      </c>
      <c r="U390" s="167" t="s">
        <v>1592</v>
      </c>
      <c r="V390" s="170">
        <v>2078.02</v>
      </c>
      <c r="X390" s="163" t="s">
        <v>1608</v>
      </c>
      <c r="Y390" s="164"/>
    </row>
    <row r="391" spans="2:25" x14ac:dyDescent="0.2">
      <c r="B391" s="173" t="s">
        <v>1600</v>
      </c>
      <c r="C391" s="171">
        <v>75.7</v>
      </c>
      <c r="D391" s="180">
        <v>-193</v>
      </c>
      <c r="E391" s="195">
        <v>-25.1</v>
      </c>
      <c r="F391" s="195">
        <v>-17.399999999999999</v>
      </c>
      <c r="G391" s="195">
        <v>-23.3</v>
      </c>
      <c r="H391" s="197"/>
      <c r="I391" s="197"/>
      <c r="K391" s="167" t="s">
        <v>1610</v>
      </c>
      <c r="L391" s="170">
        <v>807</v>
      </c>
      <c r="M391" s="174"/>
      <c r="O391" s="178" t="s">
        <v>1605</v>
      </c>
      <c r="P391" s="179">
        <v>278.48</v>
      </c>
      <c r="R391" s="173" t="s">
        <v>1611</v>
      </c>
      <c r="S391" s="180">
        <v>-310</v>
      </c>
      <c r="U391" s="167" t="s">
        <v>1593</v>
      </c>
      <c r="V391" s="195">
        <v>-20.34</v>
      </c>
      <c r="X391" s="167" t="s">
        <v>1610</v>
      </c>
      <c r="Y391" s="170">
        <v>195.28</v>
      </c>
    </row>
    <row r="392" spans="2:25" x14ac:dyDescent="0.2">
      <c r="B392" s="173" t="s">
        <v>1609</v>
      </c>
      <c r="C392" s="195">
        <v>-95</v>
      </c>
      <c r="D392" s="171">
        <v>0.3</v>
      </c>
      <c r="E392" s="195">
        <v>-28.5</v>
      </c>
      <c r="F392" s="195">
        <v>-12.2</v>
      </c>
      <c r="G392" s="195">
        <v>-42.5</v>
      </c>
      <c r="H392" s="197"/>
      <c r="I392" s="197"/>
      <c r="K392" s="173" t="s">
        <v>1612</v>
      </c>
      <c r="L392" s="170">
        <v>807</v>
      </c>
      <c r="M392" s="174"/>
      <c r="O392" s="163" t="s">
        <v>1608</v>
      </c>
      <c r="P392" s="164"/>
      <c r="R392" s="173" t="s">
        <v>1609</v>
      </c>
      <c r="S392" s="171">
        <v>4</v>
      </c>
      <c r="U392" s="173" t="s">
        <v>1594</v>
      </c>
      <c r="V392" s="171">
        <v>22.6</v>
      </c>
      <c r="X392" s="173" t="s">
        <v>1612</v>
      </c>
      <c r="Y392" s="170">
        <v>195.28</v>
      </c>
    </row>
    <row r="393" spans="2:25" x14ac:dyDescent="0.2">
      <c r="B393" s="178" t="s">
        <v>1605</v>
      </c>
      <c r="C393" s="179">
        <v>1813</v>
      </c>
      <c r="D393" s="179">
        <v>1409.6</v>
      </c>
      <c r="E393" s="179">
        <v>1536.8</v>
      </c>
      <c r="F393" s="179">
        <v>1148.2</v>
      </c>
      <c r="G393" s="179">
        <v>1011.9</v>
      </c>
      <c r="H393" s="183"/>
      <c r="I393" s="183"/>
      <c r="K393" s="173" t="s">
        <v>1613</v>
      </c>
      <c r="L393" s="170">
        <v>807</v>
      </c>
      <c r="M393" s="174"/>
      <c r="O393" s="167" t="s">
        <v>1610</v>
      </c>
      <c r="P393" s="170">
        <v>300.57</v>
      </c>
      <c r="R393" s="178" t="s">
        <v>1605</v>
      </c>
      <c r="S393" s="179">
        <v>5625</v>
      </c>
      <c r="U393" s="173" t="s">
        <v>1595</v>
      </c>
      <c r="V393" s="171">
        <v>87.48</v>
      </c>
      <c r="X393" s="173" t="s">
        <v>1613</v>
      </c>
      <c r="Y393" s="170">
        <v>195.28</v>
      </c>
    </row>
    <row r="394" spans="2:25" x14ac:dyDescent="0.2">
      <c r="B394" s="163" t="s">
        <v>1608</v>
      </c>
      <c r="C394" s="164"/>
      <c r="D394" s="164"/>
      <c r="E394" s="164"/>
      <c r="F394" s="164"/>
      <c r="G394" s="164"/>
      <c r="K394" s="173" t="s">
        <v>1614</v>
      </c>
      <c r="L394" s="170">
        <v>807</v>
      </c>
      <c r="M394" s="174"/>
      <c r="O394" s="173" t="s">
        <v>1612</v>
      </c>
      <c r="P394" s="170">
        <v>300.57</v>
      </c>
      <c r="R394" s="163" t="s">
        <v>1608</v>
      </c>
      <c r="S394" s="164"/>
      <c r="U394" s="173" t="s">
        <v>1598</v>
      </c>
      <c r="V394" s="180">
        <v>-209.39</v>
      </c>
      <c r="X394" s="173" t="s">
        <v>1614</v>
      </c>
      <c r="Y394" s="170">
        <v>195.28</v>
      </c>
    </row>
    <row r="395" spans="2:25" x14ac:dyDescent="0.2">
      <c r="B395" s="167" t="s">
        <v>1610</v>
      </c>
      <c r="C395" s="170">
        <v>653.6</v>
      </c>
      <c r="D395" s="170">
        <v>548.79999999999995</v>
      </c>
      <c r="E395" s="170">
        <v>778</v>
      </c>
      <c r="F395" s="170">
        <v>573.9</v>
      </c>
      <c r="G395" s="170">
        <v>234.8</v>
      </c>
      <c r="H395" s="174"/>
      <c r="I395" s="174"/>
      <c r="K395" s="167" t="s">
        <v>1615</v>
      </c>
      <c r="L395" s="180">
        <v>-647</v>
      </c>
      <c r="M395" s="181"/>
      <c r="O395" s="173" t="s">
        <v>1613</v>
      </c>
      <c r="P395" s="170">
        <v>348.04</v>
      </c>
      <c r="R395" s="167" t="s">
        <v>1610</v>
      </c>
      <c r="S395" s="170">
        <v>2713</v>
      </c>
      <c r="U395" s="173" t="s">
        <v>1609</v>
      </c>
      <c r="V395" s="171">
        <v>78.97</v>
      </c>
      <c r="X395" s="167" t="s">
        <v>1615</v>
      </c>
      <c r="Y395" s="180">
        <v>-174.85</v>
      </c>
    </row>
    <row r="396" spans="2:25" x14ac:dyDescent="0.2">
      <c r="B396" s="173" t="s">
        <v>1612</v>
      </c>
      <c r="C396" s="170">
        <v>653.6</v>
      </c>
      <c r="D396" s="170">
        <v>548.79999999999995</v>
      </c>
      <c r="E396" s="170">
        <v>778</v>
      </c>
      <c r="F396" s="170">
        <v>573.9</v>
      </c>
      <c r="G396" s="170">
        <v>234.8</v>
      </c>
      <c r="H396" s="174"/>
      <c r="I396" s="174"/>
      <c r="K396" s="173" t="s">
        <v>1616</v>
      </c>
      <c r="L396" s="170">
        <v>685</v>
      </c>
      <c r="M396" s="174"/>
      <c r="O396" s="173" t="s">
        <v>1617</v>
      </c>
      <c r="P396" s="171">
        <v>47.47</v>
      </c>
      <c r="R396" s="173" t="s">
        <v>1612</v>
      </c>
      <c r="S396" s="170">
        <v>2713</v>
      </c>
      <c r="U396" s="178" t="s">
        <v>1605</v>
      </c>
      <c r="V396" s="179">
        <v>2057.69</v>
      </c>
      <c r="X396" s="173" t="s">
        <v>1616</v>
      </c>
      <c r="Y396" s="170">
        <v>174.85</v>
      </c>
    </row>
    <row r="397" spans="2:25" x14ac:dyDescent="0.2">
      <c r="B397" s="173" t="s">
        <v>1613</v>
      </c>
      <c r="C397" s="170">
        <v>677.7</v>
      </c>
      <c r="D397" s="170">
        <v>603.5</v>
      </c>
      <c r="E397" s="170">
        <v>872.6</v>
      </c>
      <c r="F397" s="170">
        <v>612.6</v>
      </c>
      <c r="G397" s="170">
        <v>451.3</v>
      </c>
      <c r="H397" s="174"/>
      <c r="I397" s="174"/>
      <c r="K397" s="173" t="s">
        <v>1618</v>
      </c>
      <c r="L397" s="171">
        <v>38</v>
      </c>
      <c r="M397" s="169"/>
      <c r="O397" s="173" t="s">
        <v>1614</v>
      </c>
      <c r="P397" s="170">
        <v>348.04</v>
      </c>
      <c r="R397" s="173" t="s">
        <v>1613</v>
      </c>
      <c r="S397" s="170">
        <v>2713</v>
      </c>
      <c r="U397" s="163" t="s">
        <v>1608</v>
      </c>
      <c r="V397" s="164"/>
      <c r="X397" s="178" t="s">
        <v>1619</v>
      </c>
      <c r="Y397" s="207">
        <v>-370.13</v>
      </c>
    </row>
    <row r="398" spans="2:25" x14ac:dyDescent="0.2">
      <c r="B398" s="173" t="s">
        <v>1617</v>
      </c>
      <c r="C398" s="171">
        <v>24.1</v>
      </c>
      <c r="D398" s="171">
        <v>54.7</v>
      </c>
      <c r="E398" s="171">
        <v>94.6</v>
      </c>
      <c r="F398" s="171">
        <v>38.700000000000003</v>
      </c>
      <c r="G398" s="170">
        <v>216.5</v>
      </c>
      <c r="H398" s="174"/>
      <c r="I398" s="174"/>
      <c r="K398" s="167" t="s">
        <v>1620</v>
      </c>
      <c r="L398" s="188">
        <v>0</v>
      </c>
      <c r="M398" s="189"/>
      <c r="O398" s="167" t="s">
        <v>1615</v>
      </c>
      <c r="P398" s="180">
        <v>-609.99</v>
      </c>
      <c r="R398" s="173" t="s">
        <v>1614</v>
      </c>
      <c r="S398" s="170">
        <v>2713</v>
      </c>
      <c r="U398" s="167" t="s">
        <v>1610</v>
      </c>
      <c r="V398" s="170">
        <v>1221.3699999999999</v>
      </c>
      <c r="X398" s="163" t="s">
        <v>1621</v>
      </c>
      <c r="Y398" s="164"/>
    </row>
    <row r="399" spans="2:25" x14ac:dyDescent="0.2">
      <c r="B399" s="173" t="s">
        <v>1614</v>
      </c>
      <c r="C399" s="170">
        <v>677.7</v>
      </c>
      <c r="D399" s="170">
        <v>603.5</v>
      </c>
      <c r="E399" s="170">
        <v>872.6</v>
      </c>
      <c r="F399" s="170">
        <v>612.6</v>
      </c>
      <c r="G399" s="170">
        <v>451.3</v>
      </c>
      <c r="H399" s="174"/>
      <c r="I399" s="174"/>
      <c r="K399" s="173" t="s">
        <v>1622</v>
      </c>
      <c r="L399" s="188">
        <v>0</v>
      </c>
      <c r="M399" s="189"/>
      <c r="O399" s="167" t="s">
        <v>1620</v>
      </c>
      <c r="P399" s="195">
        <v>-3.1</v>
      </c>
      <c r="R399" s="167" t="s">
        <v>1615</v>
      </c>
      <c r="S399" s="180">
        <v>-3541</v>
      </c>
      <c r="U399" s="173" t="s">
        <v>1612</v>
      </c>
      <c r="V399" s="170">
        <v>956</v>
      </c>
      <c r="X399" s="167" t="s">
        <v>1623</v>
      </c>
      <c r="Y399" s="171">
        <v>33.72</v>
      </c>
    </row>
    <row r="400" spans="2:25" x14ac:dyDescent="0.2">
      <c r="B400" s="167" t="s">
        <v>1615</v>
      </c>
      <c r="C400" s="170">
        <v>113.9</v>
      </c>
      <c r="D400" s="180">
        <v>-2266</v>
      </c>
      <c r="E400" s="170">
        <v>614.5</v>
      </c>
      <c r="F400" s="180">
        <v>-479.2</v>
      </c>
      <c r="G400" s="180">
        <v>-1639.4</v>
      </c>
      <c r="H400" s="181"/>
      <c r="I400" s="181"/>
      <c r="K400" s="173" t="s">
        <v>1624</v>
      </c>
      <c r="L400" s="188">
        <v>0</v>
      </c>
      <c r="M400" s="189"/>
      <c r="O400" s="173" t="s">
        <v>1622</v>
      </c>
      <c r="P400" s="195">
        <v>-3.1</v>
      </c>
      <c r="R400" s="173" t="s">
        <v>1616</v>
      </c>
      <c r="S400" s="170">
        <v>3856</v>
      </c>
      <c r="U400" s="173" t="s">
        <v>1613</v>
      </c>
      <c r="V400" s="170">
        <v>1059.92</v>
      </c>
      <c r="X400" s="173" t="s">
        <v>1625</v>
      </c>
      <c r="Y400" s="171">
        <v>33.72</v>
      </c>
    </row>
    <row r="401" spans="2:25" x14ac:dyDescent="0.2">
      <c r="B401" s="173" t="s">
        <v>1616</v>
      </c>
      <c r="C401" s="171">
        <v>13.5</v>
      </c>
      <c r="D401" s="170">
        <v>2266.1999999999998</v>
      </c>
      <c r="E401" s="188"/>
      <c r="F401" s="170">
        <v>529.20000000000005</v>
      </c>
      <c r="G401" s="170">
        <v>1639.4</v>
      </c>
      <c r="H401" s="174"/>
      <c r="I401" s="174"/>
      <c r="K401" s="167" t="s">
        <v>1626</v>
      </c>
      <c r="L401" s="180">
        <v>-134</v>
      </c>
      <c r="M401" s="181"/>
      <c r="O401" s="178" t="s">
        <v>1619</v>
      </c>
      <c r="P401" s="207">
        <v>-913.66</v>
      </c>
      <c r="R401" s="173" t="s">
        <v>1618</v>
      </c>
      <c r="S401" s="170">
        <v>315</v>
      </c>
      <c r="U401" s="173" t="s">
        <v>1617</v>
      </c>
      <c r="V401" s="170">
        <v>103.91</v>
      </c>
      <c r="X401" s="167" t="s">
        <v>1627</v>
      </c>
      <c r="Y401" s="180">
        <v>-291.91000000000003</v>
      </c>
    </row>
    <row r="402" spans="2:25" x14ac:dyDescent="0.2">
      <c r="B402" s="173" t="s">
        <v>1618</v>
      </c>
      <c r="C402" s="170">
        <v>127.4</v>
      </c>
      <c r="D402" s="171">
        <v>0.2</v>
      </c>
      <c r="E402" s="170">
        <v>614.5</v>
      </c>
      <c r="F402" s="171">
        <v>50</v>
      </c>
      <c r="G402" s="188">
        <v>0</v>
      </c>
      <c r="H402" s="189"/>
      <c r="I402" s="189"/>
      <c r="K402" s="178" t="s">
        <v>1619</v>
      </c>
      <c r="L402" s="207">
        <v>-1588</v>
      </c>
      <c r="M402" s="208"/>
      <c r="O402" s="163" t="s">
        <v>1621</v>
      </c>
      <c r="P402" s="164"/>
      <c r="R402" s="167" t="s">
        <v>1628</v>
      </c>
      <c r="S402" s="195">
        <v>-81</v>
      </c>
      <c r="U402" s="173" t="s">
        <v>1629</v>
      </c>
      <c r="V402" s="170">
        <v>265.36</v>
      </c>
      <c r="X402" s="173" t="s">
        <v>1630</v>
      </c>
      <c r="Y402" s="180">
        <v>-298.29000000000002</v>
      </c>
    </row>
    <row r="403" spans="2:25" x14ac:dyDescent="0.2">
      <c r="B403" s="167" t="s">
        <v>1626</v>
      </c>
      <c r="C403" s="171">
        <v>10.5</v>
      </c>
      <c r="D403" s="195">
        <v>-0.1</v>
      </c>
      <c r="E403" s="188">
        <v>0</v>
      </c>
      <c r="F403" s="171">
        <v>0.1</v>
      </c>
      <c r="G403" s="171">
        <v>0.1</v>
      </c>
      <c r="H403" s="169"/>
      <c r="I403" s="169"/>
      <c r="K403" s="163" t="s">
        <v>1621</v>
      </c>
      <c r="L403" s="164"/>
      <c r="M403" s="162"/>
      <c r="O403" s="167" t="s">
        <v>1627</v>
      </c>
      <c r="P403" s="195">
        <v>-2.65</v>
      </c>
      <c r="R403" s="167" t="s">
        <v>1626</v>
      </c>
      <c r="S403" s="170">
        <v>290</v>
      </c>
      <c r="U403" s="173" t="s">
        <v>1631</v>
      </c>
      <c r="V403" s="170">
        <v>265.36</v>
      </c>
      <c r="X403" s="173" t="s">
        <v>1632</v>
      </c>
      <c r="Y403" s="180">
        <v>-298.29000000000002</v>
      </c>
    </row>
    <row r="404" spans="2:25" x14ac:dyDescent="0.2">
      <c r="B404" s="178" t="s">
        <v>1619</v>
      </c>
      <c r="C404" s="207" t="s">
        <v>210</v>
      </c>
      <c r="D404" s="207">
        <v>-2814.9</v>
      </c>
      <c r="E404" s="207">
        <v>-163.5</v>
      </c>
      <c r="F404" s="207">
        <v>-1053</v>
      </c>
      <c r="G404" s="207">
        <v>-1874.1</v>
      </c>
      <c r="H404" s="208"/>
      <c r="I404" s="208"/>
      <c r="K404" s="167" t="s">
        <v>1623</v>
      </c>
      <c r="L404" s="170">
        <v>197</v>
      </c>
      <c r="M404" s="174"/>
      <c r="O404" s="173" t="s">
        <v>1633</v>
      </c>
      <c r="P404" s="195">
        <v>-2.65</v>
      </c>
      <c r="R404" s="178" t="s">
        <v>1619</v>
      </c>
      <c r="S404" s="207">
        <v>-6045</v>
      </c>
      <c r="U404" s="173" t="s">
        <v>1614</v>
      </c>
      <c r="V404" s="170">
        <v>1325.28</v>
      </c>
      <c r="X404" s="173" t="s">
        <v>1634</v>
      </c>
      <c r="Y404" s="170">
        <v>298.29000000000002</v>
      </c>
    </row>
    <row r="405" spans="2:25" x14ac:dyDescent="0.2">
      <c r="B405" s="163" t="s">
        <v>1621</v>
      </c>
      <c r="C405" s="164"/>
      <c r="D405" s="164"/>
      <c r="E405" s="164"/>
      <c r="F405" s="164"/>
      <c r="G405" s="164"/>
      <c r="K405" s="173" t="s">
        <v>1625</v>
      </c>
      <c r="L405" s="170">
        <v>197</v>
      </c>
      <c r="M405" s="174"/>
      <c r="O405" s="167" t="s">
        <v>1635</v>
      </c>
      <c r="P405" s="170">
        <v>491.19</v>
      </c>
      <c r="R405" s="163" t="s">
        <v>1621</v>
      </c>
      <c r="S405" s="164"/>
      <c r="U405" s="167" t="s">
        <v>1615</v>
      </c>
      <c r="V405" s="170">
        <v>964.83</v>
      </c>
      <c r="X405" s="173" t="s">
        <v>1633</v>
      </c>
      <c r="Y405" s="171">
        <v>6.38</v>
      </c>
    </row>
    <row r="406" spans="2:25" x14ac:dyDescent="0.2">
      <c r="B406" s="167" t="s">
        <v>1623</v>
      </c>
      <c r="C406" s="170">
        <v>259.8</v>
      </c>
      <c r="D406" s="170">
        <v>244.4</v>
      </c>
      <c r="E406" s="170">
        <v>228.4</v>
      </c>
      <c r="F406" s="170">
        <v>212.6</v>
      </c>
      <c r="G406" s="170">
        <v>196.4</v>
      </c>
      <c r="H406" s="174"/>
      <c r="I406" s="174"/>
      <c r="K406" s="167" t="s">
        <v>1627</v>
      </c>
      <c r="L406" s="180">
        <v>-450</v>
      </c>
      <c r="M406" s="181"/>
      <c r="O406" s="173" t="s">
        <v>1636</v>
      </c>
      <c r="P406" s="170">
        <v>491.19</v>
      </c>
      <c r="R406" s="167" t="s">
        <v>1623</v>
      </c>
      <c r="S406" s="170">
        <v>996</v>
      </c>
      <c r="U406" s="173" t="s">
        <v>1616</v>
      </c>
      <c r="V406" s="171">
        <v>44.27</v>
      </c>
      <c r="X406" s="167" t="s">
        <v>1635</v>
      </c>
      <c r="Y406" s="170">
        <v>143.75</v>
      </c>
    </row>
    <row r="407" spans="2:25" x14ac:dyDescent="0.2">
      <c r="B407" s="173" t="s">
        <v>1625</v>
      </c>
      <c r="C407" s="170">
        <v>259.8</v>
      </c>
      <c r="D407" s="170">
        <v>244.4</v>
      </c>
      <c r="E407" s="170">
        <v>228.4</v>
      </c>
      <c r="F407" s="170">
        <v>212.6</v>
      </c>
      <c r="G407" s="170">
        <v>196.4</v>
      </c>
      <c r="H407" s="174"/>
      <c r="I407" s="174"/>
      <c r="K407" s="173" t="s">
        <v>1630</v>
      </c>
      <c r="L407" s="180">
        <v>-450</v>
      </c>
      <c r="M407" s="181"/>
      <c r="O407" s="173" t="s">
        <v>1637</v>
      </c>
      <c r="P407" s="170">
        <v>500</v>
      </c>
      <c r="R407" s="173" t="s">
        <v>1625</v>
      </c>
      <c r="S407" s="170">
        <v>996</v>
      </c>
      <c r="U407" s="173" t="s">
        <v>1618</v>
      </c>
      <c r="V407" s="170">
        <v>1009.1</v>
      </c>
      <c r="X407" s="173" t="s">
        <v>1636</v>
      </c>
      <c r="Y407" s="170">
        <v>143.75</v>
      </c>
    </row>
    <row r="408" spans="2:25" x14ac:dyDescent="0.2">
      <c r="B408" s="167" t="s">
        <v>1627</v>
      </c>
      <c r="C408" s="180">
        <v>-438.4</v>
      </c>
      <c r="D408" s="195">
        <v>-68.8</v>
      </c>
      <c r="E408" s="180">
        <v>-200</v>
      </c>
      <c r="F408" s="188">
        <v>0</v>
      </c>
      <c r="G408" s="188">
        <v>0</v>
      </c>
      <c r="H408" s="189"/>
      <c r="I408" s="189"/>
      <c r="K408" s="173" t="s">
        <v>1632</v>
      </c>
      <c r="L408" s="180">
        <v>-450</v>
      </c>
      <c r="M408" s="181"/>
      <c r="O408" s="173" t="s">
        <v>1638</v>
      </c>
      <c r="P408" s="171">
        <v>8.81</v>
      </c>
      <c r="R408" s="167" t="s">
        <v>1627</v>
      </c>
      <c r="S408" s="180">
        <v>-1181</v>
      </c>
      <c r="U408" s="167" t="s">
        <v>1626</v>
      </c>
      <c r="V408" s="195">
        <v>-6.93</v>
      </c>
      <c r="X408" s="173" t="s">
        <v>1637</v>
      </c>
      <c r="Y408" s="170">
        <v>460</v>
      </c>
    </row>
    <row r="409" spans="2:25" x14ac:dyDescent="0.2">
      <c r="B409" s="173" t="s">
        <v>1630</v>
      </c>
      <c r="C409" s="180">
        <v>-438.4</v>
      </c>
      <c r="D409" s="195">
        <v>-68.8</v>
      </c>
      <c r="E409" s="180">
        <v>-200</v>
      </c>
      <c r="F409" s="188">
        <v>0</v>
      </c>
      <c r="G409" s="188">
        <v>0</v>
      </c>
      <c r="H409" s="189"/>
      <c r="I409" s="189"/>
      <c r="K409" s="173" t="s">
        <v>1634</v>
      </c>
      <c r="L409" s="170">
        <v>450</v>
      </c>
      <c r="M409" s="174"/>
      <c r="O409" s="167" t="s">
        <v>1639</v>
      </c>
      <c r="P409" s="195">
        <v>-11.07</v>
      </c>
      <c r="R409" s="173" t="s">
        <v>1630</v>
      </c>
      <c r="S409" s="180">
        <v>-1181</v>
      </c>
      <c r="U409" s="178" t="s">
        <v>1619</v>
      </c>
      <c r="V409" s="207">
        <v>-263.45999999999998</v>
      </c>
      <c r="X409" s="173" t="s">
        <v>1638</v>
      </c>
      <c r="Y409" s="170">
        <v>316.25</v>
      </c>
    </row>
    <row r="410" spans="2:25" x14ac:dyDescent="0.2">
      <c r="B410" s="173" t="s">
        <v>1632</v>
      </c>
      <c r="C410" s="180">
        <v>-438.4</v>
      </c>
      <c r="D410" s="195">
        <v>-68.8</v>
      </c>
      <c r="E410" s="180">
        <v>-200</v>
      </c>
      <c r="F410" s="188">
        <v>0</v>
      </c>
      <c r="G410" s="188">
        <v>0</v>
      </c>
      <c r="H410" s="189"/>
      <c r="I410" s="189"/>
      <c r="K410" s="167" t="s">
        <v>1635</v>
      </c>
      <c r="L410" s="180">
        <v>-118</v>
      </c>
      <c r="M410" s="181"/>
      <c r="O410" s="178" t="s">
        <v>1640</v>
      </c>
      <c r="P410" s="179">
        <v>477.47</v>
      </c>
      <c r="R410" s="173" t="s">
        <v>1632</v>
      </c>
      <c r="S410" s="180">
        <v>-1181</v>
      </c>
      <c r="U410" s="163" t="s">
        <v>1621</v>
      </c>
      <c r="V410" s="164"/>
      <c r="X410" s="167" t="s">
        <v>1639</v>
      </c>
      <c r="Y410" s="195">
        <v>-11.06</v>
      </c>
    </row>
    <row r="411" spans="2:25" x14ac:dyDescent="0.2">
      <c r="B411" s="173" t="s">
        <v>1634</v>
      </c>
      <c r="C411" s="170">
        <v>438.4</v>
      </c>
      <c r="D411" s="171">
        <v>68.8</v>
      </c>
      <c r="E411" s="170">
        <v>200</v>
      </c>
      <c r="F411" s="188">
        <v>0</v>
      </c>
      <c r="G411" s="188">
        <v>0</v>
      </c>
      <c r="H411" s="189"/>
      <c r="I411" s="189"/>
      <c r="K411" s="173" t="s">
        <v>1636</v>
      </c>
      <c r="L411" s="180">
        <v>-118</v>
      </c>
      <c r="M411" s="181"/>
      <c r="O411" s="163" t="s">
        <v>1641</v>
      </c>
      <c r="P411" s="164"/>
      <c r="R411" s="173" t="s">
        <v>1634</v>
      </c>
      <c r="S411" s="170">
        <v>1181</v>
      </c>
      <c r="U411" s="167" t="s">
        <v>1623</v>
      </c>
      <c r="V411" s="170">
        <v>127.47</v>
      </c>
      <c r="X411" s="173" t="s">
        <v>1642</v>
      </c>
      <c r="Y411" s="171">
        <v>9.23</v>
      </c>
    </row>
    <row r="412" spans="2:25" x14ac:dyDescent="0.2">
      <c r="B412" s="167" t="s">
        <v>1635</v>
      </c>
      <c r="C412" s="180">
        <v>-961.4</v>
      </c>
      <c r="D412" s="170">
        <v>1436.5</v>
      </c>
      <c r="E412" s="180">
        <v>-131.30000000000001</v>
      </c>
      <c r="F412" s="171">
        <v>58.5</v>
      </c>
      <c r="G412" s="170">
        <v>134.80000000000001</v>
      </c>
      <c r="H412" s="174"/>
      <c r="I412" s="174"/>
      <c r="K412" s="173" t="s">
        <v>1643</v>
      </c>
      <c r="L412" s="195">
        <v>-23</v>
      </c>
      <c r="M412" s="197"/>
      <c r="O412" s="178" t="s">
        <v>1644</v>
      </c>
      <c r="P412" s="207">
        <v>-157.72</v>
      </c>
      <c r="R412" s="167" t="s">
        <v>1645</v>
      </c>
      <c r="S412" s="171">
        <v>28</v>
      </c>
      <c r="U412" s="173" t="s">
        <v>1625</v>
      </c>
      <c r="V412" s="170">
        <v>127.47</v>
      </c>
      <c r="X412" s="178" t="s">
        <v>1640</v>
      </c>
      <c r="Y412" s="207">
        <v>-192.94</v>
      </c>
    </row>
    <row r="413" spans="2:25" x14ac:dyDescent="0.2">
      <c r="B413" s="173" t="s">
        <v>1646</v>
      </c>
      <c r="C413" s="180">
        <v>-550</v>
      </c>
      <c r="D413" s="188">
        <v>0</v>
      </c>
      <c r="E413" s="180">
        <v>-100</v>
      </c>
      <c r="F413" s="170">
        <v>100</v>
      </c>
      <c r="G413" s="188">
        <v>0</v>
      </c>
      <c r="H413" s="189"/>
      <c r="I413" s="189"/>
      <c r="K413" s="173" t="s">
        <v>1637</v>
      </c>
      <c r="L413" s="170">
        <v>640</v>
      </c>
      <c r="M413" s="174"/>
      <c r="O413" s="173" t="s">
        <v>1647</v>
      </c>
      <c r="P413" s="180">
        <v>-157.72</v>
      </c>
      <c r="R413" s="167" t="s">
        <v>1635</v>
      </c>
      <c r="S413" s="170">
        <v>2736</v>
      </c>
      <c r="U413" s="167" t="s">
        <v>1627</v>
      </c>
      <c r="V413" s="170">
        <v>994.5</v>
      </c>
      <c r="X413" s="163" t="s">
        <v>1641</v>
      </c>
      <c r="Y413" s="164"/>
    </row>
    <row r="414" spans="2:25" x14ac:dyDescent="0.2">
      <c r="B414" s="173" t="s">
        <v>1648</v>
      </c>
      <c r="C414" s="188">
        <v>0</v>
      </c>
      <c r="D414" s="171">
        <v>8</v>
      </c>
      <c r="E414" s="170">
        <v>166.1</v>
      </c>
      <c r="F414" s="170">
        <v>1361</v>
      </c>
      <c r="G414" s="188">
        <v>0</v>
      </c>
      <c r="H414" s="189"/>
      <c r="I414" s="189"/>
      <c r="K414" s="173" t="s">
        <v>1638</v>
      </c>
      <c r="L414" s="170">
        <v>758</v>
      </c>
      <c r="M414" s="174"/>
      <c r="O414" s="167" t="s">
        <v>1649</v>
      </c>
      <c r="P414" s="170">
        <v>281.13</v>
      </c>
      <c r="R414" s="173" t="s">
        <v>1650</v>
      </c>
      <c r="S414" s="170">
        <v>2867</v>
      </c>
      <c r="U414" s="173" t="s">
        <v>1630</v>
      </c>
      <c r="V414" s="170">
        <v>994.5</v>
      </c>
      <c r="X414" s="178" t="s">
        <v>1644</v>
      </c>
      <c r="Y414" s="209">
        <v>-14.52</v>
      </c>
    </row>
    <row r="415" spans="2:25" x14ac:dyDescent="0.2">
      <c r="B415" s="173" t="s">
        <v>1651</v>
      </c>
      <c r="C415" s="170">
        <v>550</v>
      </c>
      <c r="D415" s="171">
        <v>8</v>
      </c>
      <c r="E415" s="170">
        <v>266.10000000000002</v>
      </c>
      <c r="F415" s="170">
        <v>1261</v>
      </c>
      <c r="G415" s="188">
        <v>0</v>
      </c>
      <c r="H415" s="189"/>
      <c r="I415" s="189"/>
      <c r="K415" s="173" t="s">
        <v>1652</v>
      </c>
      <c r="L415" s="171">
        <v>23</v>
      </c>
      <c r="M415" s="169"/>
      <c r="O415" s="167" t="s">
        <v>1653</v>
      </c>
      <c r="P415" s="170">
        <v>123.42</v>
      </c>
      <c r="R415" s="173" t="s">
        <v>1654</v>
      </c>
      <c r="S415" s="188">
        <v>10479</v>
      </c>
      <c r="U415" s="173" t="s">
        <v>1632</v>
      </c>
      <c r="V415" s="170">
        <v>994.5</v>
      </c>
      <c r="X415" s="173" t="s">
        <v>1647</v>
      </c>
      <c r="Y415" s="195">
        <v>-14.52</v>
      </c>
    </row>
    <row r="416" spans="2:25" x14ac:dyDescent="0.2">
      <c r="B416" s="173" t="s">
        <v>1636</v>
      </c>
      <c r="C416" s="180">
        <v>-411.4</v>
      </c>
      <c r="D416" s="170">
        <v>1436.5</v>
      </c>
      <c r="E416" s="195">
        <v>-31.3</v>
      </c>
      <c r="F416" s="195">
        <v>-41.5</v>
      </c>
      <c r="G416" s="170">
        <v>134.80000000000001</v>
      </c>
      <c r="H416" s="174"/>
      <c r="I416" s="174"/>
      <c r="K416" s="167" t="s">
        <v>1639</v>
      </c>
      <c r="L416" s="195">
        <v>-35</v>
      </c>
      <c r="M416" s="197"/>
      <c r="O416" s="163" t="s">
        <v>1655</v>
      </c>
      <c r="P416" s="164"/>
      <c r="R416" s="173" t="s">
        <v>1656</v>
      </c>
      <c r="S416" s="170">
        <v>7612</v>
      </c>
      <c r="U416" s="173" t="s">
        <v>1657</v>
      </c>
      <c r="V416" s="170">
        <v>994.5</v>
      </c>
      <c r="X416" s="167" t="s">
        <v>1649</v>
      </c>
      <c r="Y416" s="171">
        <v>34.92</v>
      </c>
    </row>
    <row r="417" spans="2:25" x14ac:dyDescent="0.2">
      <c r="B417" s="173" t="s">
        <v>1643</v>
      </c>
      <c r="C417" s="195">
        <v>-10.9</v>
      </c>
      <c r="D417" s="195">
        <v>-13</v>
      </c>
      <c r="E417" s="195">
        <v>-30.8</v>
      </c>
      <c r="F417" s="195">
        <v>-33.799999999999997</v>
      </c>
      <c r="G417" s="195">
        <v>-13.5</v>
      </c>
      <c r="H417" s="197"/>
      <c r="I417" s="197"/>
      <c r="K417" s="173" t="s">
        <v>1642</v>
      </c>
      <c r="L417" s="171">
        <v>31</v>
      </c>
      <c r="M417" s="169"/>
      <c r="O417" s="167" t="s">
        <v>1658</v>
      </c>
      <c r="P417" s="171">
        <v>41.77</v>
      </c>
      <c r="R417" s="173" t="s">
        <v>1636</v>
      </c>
      <c r="S417" s="180">
        <v>-131</v>
      </c>
      <c r="U417" s="167" t="s">
        <v>1645</v>
      </c>
      <c r="V417" s="195">
        <v>-0.05</v>
      </c>
      <c r="X417" s="167" t="s">
        <v>1653</v>
      </c>
      <c r="Y417" s="171">
        <v>20.399999999999999</v>
      </c>
    </row>
    <row r="418" spans="2:25" x14ac:dyDescent="0.2">
      <c r="B418" s="173" t="s">
        <v>1637</v>
      </c>
      <c r="C418" s="188">
        <v>0</v>
      </c>
      <c r="D418" s="170">
        <v>2000</v>
      </c>
      <c r="E418" s="170">
        <v>550</v>
      </c>
      <c r="F418" s="170">
        <v>550</v>
      </c>
      <c r="G418" s="170">
        <v>1600</v>
      </c>
      <c r="H418" s="174"/>
      <c r="I418" s="174"/>
      <c r="K418" s="178" t="s">
        <v>1640</v>
      </c>
      <c r="L418" s="207">
        <v>-800</v>
      </c>
      <c r="M418" s="208"/>
      <c r="O418" s="167" t="s">
        <v>1659</v>
      </c>
      <c r="P418" s="171">
        <v>78.78</v>
      </c>
      <c r="R418" s="173" t="s">
        <v>1643</v>
      </c>
      <c r="S418" s="180">
        <v>-131</v>
      </c>
      <c r="U418" s="167" t="s">
        <v>1635</v>
      </c>
      <c r="V418" s="180">
        <v>-434.03</v>
      </c>
      <c r="X418" s="163" t="s">
        <v>1655</v>
      </c>
      <c r="Y418" s="164"/>
    </row>
    <row r="419" spans="2:25" x14ac:dyDescent="0.2">
      <c r="B419" s="173" t="s">
        <v>1638</v>
      </c>
      <c r="C419" s="170">
        <v>411.4</v>
      </c>
      <c r="D419" s="170">
        <v>563.5</v>
      </c>
      <c r="E419" s="170">
        <v>581.29999999999995</v>
      </c>
      <c r="F419" s="170">
        <v>591.5</v>
      </c>
      <c r="G419" s="170">
        <v>1465.2</v>
      </c>
      <c r="H419" s="174"/>
      <c r="I419" s="174"/>
      <c r="K419" s="163" t="s">
        <v>1641</v>
      </c>
      <c r="L419" s="164"/>
      <c r="M419" s="162"/>
      <c r="O419" s="167" t="s">
        <v>1660</v>
      </c>
      <c r="P419" s="170">
        <v>369.3</v>
      </c>
      <c r="R419" s="173" t="s">
        <v>1638</v>
      </c>
      <c r="S419" s="170">
        <v>131</v>
      </c>
      <c r="U419" s="173" t="s">
        <v>1636</v>
      </c>
      <c r="V419" s="180">
        <v>-434.03</v>
      </c>
      <c r="X419" s="167" t="s">
        <v>1658</v>
      </c>
      <c r="Y419" s="170">
        <v>140.79</v>
      </c>
    </row>
    <row r="420" spans="2:25" x14ac:dyDescent="0.2">
      <c r="B420" s="173" t="s">
        <v>1652</v>
      </c>
      <c r="C420" s="171">
        <v>10.9</v>
      </c>
      <c r="D420" s="171">
        <v>13</v>
      </c>
      <c r="E420" s="171">
        <v>30.8</v>
      </c>
      <c r="F420" s="171">
        <v>33.799999999999997</v>
      </c>
      <c r="G420" s="171">
        <v>13.5</v>
      </c>
      <c r="H420" s="169"/>
      <c r="I420" s="169"/>
      <c r="K420" s="178" t="s">
        <v>1644</v>
      </c>
      <c r="L420" s="207">
        <v>-603</v>
      </c>
      <c r="M420" s="208"/>
      <c r="O420" s="167" t="s">
        <v>1661</v>
      </c>
      <c r="P420" s="170">
        <v>193.74</v>
      </c>
      <c r="R420" s="173" t="s">
        <v>1652</v>
      </c>
      <c r="S420" s="170">
        <v>131</v>
      </c>
      <c r="U420" s="173" t="s">
        <v>1643</v>
      </c>
      <c r="V420" s="180">
        <v>-284.83</v>
      </c>
      <c r="X420" s="167" t="s">
        <v>1659</v>
      </c>
      <c r="Y420" s="171">
        <v>42.37</v>
      </c>
    </row>
    <row r="421" spans="2:25" x14ac:dyDescent="0.2">
      <c r="B421" s="167" t="s">
        <v>1639</v>
      </c>
      <c r="C421" s="195">
        <v>-35.6</v>
      </c>
      <c r="D421" s="195">
        <v>-66.400000000000006</v>
      </c>
      <c r="E421" s="195">
        <v>-25.9</v>
      </c>
      <c r="F421" s="195">
        <v>-21.1</v>
      </c>
      <c r="G421" s="195">
        <v>-32.700000000000003</v>
      </c>
      <c r="H421" s="197"/>
      <c r="I421" s="197"/>
      <c r="K421" s="173" t="s">
        <v>1647</v>
      </c>
      <c r="L421" s="180">
        <v>-603</v>
      </c>
      <c r="M421" s="181"/>
      <c r="O421" s="167" t="s">
        <v>1662</v>
      </c>
      <c r="P421" s="170">
        <v>469.1</v>
      </c>
      <c r="R421" s="167" t="s">
        <v>1639</v>
      </c>
      <c r="S421" s="171">
        <v>9</v>
      </c>
      <c r="U421" s="173" t="s">
        <v>1638</v>
      </c>
      <c r="V421" s="170">
        <v>434.03</v>
      </c>
      <c r="X421" s="167" t="s">
        <v>1660</v>
      </c>
      <c r="Y421" s="170">
        <v>609.80999999999995</v>
      </c>
    </row>
    <row r="422" spans="2:25" x14ac:dyDescent="0.2">
      <c r="B422" s="173" t="s">
        <v>1642</v>
      </c>
      <c r="C422" s="171">
        <v>34</v>
      </c>
      <c r="D422" s="171">
        <v>33</v>
      </c>
      <c r="E422" s="171">
        <v>21.9</v>
      </c>
      <c r="F422" s="171">
        <v>18.5</v>
      </c>
      <c r="G422" s="171">
        <v>19.100000000000001</v>
      </c>
      <c r="H422" s="169"/>
      <c r="I422" s="169"/>
      <c r="K422" s="167" t="s">
        <v>1649</v>
      </c>
      <c r="L422" s="170">
        <v>670</v>
      </c>
      <c r="M422" s="174"/>
      <c r="O422" s="167" t="s">
        <v>1663</v>
      </c>
      <c r="P422" s="195">
        <v>-69.569999999999993</v>
      </c>
      <c r="R422" s="178" t="s">
        <v>1640</v>
      </c>
      <c r="S422" s="179">
        <v>596</v>
      </c>
      <c r="U422" s="173" t="s">
        <v>1652</v>
      </c>
      <c r="V422" s="170">
        <v>284.83</v>
      </c>
      <c r="X422" s="167" t="s">
        <v>1664</v>
      </c>
      <c r="Y422" s="170">
        <v>332.01</v>
      </c>
    </row>
    <row r="423" spans="2:25" x14ac:dyDescent="0.2">
      <c r="B423" s="178" t="s">
        <v>1640</v>
      </c>
      <c r="C423" s="207">
        <v>-1695.2</v>
      </c>
      <c r="D423" s="179">
        <v>1056.9000000000001</v>
      </c>
      <c r="E423" s="207">
        <v>-585.6</v>
      </c>
      <c r="F423" s="207">
        <v>-175.2</v>
      </c>
      <c r="G423" s="209">
        <v>-94.3</v>
      </c>
      <c r="H423" s="210"/>
      <c r="I423" s="210"/>
      <c r="K423" s="167" t="s">
        <v>1653</v>
      </c>
      <c r="L423" s="171">
        <v>67</v>
      </c>
      <c r="M423" s="169"/>
      <c r="O423" s="167" t="s">
        <v>296</v>
      </c>
      <c r="P423" s="195">
        <v>-69.569999999999993</v>
      </c>
      <c r="R423" s="163" t="s">
        <v>1665</v>
      </c>
      <c r="S423" s="164"/>
      <c r="U423" s="167" t="s">
        <v>1639</v>
      </c>
      <c r="V423" s="180">
        <v>-1222.1099999999999</v>
      </c>
      <c r="X423" s="167" t="s">
        <v>1666</v>
      </c>
      <c r="Y423" s="170">
        <v>298.29000000000002</v>
      </c>
    </row>
    <row r="424" spans="2:25" x14ac:dyDescent="0.2">
      <c r="B424" s="163" t="s">
        <v>1641</v>
      </c>
      <c r="C424" s="164"/>
      <c r="D424" s="164"/>
      <c r="E424" s="164"/>
      <c r="F424" s="164"/>
      <c r="G424" s="164"/>
      <c r="K424" s="163" t="s">
        <v>1655</v>
      </c>
      <c r="L424" s="164"/>
      <c r="M424" s="162"/>
      <c r="O424" s="167" t="s">
        <v>1667</v>
      </c>
      <c r="P424" s="188">
        <v>0</v>
      </c>
      <c r="R424" s="167" t="s">
        <v>1668</v>
      </c>
      <c r="S424" s="170">
        <v>212</v>
      </c>
      <c r="U424" s="178" t="s">
        <v>1640</v>
      </c>
      <c r="V424" s="207">
        <v>-789.16</v>
      </c>
      <c r="X424" s="167" t="s">
        <v>1661</v>
      </c>
      <c r="Y424" s="170">
        <v>158.9</v>
      </c>
    </row>
    <row r="425" spans="2:25" x14ac:dyDescent="0.2">
      <c r="B425" s="178" t="s">
        <v>1644</v>
      </c>
      <c r="C425" s="207">
        <v>-411.4</v>
      </c>
      <c r="D425" s="207">
        <v>-348.4</v>
      </c>
      <c r="E425" s="179">
        <v>787.7</v>
      </c>
      <c r="F425" s="209">
        <v>-80</v>
      </c>
      <c r="G425" s="207">
        <v>-956.5</v>
      </c>
      <c r="H425" s="208"/>
      <c r="I425" s="208"/>
      <c r="K425" s="167" t="s">
        <v>1659</v>
      </c>
      <c r="L425" s="170">
        <v>229</v>
      </c>
      <c r="M425" s="174"/>
      <c r="R425" s="163" t="s">
        <v>1641</v>
      </c>
      <c r="S425" s="164"/>
      <c r="U425" s="163" t="s">
        <v>1665</v>
      </c>
      <c r="V425" s="164"/>
      <c r="X425" s="167" t="s">
        <v>1662</v>
      </c>
      <c r="Y425" s="170">
        <v>497.02</v>
      </c>
    </row>
    <row r="426" spans="2:25" x14ac:dyDescent="0.2">
      <c r="B426" s="173" t="s">
        <v>1647</v>
      </c>
      <c r="C426" s="180">
        <v>-411.4</v>
      </c>
      <c r="D426" s="180">
        <v>-348.4</v>
      </c>
      <c r="E426" s="170">
        <v>787.7</v>
      </c>
      <c r="F426" s="195">
        <v>-80</v>
      </c>
      <c r="G426" s="180">
        <v>-956.5</v>
      </c>
      <c r="H426" s="181"/>
      <c r="I426" s="181"/>
      <c r="K426" s="167" t="s">
        <v>1660</v>
      </c>
      <c r="L426" s="170">
        <v>1877</v>
      </c>
      <c r="M426" s="174"/>
      <c r="R426" s="178" t="s">
        <v>1644</v>
      </c>
      <c r="S426" s="179">
        <v>388</v>
      </c>
      <c r="U426" s="167" t="s">
        <v>1668</v>
      </c>
      <c r="V426" s="195">
        <v>-46.63</v>
      </c>
      <c r="X426" s="167" t="s">
        <v>1663</v>
      </c>
      <c r="Y426" s="170">
        <v>319.55</v>
      </c>
    </row>
    <row r="427" spans="2:25" x14ac:dyDescent="0.2">
      <c r="B427" s="167" t="s">
        <v>1649</v>
      </c>
      <c r="C427" s="170">
        <v>600.79999999999995</v>
      </c>
      <c r="D427" s="170">
        <v>949.2</v>
      </c>
      <c r="E427" s="170">
        <v>161.5</v>
      </c>
      <c r="F427" s="170">
        <v>241.5</v>
      </c>
      <c r="G427" s="170">
        <v>1198</v>
      </c>
      <c r="H427" s="174"/>
      <c r="I427" s="174"/>
      <c r="K427" s="167" t="s">
        <v>1664</v>
      </c>
      <c r="L427" s="170">
        <v>647</v>
      </c>
      <c r="M427" s="174"/>
      <c r="R427" s="173" t="s">
        <v>1647</v>
      </c>
      <c r="S427" s="170">
        <v>388</v>
      </c>
      <c r="U427" s="163" t="s">
        <v>1641</v>
      </c>
      <c r="V427" s="164"/>
      <c r="X427" s="167" t="s">
        <v>296</v>
      </c>
      <c r="Y427" s="170">
        <v>353.27</v>
      </c>
    </row>
    <row r="428" spans="2:25" x14ac:dyDescent="0.2">
      <c r="B428" s="167" t="s">
        <v>1653</v>
      </c>
      <c r="C428" s="170">
        <v>189.4</v>
      </c>
      <c r="D428" s="170">
        <v>600.79999999999995</v>
      </c>
      <c r="E428" s="170">
        <v>949.2</v>
      </c>
      <c r="F428" s="170">
        <v>161.5</v>
      </c>
      <c r="G428" s="170">
        <v>241.5</v>
      </c>
      <c r="H428" s="174"/>
      <c r="I428" s="174"/>
      <c r="K428" s="167" t="s">
        <v>1666</v>
      </c>
      <c r="L428" s="170">
        <v>450</v>
      </c>
      <c r="M428" s="174"/>
      <c r="R428" s="167" t="s">
        <v>1649</v>
      </c>
      <c r="S428" s="170">
        <v>3759</v>
      </c>
      <c r="U428" s="178" t="s">
        <v>1644</v>
      </c>
      <c r="V428" s="179">
        <v>958.43</v>
      </c>
      <c r="X428" s="167" t="s">
        <v>1667</v>
      </c>
      <c r="Y428" s="171">
        <v>33.46</v>
      </c>
    </row>
    <row r="429" spans="2:25" x14ac:dyDescent="0.2">
      <c r="B429" s="163" t="s">
        <v>1655</v>
      </c>
      <c r="C429" s="164"/>
      <c r="D429" s="164"/>
      <c r="E429" s="164"/>
      <c r="F429" s="164"/>
      <c r="G429" s="164"/>
      <c r="K429" s="167" t="s">
        <v>1661</v>
      </c>
      <c r="L429" s="170">
        <v>637</v>
      </c>
      <c r="M429" s="174"/>
      <c r="R429" s="167" t="s">
        <v>1653</v>
      </c>
      <c r="S429" s="170">
        <v>4147</v>
      </c>
      <c r="U429" s="173" t="s">
        <v>1647</v>
      </c>
      <c r="V429" s="170">
        <v>958.43</v>
      </c>
    </row>
    <row r="430" spans="2:25" x14ac:dyDescent="0.2">
      <c r="B430" s="167" t="s">
        <v>1658</v>
      </c>
      <c r="C430" s="170">
        <v>290.7</v>
      </c>
      <c r="D430" s="170">
        <v>279.8</v>
      </c>
      <c r="E430" s="170">
        <v>291.7</v>
      </c>
      <c r="F430" s="170">
        <v>143.5</v>
      </c>
      <c r="G430" s="170">
        <v>127.9</v>
      </c>
      <c r="H430" s="174"/>
      <c r="I430" s="174"/>
      <c r="K430" s="167" t="s">
        <v>1662</v>
      </c>
      <c r="L430" s="170">
        <v>860</v>
      </c>
      <c r="M430" s="174"/>
      <c r="R430" s="163" t="s">
        <v>1655</v>
      </c>
      <c r="S430" s="164"/>
      <c r="U430" s="167" t="s">
        <v>1649</v>
      </c>
      <c r="V430" s="170">
        <v>863.93</v>
      </c>
    </row>
    <row r="431" spans="2:25" x14ac:dyDescent="0.2">
      <c r="B431" s="167" t="s">
        <v>1659</v>
      </c>
      <c r="C431" s="170">
        <v>247.1</v>
      </c>
      <c r="D431" s="170">
        <v>182.9</v>
      </c>
      <c r="E431" s="170">
        <v>178.7</v>
      </c>
      <c r="F431" s="170">
        <v>164.3</v>
      </c>
      <c r="G431" s="170">
        <v>138</v>
      </c>
      <c r="H431" s="174"/>
      <c r="I431" s="174"/>
      <c r="K431" s="167" t="s">
        <v>1663</v>
      </c>
      <c r="L431" s="170">
        <v>781</v>
      </c>
      <c r="M431" s="174"/>
      <c r="R431" s="167" t="s">
        <v>1658</v>
      </c>
      <c r="S431" s="170">
        <v>831</v>
      </c>
      <c r="U431" s="167" t="s">
        <v>1653</v>
      </c>
      <c r="V431" s="170">
        <v>1822.36</v>
      </c>
    </row>
    <row r="432" spans="2:25" x14ac:dyDescent="0.2">
      <c r="B432" s="167" t="s">
        <v>1660</v>
      </c>
      <c r="C432" s="170">
        <v>1903</v>
      </c>
      <c r="D432" s="170">
        <v>1666.3</v>
      </c>
      <c r="E432" s="170">
        <v>1570.2</v>
      </c>
      <c r="F432" s="170">
        <v>1372.5</v>
      </c>
      <c r="G432" s="170">
        <v>1155.8</v>
      </c>
      <c r="H432" s="174"/>
      <c r="I432" s="174"/>
      <c r="K432" s="167" t="s">
        <v>296</v>
      </c>
      <c r="L432" s="170">
        <v>978</v>
      </c>
      <c r="M432" s="174"/>
      <c r="R432" s="167" t="s">
        <v>1659</v>
      </c>
      <c r="S432" s="170">
        <v>724</v>
      </c>
      <c r="U432" s="163" t="s">
        <v>1655</v>
      </c>
      <c r="V432" s="164"/>
    </row>
    <row r="433" spans="2:22" x14ac:dyDescent="0.2">
      <c r="B433" s="167" t="s">
        <v>1664</v>
      </c>
      <c r="C433" s="170">
        <v>698.2</v>
      </c>
      <c r="D433" s="170">
        <v>313.2</v>
      </c>
      <c r="E433" s="170">
        <v>428.4</v>
      </c>
      <c r="F433" s="170">
        <v>212.6</v>
      </c>
      <c r="G433" s="170">
        <v>196.4</v>
      </c>
      <c r="H433" s="174"/>
      <c r="I433" s="174"/>
      <c r="K433" s="167" t="s">
        <v>1667</v>
      </c>
      <c r="L433" s="170">
        <v>197</v>
      </c>
      <c r="M433" s="174"/>
      <c r="R433" s="167" t="s">
        <v>1660</v>
      </c>
      <c r="S433" s="170">
        <v>6339</v>
      </c>
      <c r="U433" s="167" t="s">
        <v>1658</v>
      </c>
      <c r="V433" s="170">
        <v>300.7</v>
      </c>
    </row>
    <row r="434" spans="2:22" x14ac:dyDescent="0.2">
      <c r="B434" s="167" t="s">
        <v>1666</v>
      </c>
      <c r="C434" s="170">
        <v>438.4</v>
      </c>
      <c r="D434" s="171">
        <v>68.8</v>
      </c>
      <c r="E434" s="170">
        <v>200</v>
      </c>
      <c r="F434" s="188">
        <v>0</v>
      </c>
      <c r="G434" s="188">
        <v>0</v>
      </c>
      <c r="H434" s="189"/>
      <c r="I434" s="189"/>
      <c r="R434" s="167" t="s">
        <v>1664</v>
      </c>
      <c r="S434" s="170">
        <v>2177</v>
      </c>
      <c r="U434" s="167" t="s">
        <v>1659</v>
      </c>
      <c r="V434" s="170">
        <v>445.98</v>
      </c>
    </row>
    <row r="435" spans="2:22" x14ac:dyDescent="0.2">
      <c r="B435" s="167" t="s">
        <v>1661</v>
      </c>
      <c r="C435" s="170">
        <v>748.5</v>
      </c>
      <c r="D435" s="170">
        <v>632.20000000000005</v>
      </c>
      <c r="E435" s="170">
        <v>617</v>
      </c>
      <c r="F435" s="170">
        <v>587.5</v>
      </c>
      <c r="G435" s="170">
        <v>463</v>
      </c>
      <c r="H435" s="174"/>
      <c r="I435" s="174"/>
      <c r="R435" s="167" t="s">
        <v>1666</v>
      </c>
      <c r="S435" s="170">
        <v>1181</v>
      </c>
      <c r="U435" s="167" t="s">
        <v>1669</v>
      </c>
      <c r="V435" s="171">
        <v>66.83</v>
      </c>
    </row>
    <row r="436" spans="2:22" x14ac:dyDescent="0.2">
      <c r="B436" s="167" t="s">
        <v>1662</v>
      </c>
      <c r="C436" s="170">
        <v>198</v>
      </c>
      <c r="D436" s="170">
        <v>2297.3000000000002</v>
      </c>
      <c r="E436" s="170">
        <v>627.5</v>
      </c>
      <c r="F436" s="170">
        <v>632.79999999999995</v>
      </c>
      <c r="G436" s="170">
        <v>911.9</v>
      </c>
      <c r="H436" s="174"/>
      <c r="I436" s="174"/>
      <c r="R436" s="167" t="s">
        <v>1661</v>
      </c>
      <c r="S436" s="170">
        <v>2156</v>
      </c>
      <c r="U436" s="167" t="s">
        <v>1660</v>
      </c>
      <c r="V436" s="170">
        <v>2524</v>
      </c>
    </row>
    <row r="437" spans="2:22" x14ac:dyDescent="0.2">
      <c r="B437" s="167" t="s">
        <v>1663</v>
      </c>
      <c r="C437" s="170">
        <v>875.5</v>
      </c>
      <c r="D437" s="170">
        <v>561.70000000000005</v>
      </c>
      <c r="E437" s="170">
        <v>435.8</v>
      </c>
      <c r="F437" s="170">
        <v>323</v>
      </c>
      <c r="G437" s="170">
        <v>364.2</v>
      </c>
      <c r="H437" s="174"/>
      <c r="I437" s="174"/>
      <c r="R437" s="167" t="s">
        <v>1662</v>
      </c>
      <c r="S437" s="170">
        <v>5648</v>
      </c>
      <c r="U437" s="167" t="s">
        <v>1664</v>
      </c>
      <c r="V437" s="180">
        <v>-867.03</v>
      </c>
    </row>
    <row r="438" spans="2:22" x14ac:dyDescent="0.2">
      <c r="B438" s="167" t="s">
        <v>296</v>
      </c>
      <c r="C438" s="170">
        <v>1135.3</v>
      </c>
      <c r="D438" s="170">
        <v>806.1</v>
      </c>
      <c r="E438" s="170">
        <v>664.2</v>
      </c>
      <c r="F438" s="170">
        <v>535.6</v>
      </c>
      <c r="G438" s="170">
        <v>560.6</v>
      </c>
      <c r="H438" s="174"/>
      <c r="I438" s="174"/>
      <c r="R438" s="167" t="s">
        <v>1663</v>
      </c>
      <c r="S438" s="170">
        <v>1916</v>
      </c>
      <c r="U438" s="167" t="s">
        <v>1666</v>
      </c>
      <c r="V438" s="180">
        <v>-994.5</v>
      </c>
    </row>
    <row r="439" spans="2:22" x14ac:dyDescent="0.2">
      <c r="B439" s="167" t="s">
        <v>1667</v>
      </c>
      <c r="C439" s="170">
        <v>259.8</v>
      </c>
      <c r="D439" s="170">
        <v>244.4</v>
      </c>
      <c r="E439" s="170">
        <v>228.4</v>
      </c>
      <c r="F439" s="170">
        <v>212.6</v>
      </c>
      <c r="G439" s="170">
        <v>196.4</v>
      </c>
      <c r="H439" s="174"/>
      <c r="I439" s="174"/>
      <c r="R439" s="167" t="s">
        <v>296</v>
      </c>
      <c r="S439" s="170">
        <v>2912</v>
      </c>
      <c r="U439" s="167" t="s">
        <v>1661</v>
      </c>
      <c r="V439" s="170">
        <v>1290.93</v>
      </c>
    </row>
    <row r="440" spans="2:22" x14ac:dyDescent="0.2">
      <c r="B440" s="204"/>
      <c r="C440" s="204"/>
      <c r="R440" s="167" t="s">
        <v>1667</v>
      </c>
      <c r="S440" s="170">
        <v>996</v>
      </c>
      <c r="U440" s="167" t="s">
        <v>1662</v>
      </c>
      <c r="V440" s="170">
        <v>402.29</v>
      </c>
    </row>
    <row r="441" spans="2:22" x14ac:dyDescent="0.2">
      <c r="B441" s="204"/>
      <c r="C441" s="204"/>
      <c r="U441" s="167" t="s">
        <v>1663</v>
      </c>
      <c r="V441" s="170">
        <v>604.94000000000005</v>
      </c>
    </row>
    <row r="442" spans="2:22" x14ac:dyDescent="0.2">
      <c r="B442" s="211" t="s">
        <v>1670</v>
      </c>
      <c r="C442" s="212"/>
      <c r="D442" s="213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U442" s="167" t="s">
        <v>296</v>
      </c>
      <c r="V442" s="170">
        <v>732.41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Share_Price_Analysis</vt:lpstr>
      <vt:lpstr>2. Financial_Analyst</vt:lpstr>
      <vt:lpstr>3. Credit_Analysis</vt:lpstr>
      <vt:lpstr>4. ESG_Score</vt:lpstr>
      <vt:lpstr>5. Macro-Economics </vt:lpstr>
      <vt:lpstr>6. Mutliple_Valuation</vt:lpstr>
      <vt:lpstr>7. DDM_Valuation</vt:lpstr>
      <vt:lpstr>8. DCF Analysis</vt:lpstr>
      <vt:lpstr>9. Standardlized_Income</vt:lpstr>
      <vt:lpstr>DCF_Forecast Revenue</vt:lpstr>
      <vt:lpstr>DCF-WACC 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Pham</dc:creator>
  <cp:lastModifiedBy>Thanh Pham</cp:lastModifiedBy>
  <dcterms:created xsi:type="dcterms:W3CDTF">2026-03-20T07:27:47Z</dcterms:created>
  <dcterms:modified xsi:type="dcterms:W3CDTF">2026-04-13T12:52:05Z</dcterms:modified>
</cp:coreProperties>
</file>